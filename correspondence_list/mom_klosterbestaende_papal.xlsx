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worksheets/sheet9.xml" ContentType="application/vnd.openxmlformats-officedocument.spreadsheetml.workshee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fonds" sheetId="1" state="visible" r:id="rId2"/>
    <sheet name="ChartersCount" sheetId="2" state="visible" r:id="rId3"/>
    <sheet name="temporalBoundaries" sheetId="3" state="visible" r:id="rId4"/>
    <sheet name="temporalBoundariesGraph" sheetId="4" state="visible" r:id="rId5"/>
    <sheet name="settlements" sheetId="5" state="visible" r:id="rId6"/>
    <sheet name="Map-ToDo" sheetId="6" state="visible" r:id="rId7"/>
    <sheet name="CountByDecade" sheetId="7" state="visible" r:id="rId8"/>
    <sheet name="Dekaden" sheetId="8" state="visible" r:id="rId9"/>
    <sheet name="CountByDecadeBefore1200" sheetId="9" state="visible" r:id="rId10"/>
  </sheets>
  <externalReferences>
    <externalReference r:id="rId1"/>
  </externalReferences>
  <definedNames>
    <definedName name="_xlnm._FilterDatabase" localSheetId="0" hidden="1">fonds!$A$1:$F$495</definedName>
    <definedName name="_xlnm._FilterDatabase" localSheetId="1" hidden="1">ChartersCount!$A$1:$K$470</definedName>
    <definedName name="_xlnm._FilterDatabase" localSheetId="2" hidden="1">temporalBoundaries!$A$1:$I$1000</definedName>
    <definedName name="_xlnm._FilterDatabase" localSheetId="4" hidden="1">settlements!$A$1:$L$469</definedName>
    <definedName name="_xlnm._FilterDatabase" localSheetId="6" hidden="1">CountByDecade!$A$1:$EG$473</definedName>
    <definedName name="_xlnm._FilterDatabase" localSheetId="0" hidden="1">fonds!$A$1:$F$495</definedName>
    <definedName name="_xlnm._FilterDatabase" localSheetId="1" hidden="1">ChartersCount!$A$1:$K$470</definedName>
    <definedName name="_xlnm._FilterDatabase" localSheetId="2" hidden="1">temporalBoundaries!$A$1:$I$1000</definedName>
    <definedName name="_xlnm._FilterDatabase" localSheetId="4" hidden="1">settlements!$A$1:$L$469</definedName>
    <definedName name="_xlnm._FilterDatabase" localSheetId="6" hidden="1">CountByDecade!$A$1:$EG$473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<sst xmlns="http://schemas.openxmlformats.org/spreadsheetml/2006/main" count="2899" uniqueCount="2899">
  <si>
    <t>md5</t>
  </si>
  <si>
    <t>fondsid</t>
  </si>
  <si>
    <t>atom:id</t>
  </si>
  <si>
    <t>unittile</t>
  </si>
  <si>
    <t>from</t>
  </si>
  <si>
    <t>to</t>
  </si>
  <si>
    <t>papals_text</t>
  </si>
  <si>
    <t>papals_cv</t>
  </si>
  <si>
    <t>AT-ATF/9422807890ecf0d2df38a5f81699b08f</t>
  </si>
  <si>
    <t>AT-ATF/TirolOFM</t>
  </si>
  <si>
    <t>tag:www.monasterium.net,2011:/fond/AT-ATF/TirolOFM</t>
  </si>
  <si>
    <t xml:space="preserve">Tiroler Franziskanerprovinz (1229-1970)</t>
  </si>
  <si>
    <t>AT-AWMK/730db1bb5405e6e10c3fddc5e85baa21</t>
  </si>
  <si>
    <t>AT-AWMK/WienOFMConv</t>
  </si>
  <si>
    <t>tag:www.monasterium.net,2011:/fond/AT-AWMK/WienOFMConv</t>
  </si>
  <si>
    <t xml:space="preserve">Urkunden Wien (1243-1765)</t>
  </si>
  <si>
    <t>AT-AWMK/838ec3d67f2b61a38108db5991a1a199</t>
  </si>
  <si>
    <t>AT-AWMK/NeunkirchenOFMConv</t>
  </si>
  <si>
    <t>tag:www.monasterium.net,2011:/fond/AT-AWMK/NeunkirchenOFMConv</t>
  </si>
  <si>
    <t xml:space="preserve">Urkunden Neukirchen (1368-1830)</t>
  </si>
  <si>
    <t>AT-AWMK/efcd58a04c971d71ae20524c11cefe16</t>
  </si>
  <si>
    <t>AT-AWMK/AsparnOFMConv</t>
  </si>
  <si>
    <t>tag:www.monasterium.net,2011:/fond/AT-AWMK/AsparnOFMConv</t>
  </si>
  <si>
    <t xml:space="preserve">Urkunden Asparn (1471-1767)</t>
  </si>
  <si>
    <t>AT-HHStA/005e12399a92512465952936e23c20f5</t>
  </si>
  <si>
    <t>AT-HHStA/WienStLaurCanReg</t>
  </si>
  <si>
    <t>tag:www.monasterium.net,2011:/fond/AT-HHStA/WienStLaurCanReg</t>
  </si>
  <si>
    <t xml:space="preserve">Wien, St. Laurenz - Augustiner-Chorfrauen</t>
  </si>
  <si>
    <t>AT-HHStA/04fd7de1af923d15458329ed4d5983e6</t>
  </si>
  <si>
    <t>AT-HHStA/WiltenOPraem</t>
  </si>
  <si>
    <t>tag:www.monasterium.net,2011:/fond/AT-HHStA/WiltenOPraem</t>
  </si>
  <si>
    <t xml:space="preserve">Wilten, Prämonstratenser (1180-1488)</t>
  </si>
  <si>
    <t>AT-HHStA/0578bae529517424bc4dacc480d747cb</t>
  </si>
  <si>
    <t>AT-HHStA/SeckauCanReg</t>
  </si>
  <si>
    <t>tag:www.monasterium.net,2011:/fond/AT-HHStA/SeckauCanReg</t>
  </si>
  <si>
    <t xml:space="preserve">Seckau, Augustiner-Chorherren (1170-1489)</t>
  </si>
  <si>
    <t>AT-HHStA/07e705c7f8fcc94f98cdf7192aea86d5</t>
  </si>
  <si>
    <t>AT-HHStA/EbersbergOSB</t>
  </si>
  <si>
    <t>tag:www.monasterium.net,2011:/fond/AT-HHStA/EbersbergOSB</t>
  </si>
  <si>
    <t xml:space="preserve">Ebersberg, Benediktiner (1247-1481)</t>
  </si>
  <si>
    <t>AT-HHStA/0bc40b0184ca385dcc9f0a320889a6d2</t>
  </si>
  <si>
    <t>AT-HHStA/AltenburgOSB</t>
  </si>
  <si>
    <t>tag:www.monasterium.net,2011:/fond/AT-HHStA/AltenburgOSB</t>
  </si>
  <si>
    <t xml:space="preserve">Altenburg, Benediktiner (1144-1943)</t>
  </si>
  <si>
    <t>AT-HHStA/0ddc6372d580849fd2c98409318f2f15</t>
  </si>
  <si>
    <t>AT-HHStA/StLambrechtOSB</t>
  </si>
  <si>
    <t>tag:www.monasterium.net,2011:/fond/AT-HHStA/StLambrechtOSB</t>
  </si>
  <si>
    <t xml:space="preserve">St. Lambrecht, Benediktiner (1205-1580)</t>
  </si>
  <si>
    <t>AT-HHStA/1126e531b1f42d06545c5f2718b59ad3</t>
  </si>
  <si>
    <t>AT-HHStA/ArnsburgOCist</t>
  </si>
  <si>
    <t>tag:www.monasterium.net,2011:/fond/AT-HHStA/ArnsburgOCist</t>
  </si>
  <si>
    <t xml:space="preserve">Arnsburg, Zisterzienser</t>
  </si>
  <si>
    <t>AT-HHStA/12feb23869c2117bd304b71090b016cc</t>
  </si>
  <si>
    <t>AT-HHStA/WolfsbergOFMConv</t>
  </si>
  <si>
    <t>tag:www.monasterium.net,2011:/fond/AT-HHStA/WolfsbergOFMConv</t>
  </si>
  <si>
    <t xml:space="preserve">Wolfsberg, Minoriten (1456-1624)</t>
  </si>
  <si>
    <t>AT-HHStA/18c6a514e84f0fb9983dccd0dda0f4c1</t>
  </si>
  <si>
    <t>AT-HHStA/MekinjeOSCI</t>
  </si>
  <si>
    <t>tag:www.monasterium.net,2011:/fond/AT-HHStA/MekinjeOSCI</t>
  </si>
  <si>
    <t xml:space="preserve">Mekinje (dt. Minkendorf), Klarissen (1287-1545)</t>
  </si>
  <si>
    <t>AT-HHStA/1e211c956d2298bc9d02e177fcfdbede</t>
  </si>
  <si>
    <t>AT-HHStA/ThalbachOFM</t>
  </si>
  <si>
    <t>tag:www.monasterium.net,2011:/fond/AT-HHStA/ThalbachOFM</t>
  </si>
  <si>
    <t xml:space="preserve">Thalbach, Franziskanerinnen (1479-1780)</t>
  </si>
  <si>
    <t>AT-HHStA/1e9469b249a8c7f0df2f36273e4b2f49</t>
  </si>
  <si>
    <t>AT-HHStA/StBernhardOCist</t>
  </si>
  <si>
    <t>tag:www.monasterium.net,2011:/fond/AT-HHStA/StBernhardOCist</t>
  </si>
  <si>
    <t xml:space="preserve">St. Bernhard, Zisterzienserinnen (1263-1571)</t>
  </si>
  <si>
    <t>AT-HHStA/209b4c152123964a8f26bef7c1995664</t>
  </si>
  <si>
    <t>AT-HHStA/WienStNiklaskloster</t>
  </si>
  <si>
    <t>tag:www.monasterium.net,2011:/fond/AT-HHStA/WienStNiklaskloster</t>
  </si>
  <si>
    <t xml:space="preserve">Wien, St. Niklaskloster</t>
  </si>
  <si>
    <t>AT-HHStA/2126a8f795a598014121268b46b2dc9d</t>
  </si>
  <si>
    <t>AT-HHStA/YbbsOCist</t>
  </si>
  <si>
    <t>tag:www.monasterium.net,2011:/fond/AT-HHStA/YbbsOCist</t>
  </si>
  <si>
    <t xml:space="preserve">Ybbs, Zisterzienserinnen (1234-1656)</t>
  </si>
  <si>
    <t>AT-HHStA/21ed90366f1510116cdb8aa52ff05a48</t>
  </si>
  <si>
    <t>AT-HHStA/GrosswardeinOPraem</t>
  </si>
  <si>
    <t>tag:www.monasterium.net,2011:/fond/AT-HHStA/GrosswardeinOPraem</t>
  </si>
  <si>
    <t xml:space="preserve">Großwardein, Prämonstratenser</t>
  </si>
  <si>
    <t>AT-HHStA/284172994a2e3cb149aa3fe0553ab152</t>
  </si>
  <si>
    <t>AT-HHStA/NRannaOSPPE</t>
  </si>
  <si>
    <t>tag:www.monasterium.net,2011:/fond/AT-HHStA/NRannaOSPPE</t>
  </si>
  <si>
    <t xml:space="preserve">Niederranna, Pauliner (1363-1685)</t>
  </si>
  <si>
    <t>AT-HHStA/28b069bed180c38f14fdab0075dfa8c1</t>
  </si>
  <si>
    <t>AT-HHStA/GloggnitzOSB</t>
  </si>
  <si>
    <t>tag:www.monasterium.net,2011:/fond/AT-HHStA/GloggnitzOSB</t>
  </si>
  <si>
    <t xml:space="preserve">Gloggnitz, Benediktiner (1476)</t>
  </si>
  <si>
    <t>AT-HHStA/28dcffec83df9ea99c67dc00973cd753</t>
  </si>
  <si>
    <t>AT-HHStA/ImbachOP</t>
  </si>
  <si>
    <t>tag:www.monasterium.net,2011:/fond/AT-HHStA/ImbachOP</t>
  </si>
  <si>
    <t xml:space="preserve">Imbach, Dominikanerinnen (1267-1764)</t>
  </si>
  <si>
    <t>AT-HHStA/2a1483a734de132d55b43aa5c6db38e7</t>
  </si>
  <si>
    <t>AT-HHStA/WNStPeterSpOP</t>
  </si>
  <si>
    <t>tag:www.monasterium.net,2011:/fond/AT-HHStA/WNStPeterSpOP</t>
  </si>
  <si>
    <t xml:space="preserve">Wr. Neustadt, St. Peter in der Sperr, Dominikanerinnen (1301-1572)</t>
  </si>
  <si>
    <t>AT-HHStA/2a364391d1a49d7ff9cf6c85f9bace18</t>
  </si>
  <si>
    <t>AT-HHStA/StrebnitzOSB</t>
  </si>
  <si>
    <t>tag:www.monasterium.net,2011:/fond/AT-HHStA/StrebnitzOSB</t>
  </si>
  <si>
    <t xml:space="preserve">Strebnitz, Benediktiner</t>
  </si>
  <si>
    <t>AT-HHStA/2bd681e85fd0627a24614ac5afc555ea</t>
  </si>
  <si>
    <t>AT-HHStA/RadljeOP</t>
  </si>
  <si>
    <t>tag:www.monasterium.net,2011:/fond/AT-HHStA/RadljeOP</t>
  </si>
  <si>
    <t xml:space="preserve">Radlje (dt. Mahrenberg), Dominikanerinnen (1268-1461)</t>
  </si>
  <si>
    <t>AT-HHStA/2e6549a27d028c145f774d2ce33e663b</t>
  </si>
  <si>
    <t>AT-HHStA/SchnalsOCart</t>
  </si>
  <si>
    <t>tag:www.monasterium.net,2011:/fond/AT-HHStA/SchnalsOCart</t>
  </si>
  <si>
    <t xml:space="preserve">Schnals, Kartäuser</t>
  </si>
  <si>
    <t>AT-HHStA/2f35e9f8cc6edcdfd441fbc73fe0bab4</t>
  </si>
  <si>
    <t>AT-HHStA/KleinmariazellOSB</t>
  </si>
  <si>
    <t>tag:www.monasterium.net,2011:/fond/AT-HHStA/KleinmariazellOSB</t>
  </si>
  <si>
    <t xml:space="preserve">Kleinmariazell, Benediktiner</t>
  </si>
  <si>
    <t>AT-HHStA/2f80f5d2a20ed0b3c237e74d53fa2311</t>
  </si>
  <si>
    <t>AT-HHStA/PrahaMgd</t>
  </si>
  <si>
    <t>tag:www.monasterium.net,2011:/fond/AT-HHStA/PrahaMgd</t>
  </si>
  <si>
    <t xml:space="preserve">Praha, Magdalenitinen (1398)</t>
  </si>
  <si>
    <t>AT-HHStA/394845fa8ba5789a14f83b35d3819191</t>
  </si>
  <si>
    <t>AT-HHStA/GamingOCart</t>
  </si>
  <si>
    <t>tag:www.monasterium.net,2011:/fond/AT-HHStA/GamingOCart</t>
  </si>
  <si>
    <t xml:space="preserve">Gaming, Kartäuser (1311-1753)</t>
  </si>
  <si>
    <t>AT-HHStA/3c4547862e4046b95ba7b8ff63c61df3</t>
  </si>
  <si>
    <t>AT-HHStA/KlingenthalOP</t>
  </si>
  <si>
    <t>tag:www.monasterium.net,2011:/fond/AT-HHStA/KlingenthalOP</t>
  </si>
  <si>
    <t xml:space="preserve">Klingenthal, Dominikanerinnen (1482-1483)</t>
  </si>
  <si>
    <t>AT-HHStA/42fb5072123bcbad66bbdbb1eb32c3c5</t>
  </si>
  <si>
    <t>AT-HHStA/ErlaOSB</t>
  </si>
  <si>
    <t>tag:www.monasterium.net,2011:/fond/AT-HHStA/ErlaOSB</t>
  </si>
  <si>
    <t xml:space="preserve">Erla, Benediktinerinnen (1050-1742)</t>
  </si>
  <si>
    <t>AT-HHStA/443eef51699f3b3af04d0db6cbbe1e5f</t>
  </si>
  <si>
    <t>AT-HHStA/StudeniceOP</t>
  </si>
  <si>
    <t>tag:www.monasterium.net,2011:/fond/AT-HHStA/StudeniceOP</t>
  </si>
  <si>
    <t xml:space="preserve">Studenice (dt. Studenitz), Dominikanerinnen (1249-1297)</t>
  </si>
  <si>
    <t>AT-HHStA/4c1ae70ca45a80545e3be9c0ce29d73d</t>
  </si>
  <si>
    <t>AT-HHStA/PolaStMichaelDeMonta</t>
  </si>
  <si>
    <t>tag:www.monasterium.net,2011:/fond/AT-HHStA/PolaStMichaelDeMonta</t>
  </si>
  <si>
    <t xml:space="preserve">St. Michael de Monte bei Pola</t>
  </si>
  <si>
    <t>AT-HHStA/4cf1e40e5a35164d08e67e5d1b282832</t>
  </si>
  <si>
    <t>AT-HHStA/StainachOP</t>
  </si>
  <si>
    <t>tag:www.monasterium.net,2011:/fond/AT-HHStA/StainachOP</t>
  </si>
  <si>
    <t xml:space="preserve">Stainach, Dominikanerinnen (1494-1500)</t>
  </si>
  <si>
    <t>AT-HHStA/4ddf289639f88b3f075b379933eeb9d7</t>
  </si>
  <si>
    <t>AT-HHStA/BerchtesgadenCanReg</t>
  </si>
  <si>
    <t>tag:www.monasterium.net,2011:/fond/AT-HHStA/BerchtesgadenCanReg</t>
  </si>
  <si>
    <t xml:space="preserve">Berchtesgaden, Augustiner-Chorherren (1202-1460)</t>
  </si>
  <si>
    <t>AT-HHStA/5195563ee7e879397525bf1e2575e57d</t>
  </si>
  <si>
    <t>AT-HHStA/JudenburgOSCI</t>
  </si>
  <si>
    <t>tag:www.monasterium.net,2011:/fond/AT-HHStA/JudenburgOSCI</t>
  </si>
  <si>
    <t xml:space="preserve">Judenburg, Klarissen (1255-1463)</t>
  </si>
  <si>
    <t>AT-HHStA/5329fc999edb8f67da8d55b09bcaa863</t>
  </si>
  <si>
    <t>AT-HHStA/PletrjeOCart</t>
  </si>
  <si>
    <t>tag:www.monasterium.net,2011:/fond/AT-HHStA/PletrjeOCart</t>
  </si>
  <si>
    <t xml:space="preserve">Pletrje (dt. Pletriach), Kartäuser (1450-1472)</t>
  </si>
  <si>
    <t>AT-HHStA/56ea04b6c34e2d1491c3e0b970d01a8a</t>
  </si>
  <si>
    <t>AT-HHStA/SonnenburgOSB</t>
  </si>
  <si>
    <t>tag:www.monasterium.net,2011:/fond/AT-HHStA/SonnenburgOSB</t>
  </si>
  <si>
    <t xml:space="preserve">Sonnenburg, Benediktiner</t>
  </si>
  <si>
    <t>AT-HHStA/586ca6faa648b2fa6980eb6714c0b1dd</t>
  </si>
  <si>
    <t>AT-HHStA/WienStClaraOSCI</t>
  </si>
  <si>
    <t>tag:www.monasterium.net,2011:/fond/AT-HHStA/WienStClaraOSCI</t>
  </si>
  <si>
    <t xml:space="preserve">Wien, St. Clara - Klarissen (1302-1568)</t>
  </si>
  <si>
    <t>AT-HHStA/5980e0d609e409ed4e27522ba78b2caa</t>
  </si>
  <si>
    <t>AT-HHStA/KorneuburgOESA</t>
  </si>
  <si>
    <t>tag:www.monasterium.net,2011:/fond/AT-HHStA/KorneuburgOESA</t>
  </si>
  <si>
    <t xml:space="preserve">Korneuburg, Augustiner-Eremiten (1305-1771)</t>
  </si>
  <si>
    <t>AT-HHStA/5e610f61399b6eeae512dcfbac71064b</t>
  </si>
  <si>
    <t>AT-HHStA/StMichaelzuTschernaKonvent</t>
  </si>
  <si>
    <t>tag:www.monasterium.net,2011:/fond/AT-HHStA/StMichaelzuTschernaKonvent</t>
  </si>
  <si>
    <t xml:space="preserve">Konvent St. Michael zu Tscherna</t>
  </si>
  <si>
    <t>AT-HHStA/62774581e007573c81fa9e6d99bc2b1e</t>
  </si>
  <si>
    <t>AT-HHStA/PlasyOCist</t>
  </si>
  <si>
    <t>tag:www.monasterium.net,2011:/fond/AT-HHStA/PlasyOCist</t>
  </si>
  <si>
    <t xml:space="preserve">Plasy (dt. Plass), Zisterzienser (1344-1410)</t>
  </si>
  <si>
    <t>AT-HHStA/628d3cfa5b852ead58a9e1e9487909cd</t>
  </si>
  <si>
    <t>AT-HHStA/SbgFrauenklosterStPeter</t>
  </si>
  <si>
    <t>tag:www.monasterium.net,2011:/fond/AT-HHStA/SbgFrauenklosterStPeter</t>
  </si>
  <si>
    <t xml:space="preserve">Frauenkloster St. Peter in Salzburg</t>
  </si>
  <si>
    <t>AT-HHStA/6483644ab616e1ca9cddd666d9ddfde8</t>
  </si>
  <si>
    <t>AT-HHStA/SmichowOCart</t>
  </si>
  <si>
    <t>tag:www.monasterium.net,2011:/fond/AT-HHStA/SmichowOCart</t>
  </si>
  <si>
    <t xml:space="preserve">Smíchow (dt. Mariengarten), Kartäuser (1352-1454)</t>
  </si>
  <si>
    <t>AT-HHStA/67d487952059ef89fceba20add59b0b3</t>
  </si>
  <si>
    <t>AT-HHStA/WienMaMagdCanReg</t>
  </si>
  <si>
    <t>tag:www.monasterium.net,2011:/fond/AT-HHStA/WienMaMagdCanReg</t>
  </si>
  <si>
    <t xml:space="preserve">Wien, St. Maria Magdalena, Augustiner-Chorfrauen (1234-1530)</t>
  </si>
  <si>
    <t>AT-HHStA/71797856cf9748f731f9ad1e42f986c9</t>
  </si>
  <si>
    <t>AT-HHStA/MistelbachOCarm</t>
  </si>
  <si>
    <t>tag:www.monasterium.net,2011:/fond/AT-HHStA/MistelbachOCarm</t>
  </si>
  <si>
    <t xml:space="preserve">Mistelbach, Karmeliter (1443-1474)</t>
  </si>
  <si>
    <t>AT-HHStA/71f18c87f7373671c8b009f5f8a793a5</t>
  </si>
  <si>
    <t>AT-HHStA/TullnOP</t>
  </si>
  <si>
    <t>tag:www.monasterium.net,2011:/fond/AT-HHStA/TullnOP</t>
  </si>
  <si>
    <t xml:space="preserve">Tulln, Dominikanerinnen (1204-1742)</t>
  </si>
  <si>
    <t>AT-HHStA/74688b44f80dd060ac96758be7016a22</t>
  </si>
  <si>
    <t>AT-HHStA/FreudnitzOCart</t>
  </si>
  <si>
    <t>tag:www.monasterium.net,2011:/fond/AT-HHStA/FreudnitzOCart</t>
  </si>
  <si>
    <t xml:space="preserve">Freudnitz, Kartäuser</t>
  </si>
  <si>
    <t>AT-HHStA/754d7c4df24c80136e7d86e74585f832</t>
  </si>
  <si>
    <t>AT-HHStA/LindauCan</t>
  </si>
  <si>
    <t>tag:www.monasterium.net,2011:/fond/AT-HHStA/LindauCan</t>
  </si>
  <si>
    <t xml:space="preserve">Lindau, Kanoniker</t>
  </si>
  <si>
    <t>AT-HHStA/76e8833542beb534a98daadd15d8fc50</t>
  </si>
  <si>
    <t>AT-HHStA/KirchbergCanReg</t>
  </si>
  <si>
    <t>tag:www.monasterium.net,2011:/fond/AT-HHStA/KirchbergCanReg</t>
  </si>
  <si>
    <t xml:space="preserve">Kirchberg am Wechsel, Augustiner-Chorfrauen (1272-1742)</t>
  </si>
  <si>
    <t>AT-HHStA/793a79f7a5191751e39450b257e8c531</t>
  </si>
  <si>
    <t>AT-HHStA/WNOSPPE</t>
  </si>
  <si>
    <t>tag:www.monasterium.net,2011:/fond/AT-HHStA/WNOSPPE</t>
  </si>
  <si>
    <t xml:space="preserve">Wr. Neustadt, Pauliner (1265-1671)</t>
  </si>
  <si>
    <t>AT-HHStA/7ca3df7db99c72981ca7afa59b8f1abd</t>
  </si>
  <si>
    <t>AT-HHStA/EberndorfCanReg</t>
  </si>
  <si>
    <t>tag:www.monasterium.net,2011:/fond/AT-HHStA/EberndorfCanReg</t>
  </si>
  <si>
    <t xml:space="preserve">Eberndorf, Augustiner Chorherren (1106-1601)</t>
  </si>
  <si>
    <t>AT-HHStA/7dd029951d41126dda950d2f42d37056</t>
  </si>
  <si>
    <t>AT-HHStA/SpitalamSemmeringCan</t>
  </si>
  <si>
    <t>tag:www.monasterium.net,2011:/fond/AT-HHStA/SpitalamSemmeringCan</t>
  </si>
  <si>
    <t xml:space="preserve">Spital am Semmering, Kanoniker</t>
  </si>
  <si>
    <t>AT-HHStA/7e3391cb4df8b98bc6fc8140ee9a88e3</t>
  </si>
  <si>
    <t>AT-HHStA/WienKoeklOSCI</t>
  </si>
  <si>
    <t>tag:www.monasterium.net,2011:/fond/AT-HHStA/WienKoeklOSCI</t>
  </si>
  <si>
    <t xml:space="preserve">Wien, Königskloster, Klarissen (1583-1779)</t>
  </si>
  <si>
    <t>AT-HHStA/7fdbbab217918f9cdcef47f8f44b60a2</t>
  </si>
  <si>
    <t>AT-HHStA/WienStJakobCanReg</t>
  </si>
  <si>
    <t>tag:www.monasterium.net,2011:/fond/AT-HHStA/WienStJakobCanReg</t>
  </si>
  <si>
    <t xml:space="preserve">Wien, St. Jakob auf der Hülben, Augustiner-Chorfrauen (1326-1751)</t>
  </si>
  <si>
    <t>AT-HHStA/8c1d3d55acab28f955a37ccc994f297b</t>
  </si>
  <si>
    <t>AT-HHStA/ZwettlOCist</t>
  </si>
  <si>
    <t>tag:www.monasterium.net,2011:/fond/AT-HHStA/ZwettlOCist</t>
  </si>
  <si>
    <t xml:space="preserve">Zwettl, Zisterzienser</t>
  </si>
  <si>
    <t>AT-HHStA/8de1b652314d59e8cbd26827ed13381b</t>
  </si>
  <si>
    <t>AT-HHStA/OssiachOSB</t>
  </si>
  <si>
    <t>tag:www.monasterium.net,2011:/fond/AT-HHStA/OssiachOSB</t>
  </si>
  <si>
    <t xml:space="preserve">Ossiach, Benediktiner</t>
  </si>
  <si>
    <t>AT-HHStA/909ee1fcd030234e6e7bfa3f3765eb2d</t>
  </si>
  <si>
    <t>AT-HHStA/WienOCarm</t>
  </si>
  <si>
    <t>tag:www.monasterium.net,2011:/fond/AT-HHStA/WienOCarm</t>
  </si>
  <si>
    <t xml:space="preserve">Wien, Karmeliter (1348-1666)</t>
  </si>
  <si>
    <t>AT-HHStA/96eedca169fcea10994dbd347c54b5dd</t>
  </si>
  <si>
    <t>AT-HHStA/SpitalamPyhrnCan</t>
  </si>
  <si>
    <t>tag:www.monasterium.net,2011:/fond/AT-HHStA/SpitalamPyhrnCan</t>
  </si>
  <si>
    <t xml:space="preserve">Spital am Pyhrn, Kanoniker</t>
  </si>
  <si>
    <t>AT-HHStA/97e8b19c31bff5e5db87f2b623ef24c1</t>
  </si>
  <si>
    <t>AT-HHStA/FriesachOSA</t>
  </si>
  <si>
    <t>tag:www.monasterium.net,2011:/fond/AT-HHStA/FriesachOSA</t>
  </si>
  <si>
    <t xml:space="preserve">Friesach, Augustiner</t>
  </si>
  <si>
    <t>AT-HHStA/97ffebe7e87724b21ee1e3b604b4e71f</t>
  </si>
  <si>
    <t>AT-HHStA/FuldeppOP</t>
  </si>
  <si>
    <t>tag:www.monasterium.net,2011:/fond/AT-HHStA/FuldeppOP</t>
  </si>
  <si>
    <t xml:space="preserve">Fuldepp, Dominikanerinnen (1299-1484)</t>
  </si>
  <si>
    <t>AT-HHStA/996a0162612172f696204bf95b0328c0</t>
  </si>
  <si>
    <t>AT-HHStA/StPeterSchwwOSB</t>
  </si>
  <si>
    <t>tag:www.monasterium.net,2011:/fond/AT-HHStA/StPeterSchwwOSB</t>
  </si>
  <si>
    <t xml:space="preserve">St. Peter im Schwarzwald, Benediktiner (1139)</t>
  </si>
  <si>
    <t>AT-HHStA/a36edd2342b81daeb1ca60882dbf2c42</t>
  </si>
  <si>
    <t>AT-HHStA/TraunseeOSB</t>
  </si>
  <si>
    <t>tag:www.monasterium.net,2011:/fond/AT-HHStA/TraunseeOSB</t>
  </si>
  <si>
    <t xml:space="preserve">Traunsee, Benediktinerinnen (909)</t>
  </si>
  <si>
    <t>AT-HHStA/a475c817e848bce9ffa9d5d83d84ca3b</t>
  </si>
  <si>
    <t>AT-HHStA/MillstattOSB</t>
  </si>
  <si>
    <t>tag:www.monasterium.net,2011:/fond/AT-HHStA/MillstattOSB</t>
  </si>
  <si>
    <t xml:space="preserve">Millstatt, Benediktiner (1122-1588)</t>
  </si>
  <si>
    <t>AT-HHStA/ac7ac3a0163c567a67cb841f49ec038a</t>
  </si>
  <si>
    <t>AT-HHStA/PerneggOPraem</t>
  </si>
  <si>
    <t>tag:www.monasterium.net,2011:/fond/AT-HHStA/PerneggOPraem</t>
  </si>
  <si>
    <t xml:space="preserve">Pernegg, Prämonstratenser (1343)</t>
  </si>
  <si>
    <t>AT-HHStA/b423c4e3c7c5812979ef0a022b342dee</t>
  </si>
  <si>
    <t>AT-HHStA/WNOFMConv</t>
  </si>
  <si>
    <t>tag:www.monasterium.net,2011:/fond/AT-HHStA/WNOFMConv</t>
  </si>
  <si>
    <t xml:space="preserve">Wr. Neustadt, Minoriten (1344-1507)</t>
  </si>
  <si>
    <t>AT-HHStA/b5ed08e27392a35d95409664927914a0</t>
  </si>
  <si>
    <t>AT-HHStA/GoessOSB</t>
  </si>
  <si>
    <t>tag:www.monasterium.net,2011:/fond/AT-HHStA/GoessOSB</t>
  </si>
  <si>
    <t xml:space="preserve">Göss, Benediktinerinnen (1187-1496)</t>
  </si>
  <si>
    <t>AT-HHStA/b921b5ae1e3063542b66c5628ed78853</t>
  </si>
  <si>
    <t>AT-HHStA/WNOCarm</t>
  </si>
  <si>
    <t>tag:www.monasterium.net,2011:/fond/AT-HHStA/WNOCarm</t>
  </si>
  <si>
    <t xml:space="preserve">Wr. Neustadt, Karmeliterinnen (1667)</t>
  </si>
  <si>
    <t>AT-HHStA/ba10f5123a219e7e431ead1f8ac6bdac</t>
  </si>
  <si>
    <t>AT-HHStA/LeobenOP</t>
  </si>
  <si>
    <t>tag:www.monasterium.net,2011:/fond/AT-HHStA/LeobenOP</t>
  </si>
  <si>
    <t xml:space="preserve">Leoben, Dominikaner (1288-1313)</t>
  </si>
  <si>
    <t>AT-HHStA/ba65f6c1f399cd7146c1d3baccc16dc3</t>
  </si>
  <si>
    <t>AT-HHStA/SticnaOCist</t>
  </si>
  <si>
    <t>tag:www.monasterium.net,2011:/fond/AT-HHStA/SticnaOCist</t>
  </si>
  <si>
    <t xml:space="preserve">StiÄna, Zisterzienser</t>
  </si>
  <si>
    <t>AT-HHStA/bb2df0043a7d0a5b5cb05b50c2c4b016</t>
  </si>
  <si>
    <t>AT-HHStA/NeubergOCist</t>
  </si>
  <si>
    <t>tag:www.monasterium.net,2011:/fond/AT-HHStA/NeubergOCist</t>
  </si>
  <si>
    <t xml:space="preserve">Neuberg an der Mürz, Zisterzienser (1357-1457)</t>
  </si>
  <si>
    <t>AT-HHStA/bcd5de7ba82a26148d8556db2eed63f5</t>
  </si>
  <si>
    <t>AT-HHStA/NiedernburgOSB</t>
  </si>
  <si>
    <t>tag:www.monasterium.net,2011:/fond/AT-HHStA/NiedernburgOSB</t>
  </si>
  <si>
    <t xml:space="preserve">Niedernburg, Benediktiner</t>
  </si>
  <si>
    <t>AT-HHStA/bda3578d6c775ee41aa3f118a35a0af8</t>
  </si>
  <si>
    <t>AT-HHStA/WienOSA</t>
  </si>
  <si>
    <t>tag:www.monasterium.net,2011:/fond/AT-HHStA/WienOSA</t>
  </si>
  <si>
    <t xml:space="preserve">Wien, Augustiner (1333-1467)</t>
  </si>
  <si>
    <t>AT-HHStA/be1b0f10427aca9aa2c75949f75de97e</t>
  </si>
  <si>
    <t>AT-HHStA/WienOFM</t>
  </si>
  <si>
    <t>tag:www.monasterium.net,2011:/fond/AT-HHStA/WienOFM</t>
  </si>
  <si>
    <t xml:space="preserve">Wien, Franziskaner (1545)</t>
  </si>
  <si>
    <t>AT-HHStA/bf7e7912761208f78fd2fb8c01d85428</t>
  </si>
  <si>
    <t>AT-HHStA/StAndraeOP</t>
  </si>
  <si>
    <t>tag:www.monasterium.net,2011:/fond/AT-HHStA/StAndraeOP</t>
  </si>
  <si>
    <t xml:space="preserve">St. Andrä, Dominikanerinnen (1694-1755)</t>
  </si>
  <si>
    <t>AT-HHStA/c0fb7329fa66ddfbf7efa754932cd2a8</t>
  </si>
  <si>
    <t>AT-HHStA/GrazOFM</t>
  </si>
  <si>
    <t>tag:www.monasterium.net,2011:/fond/AT-HHStA/GrazOFM</t>
  </si>
  <si>
    <t xml:space="preserve">Graz, Franziskaner (1381-1507)</t>
  </si>
  <si>
    <t>AT-HHStA/c49a3b54c2edf2c51995fcd1ca2f351c</t>
  </si>
  <si>
    <t>AT-HHStA/WienOSBCam</t>
  </si>
  <si>
    <t>tag:www.monasterium.net,2011:/fond/AT-HHStA/WienOSBCam</t>
  </si>
  <si>
    <t xml:space="preserve">Wien, Camaldulenser (1638-1718)</t>
  </si>
  <si>
    <t>AT-HHStA/c90c857062ebd605a93658d9b58bddf0</t>
  </si>
  <si>
    <t>AT-HHStA/GoettweigOSB</t>
  </si>
  <si>
    <t>tag:www.monasterium.net,2011:/fond/AT-HHStA/GoettweigOSB</t>
  </si>
  <si>
    <t xml:space="preserve">Göttweig, Benediktiner</t>
  </si>
  <si>
    <t>AT-HHStA/c9fdb885b40b9c0313ecf08b76daeb5f</t>
  </si>
  <si>
    <t>AT-HHStA/ObernburgOSB</t>
  </si>
  <si>
    <t>tag:www.monasterium.net,2011:/fond/AT-HHStA/ObernburgOSB</t>
  </si>
  <si>
    <t xml:space="preserve">Gornji Grad (dt. Obernburg), Benediktiner (1220-1372)</t>
  </si>
  <si>
    <t>AT-HHStA/ca03d391d7c60e50fd6ad5811786e8c4</t>
  </si>
  <si>
    <t>AT-HHStA/RegensburgOCarm</t>
  </si>
  <si>
    <t>tag:www.monasterium.net,2011:/fond/AT-HHStA/RegensburgOCarm</t>
  </si>
  <si>
    <t xml:space="preserve">Regensburg, Karmeliter</t>
  </si>
  <si>
    <t>AT-HHStA/ccc79582eabb03b0ea6227a8fcb0e49f</t>
  </si>
  <si>
    <t>AT-HHStA/ViktringOCist</t>
  </si>
  <si>
    <t>tag:www.monasterium.net,2011:/fond/AT-HHStA/ViktringOCist</t>
  </si>
  <si>
    <t xml:space="preserve">Viktring, Zisterzienser (1143-1484)</t>
  </si>
  <si>
    <t>AT-HHStA/cfbf66ee6ea0e6350a45e22f3eff3d2b</t>
  </si>
  <si>
    <t>AT-HHStA/StGeorgenLOSB</t>
  </si>
  <si>
    <t>tag:www.monasterium.net,2011:/fond/AT-HHStA/StGeorgenLOSB</t>
  </si>
  <si>
    <t xml:space="preserve">St. Georgen am Längsee, Benediktinerinnen (1257)</t>
  </si>
  <si>
    <t>AT-HHStA/d18a85732d09078e5a6a0dd1330b6d82</t>
  </si>
  <si>
    <t>AT-HHStA/PulgarnCan</t>
  </si>
  <si>
    <t>tag:www.monasterium.net,2011:/fond/AT-HHStA/PulgarnCan</t>
  </si>
  <si>
    <t xml:space="preserve">Pulgarn, Kanoniker</t>
  </si>
  <si>
    <t>AT-HHStA/d4879a41a4614d7918d99f514670ed86</t>
  </si>
  <si>
    <t>AT-HHStA/MauerbachOCart</t>
  </si>
  <si>
    <t>tag:www.monasterium.net,2011:/fond/AT-HHStA/MauerbachOCart</t>
  </si>
  <si>
    <t xml:space="preserve">Mauerbach, Kartäuser (1266-1759)</t>
  </si>
  <si>
    <t>AT-HHStA/d735cec3dd14a8548347ebdc63042a3a</t>
  </si>
  <si>
    <t>AT-HHStA/WienStNikolaOSCI</t>
  </si>
  <si>
    <t>tag:www.monasterium.net,2011:/fond/AT-HHStA/WienStNikolaOSCI</t>
  </si>
  <si>
    <t xml:space="preserve">Wien, St. Nikola, Klarissen (1277-1660)</t>
  </si>
  <si>
    <t>AT-HHStA/dabe09cfe021697547f6cbef9e755b31</t>
  </si>
  <si>
    <t>AT-HHStA/ReinOCist</t>
  </si>
  <si>
    <t>tag:www.monasterium.net,2011:/fond/AT-HHStA/ReinOCist</t>
  </si>
  <si>
    <t xml:space="preserve">Rein, Zisterzienser</t>
  </si>
  <si>
    <t>AT-HHStA/db41d483d14124c56ecb55cd9fd0404f</t>
  </si>
  <si>
    <t>AT-HHStA/TegernseeOSB</t>
  </si>
  <si>
    <t>tag:www.monasterium.net,2011:/fond/AT-HHStA/TegernseeOSB</t>
  </si>
  <si>
    <t xml:space="preserve">Tegernsee, Benediktiner</t>
  </si>
  <si>
    <t>AT-HHStA/dd5afd618378387bfef355421cbe5e49</t>
  </si>
  <si>
    <t>AT-HHStA/WienOP</t>
  </si>
  <si>
    <t>tag:www.monasterium.net,2011:/fond/AT-HHStA/WienOP</t>
  </si>
  <si>
    <t xml:space="preserve">Wien, Dominikaner (1278-1437)</t>
  </si>
  <si>
    <t>AT-HHStA/dd618ca73597bb623bd4d1955b545862</t>
  </si>
  <si>
    <t>AT-HHStA/AdmontOSB</t>
  </si>
  <si>
    <t>tag:www.monasterium.net,2011:/fond/AT-HHStA/AdmontOSB</t>
  </si>
  <si>
    <t xml:space="preserve">Admont, Benediktiner (1245-1571)</t>
  </si>
  <si>
    <t>AT-HHStA/e13cfbb597e07de0b9dfa89ed071939f</t>
  </si>
  <si>
    <t>AT-HHStA/ChiemseeUnsereLiebeFrau</t>
  </si>
  <si>
    <t>tag:www.monasterium.net,2011:/fond/AT-HHStA/ChiemseeUnsereLiebeFrau</t>
  </si>
  <si>
    <t xml:space="preserve">Unsere liebe Frau Chiemsee</t>
  </si>
  <si>
    <t>AT-HHStA/e3e278be36d8326e59a11d1a2be664ec</t>
  </si>
  <si>
    <t>AT-HHStA/GleinkOSB</t>
  </si>
  <si>
    <t>tag:www.monasterium.net,2011:/fond/AT-HHStA/GleinkOSB</t>
  </si>
  <si>
    <t xml:space="preserve">Gleink, Benediktiner</t>
  </si>
  <si>
    <t>AT-HHStA/ec300b7fe6d5473422ebee17644827a3</t>
  </si>
  <si>
    <t>AT-HHStA/PtujOP</t>
  </si>
  <si>
    <t>tag:www.monasterium.net,2011:/fond/AT-HHStA/PtujOP</t>
  </si>
  <si>
    <t xml:space="preserve">Ptuj (dt. Pettau), Dominikaner (1243-1461)</t>
  </si>
  <si>
    <t>AT-HHStA/ece9b9bad2c1b363137ad828f1570b75</t>
  </si>
  <si>
    <t>AT-HHStA/WienOFMConv</t>
  </si>
  <si>
    <t>tag:www.monasterium.net,2011:/fond/AT-HHStA/WienOFMConv</t>
  </si>
  <si>
    <t xml:space="preserve">Wien, Minoriten (1476-1517)</t>
  </si>
  <si>
    <t>AT-HHStA/ed6348ef3836aba5177ff4e2cee9addc</t>
  </si>
  <si>
    <t>AT-HHStA/StPaulOSB</t>
  </si>
  <si>
    <t>tag:www.monasterium.net,2011:/fond/AT-HHStA/StPaulOSB</t>
  </si>
  <si>
    <t xml:space="preserve">St. Paul, Benediktiner (1099- 1499)</t>
  </si>
  <si>
    <t>AT-HHStA/f4052b5b4a971e7a34adeeec11584b84</t>
  </si>
  <si>
    <t>AT-HHStA/ZatecOFMConv</t>
  </si>
  <si>
    <t>tag:www.monasterium.net,2011:/fond/AT-HHStA/ZatecOFMConv</t>
  </si>
  <si>
    <t xml:space="preserve">Å½atec (dt. Saaz), Minoriten (1380)</t>
  </si>
  <si>
    <t>AT-HHStA/f7eb9cc13645d33029b63fac7c3326cf</t>
  </si>
  <si>
    <t>AT-HHStA/ZiceOCar</t>
  </si>
  <si>
    <t>tag:www.monasterium.net,2011:/fond/AT-HHStA/ZiceOCar</t>
  </si>
  <si>
    <t xml:space="preserve">Å½iÄe (dt. Seiz), Kartäuser (1173-1366)</t>
  </si>
  <si>
    <t>AT-HHStA/f94580f890498eeb7ff66bd568d6aab7</t>
  </si>
  <si>
    <t>AT-HHStA/WNOP</t>
  </si>
  <si>
    <t>tag:www.monasterium.net,2011:/fond/AT-HHStA/WNOP</t>
  </si>
  <si>
    <t xml:space="preserve">Wr. Neustadt, Dominikaner (1358-1529)</t>
  </si>
  <si>
    <t>AT-HHStA/fa3da4b8668c1d67e9359fb4357fb33e</t>
  </si>
  <si>
    <t>AT-HHStA/BistraOCart</t>
  </si>
  <si>
    <t>tag:www.monasterium.net,2011:/fond/AT-HHStA/BistraOCart</t>
  </si>
  <si>
    <t xml:space="preserve">Bistra (dt. Freudenthal), Kartäuser (1255-1480)</t>
  </si>
  <si>
    <t>AT-HHStA/fdd4af9a0f340b8053f1990ed081c50d</t>
  </si>
  <si>
    <t>AT-HHStA/VelesovoOP</t>
  </si>
  <si>
    <t>tag:www.monasterium.net,2011:/fond/AT-HHStA/VelesovoOP</t>
  </si>
  <si>
    <t xml:space="preserve">Velesovo (dt. Michelstetten), Dominikanerinnen (1238-1568)</t>
  </si>
  <si>
    <t>AT-KLA/cc6a49cdf882c7a5663531e8ac0d8f0d</t>
  </si>
  <si>
    <t>AT-KLA/KLA-308</t>
  </si>
  <si>
    <t>tag:www.monasterium.net,2011:/fond/AT-KLA/KLA-308</t>
  </si>
  <si>
    <t xml:space="preserve">Eberndorf, Augustiner-Chorherrenstift</t>
  </si>
  <si>
    <t>AT-KLA/d11000abd779835977124513baa32b34</t>
  </si>
  <si>
    <t>AT-KLA/KLA-266</t>
  </si>
  <si>
    <t>tag:www.monasterium.net,2011:/fond/AT-KLA/KLA-266</t>
  </si>
  <si>
    <t xml:space="preserve">Pulst, Kommende</t>
  </si>
  <si>
    <t>AT-NOeLA/920d6231d6670e9d1fa247713556afe4</t>
  </si>
  <si>
    <t>AT-NOeLA/A_Glogg</t>
  </si>
  <si>
    <t>tag:www.monasterium.net,2011:/fond/AT-NOeLA/A_Glogg</t>
  </si>
  <si>
    <t xml:space="preserve">Gloggnitz Propstei, Urkunden</t>
  </si>
  <si>
    <t>AT-OOeLA/3d84733385d65bc40d0947945dece214</t>
  </si>
  <si>
    <t>AT-OOeLA/SpitalamPyhrnCan</t>
  </si>
  <si>
    <t>tag:www.monasterium.net,2011:/fond/AT-OOeLA/SpitalamPyhrnCan</t>
  </si>
  <si>
    <t xml:space="preserve">Urkunden Spital am Pyhrn (1190-1798)</t>
  </si>
  <si>
    <t>AT-OOeLA/4204107681a3301bb4e23ee16c59ea0e</t>
  </si>
  <si>
    <t>AT-OOeLA/TraunkirchenOSB</t>
  </si>
  <si>
    <t>tag:www.monasterium.net,2011:/fond/AT-OOeLA/TraunkirchenOSB</t>
  </si>
  <si>
    <t xml:space="preserve">Urkunden Traunkirchen (1181-1398)</t>
  </si>
  <si>
    <t>AT-OOeLA/7fbd097e3003da92a912afe610ce1234</t>
  </si>
  <si>
    <t>AT-OOeLA/MondseeOSB</t>
  </si>
  <si>
    <t>tag:www.monasterium.net,2011:/fond/AT-OOeLA/MondseeOSB</t>
  </si>
  <si>
    <t xml:space="preserve">Mondsee, Benediktiner (1104-1802)</t>
  </si>
  <si>
    <t>AT-OOeLA/b1abca08eb804dd34e4f4c7b16f8f22f</t>
  </si>
  <si>
    <t>AT-OOeLA/GarstenOSB</t>
  </si>
  <si>
    <t>tag:www.monasterium.net,2011:/fond/AT-OOeLA/GarstenOSB</t>
  </si>
  <si>
    <t xml:space="preserve">Urkunden Garsten (1082-1778)</t>
  </si>
  <si>
    <t>AT-OOeLA/b4435727739fc919d6255b4645e1d737</t>
  </si>
  <si>
    <t>AT-OOeLA/SubenCanReg</t>
  </si>
  <si>
    <t>tag:www.monasterium.net,2011:/fond/AT-OOeLA/SubenCanReg</t>
  </si>
  <si>
    <t xml:space="preserve">Urkunden Suben (1142-1397)</t>
  </si>
  <si>
    <t>AT-OOeLA/d4f0b6aa1d4337a0a19bc1983c2ef21b</t>
  </si>
  <si>
    <t>AT-OOeLA/GleinkOSB</t>
  </si>
  <si>
    <t>tag:www.monasterium.net,2011:/fond/AT-OOeLA/GleinkOSB</t>
  </si>
  <si>
    <t xml:space="preserve">Urkunden Gleink (1088-1762)</t>
  </si>
  <si>
    <t>AT-StaAR/bba45d4f74685b25f49a8f26a38cb840</t>
  </si>
  <si>
    <t>AT-StaAR/UrkDominikanerkloster</t>
  </si>
  <si>
    <t>tag:www.monasterium.net,2011:/fond/AT-StaAR/UrkDominikanerkloster</t>
  </si>
  <si>
    <t xml:space="preserve">Dominikanerkloster Urkunden (1295-1773)Â </t>
  </si>
  <si>
    <t>AT-StiAA/7bcfdc2159154a251e578cc62430665d</t>
  </si>
  <si>
    <t>AT-StiAA/Urkunden</t>
  </si>
  <si>
    <t>tag:www.monasterium.net,2011:/fond/AT-StiAA/Urkunden</t>
  </si>
  <si>
    <t xml:space="preserve">Urkunden (1144-1943)</t>
  </si>
  <si>
    <t>AT-StiAAdm/fd14928e00fdf9fe95f7e346bdacab4c</t>
  </si>
  <si>
    <t>AT-StiAAdm/Urkunden</t>
  </si>
  <si>
    <t>tag:www.monasterium.net,2011:/fond/AT-StiAAdm/Urkunden</t>
  </si>
  <si>
    <t>AT-StiAFiecht/928a7927ff2674866fada1aa03283e9c</t>
  </si>
  <si>
    <t>AT-StiAFiecht/Urkunden</t>
  </si>
  <si>
    <t>tag:www.monasterium.net,2011:/fond/AT-StiAFiecht/Urkunden</t>
  </si>
  <si>
    <t>Urkunden</t>
  </si>
  <si>
    <t>AT-StiAG/665f9c7bfad49b61525dcd87314c9d19</t>
  </si>
  <si>
    <t>AT-StiAG/GoettweigOSB</t>
  </si>
  <si>
    <t>tag:www.monasterium.net,2011:/fond/AT-StiAG/GoettweigOSB</t>
  </si>
  <si>
    <t xml:space="preserve">Urkunden (1058-1899)</t>
  </si>
  <si>
    <t>AT-StiAGe/2a15f4c33d78f76165ac4af7531964bd</t>
  </si>
  <si>
    <t>AT-StiAGe/Urkunden</t>
  </si>
  <si>
    <t>tag:www.monasterium.net,2011:/fond/AT-StiAGe/Urkunden</t>
  </si>
  <si>
    <t xml:space="preserve">Urkunden (1188-1992)</t>
  </si>
  <si>
    <t>AT-StiAH/42d7c3710ec1161ed22630c8281038cb</t>
  </si>
  <si>
    <t>AT-StiAH/HeiligenkreuzOCist</t>
  </si>
  <si>
    <t>tag:www.monasterium.net,2011:/fond/AT-StiAH/HeiligenkreuzOCist</t>
  </si>
  <si>
    <t xml:space="preserve">Heiligenkreuz, Urkunden (~1133-1775)</t>
  </si>
  <si>
    <t>AT-StiAH/63bf5e53089cc3ebaa02ffa872d06468</t>
  </si>
  <si>
    <t>AT-StiAH/WienOCist</t>
  </si>
  <si>
    <t>tag:www.monasterium.net,2011:/fond/AT-StiAH/WienOCist</t>
  </si>
  <si>
    <t xml:space="preserve">Wien St. Nikolaus, Urkunden (~1272-1729)</t>
  </si>
  <si>
    <t>AT-StiAHe/286f07262295cd714075603419990949</t>
  </si>
  <si>
    <t>AT-StiAHe/HerzogenburgCanReg</t>
  </si>
  <si>
    <t>tag:www.monasterium.net,2011:/fond/AT-StiAHe/HerzogenburgCanReg</t>
  </si>
  <si>
    <t xml:space="preserve">Urkunden Herzogenburg (1112-1852)</t>
  </si>
  <si>
    <t>AT-StiAHe/3a5be2e6b1a1a98c951dd94629c6b272</t>
  </si>
  <si>
    <t>AT-StiAHe/StAndraeCanReg</t>
  </si>
  <si>
    <t>tag:www.monasterium.net,2011:/fond/AT-StiAHe/StAndraeCanReg</t>
  </si>
  <si>
    <t xml:space="preserve">Urkunden St. Andrä an der Traisen (998-1776)</t>
  </si>
  <si>
    <t>AT-StiAHe/68aafe9be310eb6dc0d32f675b91d009</t>
  </si>
  <si>
    <t>AT-StiAHe/DuernsteinCanReg</t>
  </si>
  <si>
    <t>tag:www.monasterium.net,2011:/fond/AT-StiAHe/DuernsteinCanReg</t>
  </si>
  <si>
    <t xml:space="preserve">Urkunden Dürnstein, Augustiner-Chorherren (1298-1785)</t>
  </si>
  <si>
    <t>AT-StiAHe/de85077f09d3e9c8bec18aee72076257</t>
  </si>
  <si>
    <t>AT-StiAHe/DuernsteinOSCl</t>
  </si>
  <si>
    <t>tag:www.monasterium.net,2011:/fond/AT-StiAHe/DuernsteinOSCl</t>
  </si>
  <si>
    <t xml:space="preserve">Urkunden Dürnstein, Klarissen (1289-1562)</t>
  </si>
  <si>
    <t>AT-StiAK/0f7d542ec0466557588afa7c422575d9</t>
  </si>
  <si>
    <t>AT-StiAK/KlosterneuburgCanReg</t>
  </si>
  <si>
    <t>tag:www.monasterium.net,2011:/fond/AT-StiAK/KlosterneuburgCanReg</t>
  </si>
  <si>
    <t xml:space="preserve">Urkunden Klosterneuburg (1002-1767)</t>
  </si>
  <si>
    <t>AT-StiAK/fa4c1bfaecc1de36c81d136b99fc2b0e</t>
  </si>
  <si>
    <t>AT-StiAK/StDorotheaCanReg</t>
  </si>
  <si>
    <t>tag:www.monasterium.net,2011:/fond/AT-StiAK/StDorotheaCanReg</t>
  </si>
  <si>
    <t xml:space="preserve">Urkunden St. Dorothea (1259-1778)</t>
  </si>
  <si>
    <t>AT-StiAKr/63d0bd1c0c530a1a8ac2b2129d143380</t>
  </si>
  <si>
    <t>AT-StiAKr/KremsmuensterOSB</t>
  </si>
  <si>
    <t>tag:www.monasterium.net,2011:/fond/AT-StiAKr/KremsmuensterOSB</t>
  </si>
  <si>
    <t xml:space="preserve">Urkunden (777-1894)</t>
  </si>
  <si>
    <t>AT-StiAL/c3e0dcc065fa079d1fe0a5a176b1d2a8</t>
  </si>
  <si>
    <t>AT-StiAL/LambachOSB</t>
  </si>
  <si>
    <t>tag:www.monasterium.net,2011:/fond/AT-StiAL/LambachOSB</t>
  </si>
  <si>
    <t xml:space="preserve">Urkunden (992-1600)</t>
  </si>
  <si>
    <t>AT-StiALi/489bf44dc4a274a774ad65082e5a3f78</t>
  </si>
  <si>
    <t>AT-StiALi/LilienfeldOCist</t>
  </si>
  <si>
    <t>tag:www.monasterium.net,2011:/fond/AT-StiALi/LilienfeldOCist</t>
  </si>
  <si>
    <t xml:space="preserve">Lilienfeld, Zisterzienser (1111-1892) </t>
  </si>
  <si>
    <t>AT-StiAM/3181382eef393bdfe5100f9819e8e34b</t>
  </si>
  <si>
    <t>AT-StiAM/MelkOSB</t>
  </si>
  <si>
    <t>tag:www.monasterium.net,2011:/fond/AT-StiAM/MelkOSB</t>
  </si>
  <si>
    <t xml:space="preserve">Urkunden (1075-1912)</t>
  </si>
  <si>
    <t>AT-StiAMB/347f004d3d3009fdda843135794cec88</t>
  </si>
  <si>
    <t>AT-StiAMB/MuellnOSA</t>
  </si>
  <si>
    <t>tag:www.monasterium.net,2011:/fond/AT-StiAMB/MuellnOSA</t>
  </si>
  <si>
    <t xml:space="preserve">Salzburg-Mülln, Augustiner (1257-1799)</t>
  </si>
  <si>
    <t>AT-StiAMB/f6cd78a24bc64d007080fa8fe5dc1060</t>
  </si>
  <si>
    <t>AT-StiAMB/MbOSB</t>
  </si>
  <si>
    <t>tag:www.monasterium.net,2011:/fond/AT-StiAMB/MbOSB</t>
  </si>
  <si>
    <t xml:space="preserve">Michaelbeuern, Benediktiner (1072-1951)</t>
  </si>
  <si>
    <t>AT-StiAMh/c07644880c7e6b1a76efd1722e5ccd58</t>
  </si>
  <si>
    <t>AT-StiAMh/MattighofenCan</t>
  </si>
  <si>
    <t>tag:www.monasterium.net,2011:/fond/AT-StiAMh/MattighofenCan</t>
  </si>
  <si>
    <t xml:space="preserve">Mattighofen, Kollegiat (1318-1393)</t>
  </si>
  <si>
    <t>AT-StiAMt/6445d4c11f9bdb02831b856ef3ecf7ca</t>
  </si>
  <si>
    <t>AT-StiAMt/MattseeCan</t>
  </si>
  <si>
    <t>tag:www.monasterium.net,2011:/fond/AT-StiAMt/MattseeCan</t>
  </si>
  <si>
    <t xml:space="preserve">Urkunden (860-1400)</t>
  </si>
  <si>
    <t>AT-StiANK/22dd3dc1bee5255f0664b2f2ebaebde7</t>
  </si>
  <si>
    <t>AT-StiANK/NeuklosterOCist</t>
  </si>
  <si>
    <t>tag:www.monasterium.net,2011:/fond/AT-StiANK/NeuklosterOCist</t>
  </si>
  <si>
    <t xml:space="preserve">Urkunden (1267-1881)</t>
  </si>
  <si>
    <t>AT-StiAR/1cd569169290d1603631e52d71faa7bc</t>
  </si>
  <si>
    <t>AT-StiAR/ReichersbergCanReg</t>
  </si>
  <si>
    <t>tag:www.monasterium.net,2011:/fond/AT-StiAR/ReichersbergCanReg</t>
  </si>
  <si>
    <t xml:space="preserve">Urkunden (1137-1857)</t>
  </si>
  <si>
    <t>AT-StiARein/54559a020846de77e823ce67ce25ad8b</t>
  </si>
  <si>
    <t>AT-StiARein/ReinOCist</t>
  </si>
  <si>
    <t>tag:www.monasterium.net,2011:/fond/AT-StiARein/ReinOCist</t>
  </si>
  <si>
    <t xml:space="preserve">Urkunden (1129-1600)</t>
  </si>
  <si>
    <t>AT-StiASch/de3d43d687f297702dd0b7dba8fdac30</t>
  </si>
  <si>
    <t>AT-StiASch/SchlierbachOCist</t>
  </si>
  <si>
    <t>tag:www.monasterium.net,2011:/fond/AT-StiASch/SchlierbachOCist</t>
  </si>
  <si>
    <t xml:space="preserve">Urkunden (1296-1917)</t>
  </si>
  <si>
    <t>AT-StiASchl/b3ad697a1c5c0f1d90adbf6cdae1835d</t>
  </si>
  <si>
    <t>AT-StiASchl/Urkunden</t>
  </si>
  <si>
    <t>tag:www.monasterium.net,2011:/fond/AT-StiASchl/Urkunden</t>
  </si>
  <si>
    <t xml:space="preserve">Schlägl, Prämonstratenser (1204-1600)</t>
  </si>
  <si>
    <t>AT-StiAScho/bf7266b31a1d769c47719dec76925b32</t>
  </si>
  <si>
    <t>AT-StiAScho/SchottenOSB</t>
  </si>
  <si>
    <t>tag:www.monasterium.net,2011:/fond/AT-StiAScho/SchottenOSB</t>
  </si>
  <si>
    <t xml:space="preserve">Urkunden (1158-1702)</t>
  </si>
  <si>
    <t>AT-StiASei/c5d0fdf7411dcfe3b2ed3b1023e458ed</t>
  </si>
  <si>
    <t>AT-StiASei/SeitenstettenOSB</t>
  </si>
  <si>
    <t>tag:www.monasterium.net,2011:/fond/AT-StiASei/SeitenstettenOSB</t>
  </si>
  <si>
    <t xml:space="preserve">Seitenstetten, Benediktiner (1109-1738)</t>
  </si>
  <si>
    <t>AT-StiASF/45ae721d2e441eecc967687715c4fb91</t>
  </si>
  <si>
    <t>AT-StiASF/StFlorianCanReg</t>
  </si>
  <si>
    <t>tag:www.monasterium.net,2011:/fond/AT-StiASF/StFlorianCanReg</t>
  </si>
  <si>
    <t xml:space="preserve">Urkunden (900-1797)</t>
  </si>
  <si>
    <t>AT-StiASP/2dd05e862c2f40e339e2a11dd9896a05</t>
  </si>
  <si>
    <t>AT-StiASP/Urkunden</t>
  </si>
  <si>
    <t>tag:www.monasterium.net,2011:/fond/AT-StiASP/Urkunden</t>
  </si>
  <si>
    <t xml:space="preserve">St. Peter, Archiv der Erzabtei (1005-1981)</t>
  </si>
  <si>
    <t>AT-StiAStams/69afa7b5cdf7f62148b143626f2def56</t>
  </si>
  <si>
    <t>AT-StiAStams/Urkunden</t>
  </si>
  <si>
    <t>tag:www.monasterium.net,2011:/fond/AT-StiAStams/Urkunden</t>
  </si>
  <si>
    <t>AT-StiAStP/61ae1879216607ea9d291665813b864d</t>
  </si>
  <si>
    <t>AT-StiAStP/BlUKVariaEcclesiastica</t>
  </si>
  <si>
    <t>tag:www.monasterium.net,2011:/fond/AT-StiAStP/BlUKVariaEcclesiastica</t>
  </si>
  <si>
    <t xml:space="preserve">Urkunden St. Blasien // Varia Ecclesiastica</t>
  </si>
  <si>
    <t>AT-StiAStP/6e20d876e385a8d0c971bc4d93a0e017</t>
  </si>
  <si>
    <t>AT-StiAStP/UK</t>
  </si>
  <si>
    <t>tag:www.monasterium.net,2011:/fond/AT-StiAStP/UK</t>
  </si>
  <si>
    <t xml:space="preserve">Urkunden St. Paul</t>
  </si>
  <si>
    <t>AT-StiAStP/7293eb8ecafbca02ee782a623842898c</t>
  </si>
  <si>
    <t>AT-StiAStP/BlUKHirsau</t>
  </si>
  <si>
    <t>tag:www.monasterium.net,2011:/fond/AT-StiAStP/BlUKHirsau</t>
  </si>
  <si>
    <t xml:space="preserve">Urkunden St. Blasien // Hirsau</t>
  </si>
  <si>
    <t>AT-StiAStP/82fe5329e02077bca9d11b7364258d75</t>
  </si>
  <si>
    <t>AT-StiAStP/BlUKBlaubeuren</t>
  </si>
  <si>
    <t>tag:www.monasterium.net,2011:/fond/AT-StiAStP/BlUKBlaubeuren</t>
  </si>
  <si>
    <t xml:space="preserve">Urkunden St. Blasien // Blaubeuren</t>
  </si>
  <si>
    <t>AT-StiAStP/90ad2b69a941b00a3ad93b77f2ab3e4c</t>
  </si>
  <si>
    <t>AT-StiAStP/BlUK</t>
  </si>
  <si>
    <t>tag:www.monasterium.net,2011:/fond/AT-StiAStP/BlUK</t>
  </si>
  <si>
    <t xml:space="preserve">Urkunden St. Blasien</t>
  </si>
  <si>
    <t>AT-StiAStP/a42b420a1c6751e0df305dc6ea25354a</t>
  </si>
  <si>
    <t>AT-StiAStP/BlUKLorch</t>
  </si>
  <si>
    <t>tag:www.monasterium.net,2011:/fond/AT-StiAStP/BlUKLorch</t>
  </si>
  <si>
    <t xml:space="preserve">Urkunden St. Blasien // Lorch</t>
  </si>
  <si>
    <t>AT-StiAStP/b33d79c43b4700a2a41b88d8db221bed</t>
  </si>
  <si>
    <t>AT-StiAStP/BlUKReichenbach</t>
  </si>
  <si>
    <t>tag:www.monasterium.net,2011:/fond/AT-StiAStP/BlUKReichenbach</t>
  </si>
  <si>
    <t xml:space="preserve">Urkunden St. Blasien // Reichenbach</t>
  </si>
  <si>
    <t>AT-StiAStP/c5be1b4a66808c845a70144947ea3576</t>
  </si>
  <si>
    <t>AT-StiAStP/BlUKMaulbronn</t>
  </si>
  <si>
    <t>tag:www.monasterium.net,2011:/fond/AT-StiAStP/BlUKMaulbronn</t>
  </si>
  <si>
    <t xml:space="preserve">Urkunden St. Blasien // Maulbronn</t>
  </si>
  <si>
    <t>AT-StiAStP/cc65c209f692d69090d54e7a4369ddc7</t>
  </si>
  <si>
    <t>AT-StiAStP/BlUKWilhelmiterOrden</t>
  </si>
  <si>
    <t>tag:www.monasterium.net,2011:/fond/AT-StiAStP/BlUKWilhelmiterOrden</t>
  </si>
  <si>
    <t xml:space="preserve">Urkunden St. Blasien // Wilhelmiter Orden</t>
  </si>
  <si>
    <t>AT-StiAStP/daa8f22cf65c16765540ccb0d31f62e3</t>
  </si>
  <si>
    <t>AT-StiAStP/EUK</t>
  </si>
  <si>
    <t>tag:www.monasterium.net,2011:/fond/AT-StiAStP/EUK</t>
  </si>
  <si>
    <t xml:space="preserve">Urkunden Stift Eberndorf</t>
  </si>
  <si>
    <t>AT-StiAStP/eb2f9c1e052fd226a2ad578388d21ed2</t>
  </si>
  <si>
    <t>AT-StiAStP/BlUKBebenhausen</t>
  </si>
  <si>
    <t>tag:www.monasterium.net,2011:/fond/AT-StiAStP/BlUKBebenhausen</t>
  </si>
  <si>
    <t xml:space="preserve">Urkunden St. Blasien // Bebenhausen</t>
  </si>
  <si>
    <t>AT-StiAV/84fdd47e3d71d43e4ff2ef563c9c0a6f</t>
  </si>
  <si>
    <t>AT-StiAV/VorauCanReg</t>
  </si>
  <si>
    <t>tag:www.monasterium.net,2011:/fond/AT-StiAV/VorauCanReg</t>
  </si>
  <si>
    <t xml:space="preserve">Urkunden (1161-1600)</t>
  </si>
  <si>
    <t>AT-StiAW/c94ec587b98e0587fc02d33687291007</t>
  </si>
  <si>
    <t>AT-StiAW/Urkunden</t>
  </si>
  <si>
    <t>tag:www.monasterium.net,2011:/fond/AT-StiAW/Urkunden</t>
  </si>
  <si>
    <t xml:space="preserve">Urkunden (827-1854)</t>
  </si>
  <si>
    <t>AT-StiAWilten/617c6e90116fe6cc442d9a5a792af1f5</t>
  </si>
  <si>
    <t>AT-StiAWilten/Urkunden</t>
  </si>
  <si>
    <t>tag:www.monasterium.net,2011:/fond/AT-StiAWilten/Urkunden</t>
  </si>
  <si>
    <t xml:space="preserve">Stiftsarchiv Wilten Urkunden</t>
  </si>
  <si>
    <t>AT-StiAZ/935e511c62816a0b2ef4e7a67f61f816</t>
  </si>
  <si>
    <t>AT-StiAZ/Urkunden</t>
  </si>
  <si>
    <t>tag:www.monasterium.net,2011:/fond/AT-StiAZ/Urkunden</t>
  </si>
  <si>
    <t xml:space="preserve">Urkunden (1055-1742)</t>
  </si>
  <si>
    <t>AT-VLA/019613a7e571ced97b4f3709a21f39ea</t>
  </si>
  <si>
    <t>AT-VLA/StJohannPriorat</t>
  </si>
  <si>
    <t>tag:www.monasterium.net,2011:/fond/AT-VLA/StJohannPriorat</t>
  </si>
  <si>
    <t xml:space="preserve">St. Johann/Feldkirch, Priorat</t>
  </si>
  <si>
    <t>AT-VLA/1130a191a42e1280b6862519c2526605</t>
  </si>
  <si>
    <t>AT-VLA/BludenzStPeterKl</t>
  </si>
  <si>
    <t>tag:www.monasterium.net,2011:/fond/AT-VLA/BludenzStPeterKl</t>
  </si>
  <si>
    <t xml:space="preserve">Bludenz, St. Peter, Kloster</t>
  </si>
  <si>
    <t>AT-VLA/27d9b91332afad99f06cdf28cfe41d97</t>
  </si>
  <si>
    <t>AT-VLA/ThalbachKl</t>
  </si>
  <si>
    <t>tag:www.monasterium.net,2011:/fond/AT-VLA/ThalbachKl</t>
  </si>
  <si>
    <t xml:space="preserve">Thalbach, Kloster</t>
  </si>
  <si>
    <t>AT-VLA/2c36a47c73c81da7574f9c21807187dc</t>
  </si>
  <si>
    <t>AT-VLA/ThalbachHirschtalKl</t>
  </si>
  <si>
    <t>tag:www.monasterium.net,2011:/fond/AT-VLA/ThalbachHirschtalKl</t>
  </si>
  <si>
    <t xml:space="preserve">Thalbach (Hirschtal), Kloster</t>
  </si>
  <si>
    <t>AT-VLA/4fea37725d1dda1434459590c7d8aebc</t>
  </si>
  <si>
    <t>AT-VLA/StJohanniThurtalKl</t>
  </si>
  <si>
    <t>tag:www.monasterium.net,2011:/fond/AT-VLA/StJohanniThurtalKl</t>
  </si>
  <si>
    <t xml:space="preserve">St. Johann im Thurtal, Kloster</t>
  </si>
  <si>
    <t>AT-VLA/63ba422ef00d7e226cf7ab1d9c29d194</t>
  </si>
  <si>
    <t>AT-VLA/ValdunaKl</t>
  </si>
  <si>
    <t>tag:www.monasterium.net,2011:/fond/AT-VLA/ValdunaKl</t>
  </si>
  <si>
    <t xml:space="preserve">Valduna, Kloster</t>
  </si>
  <si>
    <t>AT-VLA/88ae7c504d21432f6f7fce76cfc58342</t>
  </si>
  <si>
    <t>AT-VLA/ViktorsbergKl</t>
  </si>
  <si>
    <t>tag:www.monasterium.net,2011:/fond/AT-VLA/ViktorsbergKl</t>
  </si>
  <si>
    <t xml:space="preserve">Viktorsberg, Kloster</t>
  </si>
  <si>
    <t>AT-VLA/a88867bb77ae772149ebd26bedd3aeb7</t>
  </si>
  <si>
    <t>AT-VLA/StGeroldKl</t>
  </si>
  <si>
    <t>tag:www.monasterium.net,2011:/fond/AT-VLA/StGeroldKl</t>
  </si>
  <si>
    <t xml:space="preserve">St. Gerold, Kloster</t>
  </si>
  <si>
    <t>AT-VLA/e6615ce73b7ea3c7ebd5d7fbe83253f1</t>
  </si>
  <si>
    <t>AT-VLA/BregenzAnnakl</t>
  </si>
  <si>
    <t>tag:www.monasterium.net,2011:/fond/AT-VLA/BregenzAnnakl</t>
  </si>
  <si>
    <t xml:space="preserve">Bregenz, St. Annakloster</t>
  </si>
  <si>
    <t>AT-VLA/f7e24b830ce0f6401088b9367c2b10ad</t>
  </si>
  <si>
    <t>AT-VLA/PfaefersKl</t>
  </si>
  <si>
    <t>tag:www.monasterium.net,2011:/fond/AT-VLA/PfaefersKl</t>
  </si>
  <si>
    <t xml:space="preserve">Pfäfers, Kloster</t>
  </si>
  <si>
    <t>AT-VLA/fedf730eb1299b8e6696c4b62a567ef5</t>
  </si>
  <si>
    <t>AT-VLA/MehrerauKl</t>
  </si>
  <si>
    <t>tag:www.monasterium.net,2011:/fond/AT-VLA/MehrerauKl</t>
  </si>
  <si>
    <t xml:space="preserve">Mehrerau, Kloster</t>
  </si>
  <si>
    <t>CH-StiASG/5597519088fa904d8a686a827cae0c5d</t>
  </si>
  <si>
    <t>CH-StiASG/StiAPfae</t>
  </si>
  <si>
    <t>tag:www.monasterium.net,2011:/fond/CH-StiASG/StiAPfae</t>
  </si>
  <si>
    <t xml:space="preserve">Urkunden Pfäfers (861-1500)</t>
  </si>
  <si>
    <t>CH-StiASG/acdc21e0ce74a973c767217817540d82</t>
  </si>
  <si>
    <t>CH-StiASG/Urkunden</t>
  </si>
  <si>
    <t>tag:www.monasterium.net,2011:/fond/CH-StiASG/Urkunden</t>
  </si>
  <si>
    <t xml:space="preserve">St. Gallen, Stiftsarchiv (1004-1500)</t>
  </si>
  <si>
    <t>CZ-DABB/c2c456c3e06570a159293b7ad83fa55d</t>
  </si>
  <si>
    <t>CZ-DABB/KM</t>
  </si>
  <si>
    <t>tag:www.monasterium.net,2011:/fond/CZ-DABB/KM</t>
  </si>
  <si>
    <t xml:space="preserve">Kapitula Mikulov</t>
  </si>
  <si>
    <t>CZ-MZA/04c7870875eb4902c25528ec18354d6d</t>
  </si>
  <si>
    <t>CZ-MZA/E10</t>
  </si>
  <si>
    <t>tag:www.monasterium.net,2011:/fond/CZ-MZA/E10</t>
  </si>
  <si>
    <t xml:space="preserve">Cisterciačky Předklášteří u Tišnova (1234-1766)</t>
  </si>
  <si>
    <t>CZ-MZA/0740c89b5860f25874a2f4c4b5260836</t>
  </si>
  <si>
    <t>CZ-MZA/E51</t>
  </si>
  <si>
    <t>tag:www.monasterium.net,2011:/fond/CZ-MZA/E51</t>
  </si>
  <si>
    <t xml:space="preserve">Pavlini Moravský Krumlov (1669-1741)</t>
  </si>
  <si>
    <t>CZ-MZA/0f22dc3c6953fa28cbfb93e3e2fad3bf</t>
  </si>
  <si>
    <t>CZ-MZA/E03</t>
  </si>
  <si>
    <t>tag:www.monasterium.net,2011:/fond/CZ-MZA/E03</t>
  </si>
  <si>
    <t xml:space="preserve">Augustiniáni Olomouc (1332-1781)</t>
  </si>
  <si>
    <t>CZ-MZA/1124196eed3128c32899c82e8ffb41a2</t>
  </si>
  <si>
    <t>CZ-MZA/E17</t>
  </si>
  <si>
    <t>tag:www.monasterium.net,2011:/fond/CZ-MZA/E17</t>
  </si>
  <si>
    <t xml:space="preserve">Dominikáni ve Znojmě (1392-1757)</t>
  </si>
  <si>
    <t>CZ-MZA/189ace968c03e66f96ac220fbd4a9b59</t>
  </si>
  <si>
    <t>CZ-MZA/E11</t>
  </si>
  <si>
    <t>tag:www.monasterium.net,2011:/fond/CZ-MZA/E11</t>
  </si>
  <si>
    <t xml:space="preserve">Dominikáni Boskovice (1684)</t>
  </si>
  <si>
    <t>CZ-MZA/19648310d93fc0f09810cb6ef70c348b</t>
  </si>
  <si>
    <t>CZ-MZA/E04</t>
  </si>
  <si>
    <t>tag:www.monasterium.net,2011:/fond/CZ-MZA/E04</t>
  </si>
  <si>
    <t xml:space="preserve">Augustiniáni v Brně (1233-1843)</t>
  </si>
  <si>
    <t>CZ-MZA/362bdf62b5c5465fa963b07aceced5ce</t>
  </si>
  <si>
    <t>CZ-MZA/E40</t>
  </si>
  <si>
    <t>tag:www.monasterium.net,2011:/fond/CZ-MZA/E40</t>
  </si>
  <si>
    <t xml:space="preserve">Kartuziáni Olomouc (1281-1781)</t>
  </si>
  <si>
    <t>CZ-MZA/37ae2c4798ed5ee0362f8f797415e847</t>
  </si>
  <si>
    <t>CZ-MZA/E19</t>
  </si>
  <si>
    <t>tag:www.monasterium.net,2011:/fond/CZ-MZA/E19</t>
  </si>
  <si>
    <t xml:space="preserve">Dominikánky Staré Brno (1312-1747)</t>
  </si>
  <si>
    <t>CZ-MZA/40d89722372625d336cb4a2bca715573</t>
  </si>
  <si>
    <t>CZ-MZA/E59</t>
  </si>
  <si>
    <t>tag:www.monasterium.net,2011:/fond/CZ-MZA/E59</t>
  </si>
  <si>
    <t xml:space="preserve">Premonstráti Zábrdovice (1209-1782)</t>
  </si>
  <si>
    <t>CZ-MZA/47b38125b167c48f709fb60bcc4d9ef7</t>
  </si>
  <si>
    <t>CZ-MZA/E12</t>
  </si>
  <si>
    <t>tag:www.monasterium.net,2011:/fond/CZ-MZA/E12</t>
  </si>
  <si>
    <t xml:space="preserve">Dominikáni Brno (1300-1755)</t>
  </si>
  <si>
    <t>CZ-MZA/55e341e48bfd263eaea57cbb5c94b67f</t>
  </si>
  <si>
    <t>CZ-MZA/E15</t>
  </si>
  <si>
    <t>tag:www.monasterium.net,2011:/fond/CZ-MZA/E15</t>
  </si>
  <si>
    <t xml:space="preserve">Dominikáni Å umperk (1531-1691)</t>
  </si>
  <si>
    <t>CZ-MZA/6183c56c26b7d03f8c9c9f404f48c750</t>
  </si>
  <si>
    <t>CZ-MZA/E07</t>
  </si>
  <si>
    <t>tag:www.monasterium.net,2011:/fond/CZ-MZA/E07</t>
  </si>
  <si>
    <t xml:space="preserve">Cisterciáci Velehrad (1202-1777)</t>
  </si>
  <si>
    <t>CZ-MZA/61a8a38a88f9732367c3c6f964a4ee6d</t>
  </si>
  <si>
    <t>CZ-MZA/E08</t>
  </si>
  <si>
    <t>tag:www.monasterium.net,2011:/fond/CZ-MZA/E08</t>
  </si>
  <si>
    <t xml:space="preserve">Cisterciáci Žďár (1222-1771)</t>
  </si>
  <si>
    <t>CZ-MZA/649d5668a75ec5f4b0eb568bfc7119f7</t>
  </si>
  <si>
    <t>CZ-MZA/E56</t>
  </si>
  <si>
    <t>tag:www.monasterium.net,2011:/fond/CZ-MZA/E56</t>
  </si>
  <si>
    <t xml:space="preserve">Premonstráti Leles (1407-1746)</t>
  </si>
  <si>
    <t>CZ-MZA/64cf65cc009ad91d973980b22980c74c</t>
  </si>
  <si>
    <t>CZ-MZA/E18</t>
  </si>
  <si>
    <t>tag:www.monasterium.net,2011:/fond/CZ-MZA/E18</t>
  </si>
  <si>
    <t xml:space="preserve">Dominikánky Olomouc (1287-1754)</t>
  </si>
  <si>
    <t>CZ-MZA/709793ae1b67b79a4c49630376e6aa6d</t>
  </si>
  <si>
    <t>CZ-MZA/E43</t>
  </si>
  <si>
    <t>tag:www.monasterium.net,2011:/fond/CZ-MZA/E43</t>
  </si>
  <si>
    <t xml:space="preserve">Klarisky ve Znojmě (1286-1780)</t>
  </si>
  <si>
    <t>CZ-MZA/72d0ae65de741fe46f568bedcbd6b929</t>
  </si>
  <si>
    <t>CZ-MZA/E41</t>
  </si>
  <si>
    <t>tag:www.monasterium.net,2011:/fond/CZ-MZA/E41</t>
  </si>
  <si>
    <t xml:space="preserve">Klarisky Olomouc (1289-1754)</t>
  </si>
  <si>
    <t>CZ-MZA/74c8d68dd9fc9a9565173a2d302b72d8</t>
  </si>
  <si>
    <t>CZ-MZA/E06</t>
  </si>
  <si>
    <t>tag:www.monasterium.net,2011:/fond/CZ-MZA/E06</t>
  </si>
  <si>
    <t xml:space="preserve">Benediktini Rajhrad (1045-1908)</t>
  </si>
  <si>
    <t>CZ-MZA/756e98d574c22bca7c4bf6654a81e4eb</t>
  </si>
  <si>
    <t>CZ-MZA/E05</t>
  </si>
  <si>
    <t>tag:www.monasterium.net,2011:/fond/CZ-MZA/E05</t>
  </si>
  <si>
    <t xml:space="preserve">Augustiniáni Å ternberk (1296-1780)</t>
  </si>
  <si>
    <t>CZ-MZA/78f3d6b94c1ccb0a89af8fc07a5fca12</t>
  </si>
  <si>
    <t>CZ-MZA/E55</t>
  </si>
  <si>
    <t>tag:www.monasterium.net,2011:/fond/CZ-MZA/E55</t>
  </si>
  <si>
    <t xml:space="preserve">Premonstráti Klášterní­ Hradisko (1200-1782)</t>
  </si>
  <si>
    <t>CZ-MZA/79bc9377c91d16aee5ba32355d9e1830</t>
  </si>
  <si>
    <t>CZ-MZA/E57</t>
  </si>
  <si>
    <t>tag:www.monasterium.net,2011:/fond/CZ-MZA/E57</t>
  </si>
  <si>
    <t xml:space="preserve">Premonstráti Louka (1190-1798)</t>
  </si>
  <si>
    <t>CZ-MZA/7c3b120db9504ed6f54c1bf416b89665</t>
  </si>
  <si>
    <t>CZ-MZA/E49</t>
  </si>
  <si>
    <t>tag:www.monasterium.net,2011:/fond/CZ-MZA/E49</t>
  </si>
  <si>
    <t xml:space="preserve">Minorité v Brné (1710-1744)</t>
  </si>
  <si>
    <t>CZ-MZA/7f0af45eef28d29b323c1619ae0cecd5</t>
  </si>
  <si>
    <t>CZ-MZA/E16</t>
  </si>
  <si>
    <t>tag:www.monasterium.net,2011:/fond/CZ-MZA/E16</t>
  </si>
  <si>
    <t xml:space="preserve">Dominikáni Uherský Brod (1338-1772)</t>
  </si>
  <si>
    <t>CZ-MZA/89dbc40a09a6e975f1d0089571a2e72f</t>
  </si>
  <si>
    <t>CZ-MZA/E71</t>
  </si>
  <si>
    <t>tag:www.monasterium.net,2011:/fond/CZ-MZA/E71</t>
  </si>
  <si>
    <t xml:space="preserve">Pavláni Brtnice (1684)</t>
  </si>
  <si>
    <t>CZ-MZA/9067ca81b08d0e8e6a51eda95c0eae16</t>
  </si>
  <si>
    <t>CZ-MZA/E58</t>
  </si>
  <si>
    <t>tag:www.monasterium.net,2011:/fond/CZ-MZA/E58</t>
  </si>
  <si>
    <t xml:space="preserve">Premonstráti v Nové Å˜í­ši (1258-1841)</t>
  </si>
  <si>
    <t>CZ-MZA/a23ffa0d4cf271b97c12152484a3e486</t>
  </si>
  <si>
    <t>CZ-MZA/E39</t>
  </si>
  <si>
    <t>tag:www.monasterium.net,2011:/fond/CZ-MZA/E39</t>
  </si>
  <si>
    <t xml:space="preserve">Kartuziáni Královo Pole (1405-1735)</t>
  </si>
  <si>
    <t>CZ-MZA/afb3dc10f2231eed70d1de98113c6982</t>
  </si>
  <si>
    <t>CZ-MZA/E52</t>
  </si>
  <si>
    <t>tag:www.monasterium.net,2011:/fond/CZ-MZA/E52</t>
  </si>
  <si>
    <t xml:space="preserve">Pavláni Vranov (1633-1643)</t>
  </si>
  <si>
    <t>CZ-MZA/c15d2776e96c4cdad6fd552de1041741</t>
  </si>
  <si>
    <t>CZ-MZA/E63</t>
  </si>
  <si>
    <t>tag:www.monasterium.net,2011:/fond/CZ-MZA/E63</t>
  </si>
  <si>
    <t xml:space="preserve">Servité Jaroměřice nad Rokytnou (1679-1680)</t>
  </si>
  <si>
    <t>CZ-MZA/c4b97cfc6c8d8cb07e49aaa57e5e248a</t>
  </si>
  <si>
    <t>CZ-MZA/E02</t>
  </si>
  <si>
    <t>tag:www.monasterium.net,2011:/fond/CZ-MZA/E02</t>
  </si>
  <si>
    <t xml:space="preserve">Augustiniáni Jevícko (1342-1597)</t>
  </si>
  <si>
    <t>CZ-MZA/e4b27267e0c43fc0eaebfe46cecbad2c</t>
  </si>
  <si>
    <t>CZ-MZA/E50</t>
  </si>
  <si>
    <t>tag:www.monasterium.net,2011:/fond/CZ-MZA/E50</t>
  </si>
  <si>
    <t xml:space="preserve">Minorité Jihlava (1379-1756)</t>
  </si>
  <si>
    <t>CZ-MZA/e6e728b37e59130fdac71221bff1cbeb</t>
  </si>
  <si>
    <t>CZ-MZA/E09</t>
  </si>
  <si>
    <t>tag:www.monasterium.net,2011:/fond/CZ-MZA/E09</t>
  </si>
  <si>
    <t xml:space="preserve">CisterÄiacki Brno (1225-1748)</t>
  </si>
  <si>
    <t>CZ-NA/02694f33cdf4128a8edc89c91dcaaec7</t>
  </si>
  <si>
    <t>CZ-NA/RK</t>
  </si>
  <si>
    <t>tag:www.monasterium.net,2011:/fond/CZ-NA/RK</t>
  </si>
  <si>
    <t xml:space="preserve">Kapucíni-provincialát a konvent, Praha (1364-1906)</t>
  </si>
  <si>
    <t>CZ-NA/070b171095b189fb5ca0af51f783ed94</t>
  </si>
  <si>
    <t>CZ-NA/AZK%7CVaclav</t>
  </si>
  <si>
    <t>tag:www.monasterium.net,2011:/fond/CZ-NA/AZK%7CVaclav</t>
  </si>
  <si>
    <t xml:space="preserve">Archivy českíých klášterů zrušeníých za Josefa II. (1115-1760) // ŘA Václav</t>
  </si>
  <si>
    <t>CZ-NA/075f007cf0411ef7145747bbe5376ddd</t>
  </si>
  <si>
    <t>CZ-NA/AZK%7CZatec</t>
  </si>
  <si>
    <t>tag:www.monasterium.net,2011:/fond/CZ-NA/AZK%7CZatec</t>
  </si>
  <si>
    <t xml:space="preserve">Archivy českíých klášterů zrušeníých za Josefa II. (1115-1760) // ŘM Åýatec</t>
  </si>
  <si>
    <t>CZ-NA/0d33d60f536692def8659f55c6246792</t>
  </si>
  <si>
    <t>CZ-NA/RKr</t>
  </si>
  <si>
    <t>tag:www.monasterium.net,2011:/fond/CZ-NA/RKr</t>
  </si>
  <si>
    <t xml:space="preserve">KřiÅ¾ovníci s Äervenou hvězdou - generalát a konvent, Praha (1233-1872)</t>
  </si>
  <si>
    <t>CZ-NA/10c0ee549805787792a705278631cc40</t>
  </si>
  <si>
    <t>CZ-NA/AZK%7CStribro</t>
  </si>
  <si>
    <t>tag:www.monasterium.net,2011:/fond/CZ-NA/AZK%7CStribro</t>
  </si>
  <si>
    <t xml:space="preserve">Archivy českíých klášterů zrušeníých za Josefa II. (1115-1760) // Řm Stří­bro</t>
  </si>
  <si>
    <t>CZ-NA/11d343e4a564d71f8bf304547291e25e</t>
  </si>
  <si>
    <t>CZ-NA/RBE</t>
  </si>
  <si>
    <t>tag:www.monasterium.net,2011:/fond/CZ-NA/RBE</t>
  </si>
  <si>
    <t xml:space="preserve">Benediktini-klášter Emauzy, Praha (1400-1500)</t>
  </si>
  <si>
    <t>CZ-NA/1385eba494fe55f5fb31d8849ac633d5</t>
  </si>
  <si>
    <t>CZ-NA/AZK%7CLitomysl</t>
  </si>
  <si>
    <t>tag:www.monasterium.net,2011:/fond/CZ-NA/AZK%7CLitomysl</t>
  </si>
  <si>
    <t xml:space="preserve">Archivy českíých klášterů zrušeníých za Josefa II. (1115-1760) // ŘP Litomyšl</t>
  </si>
  <si>
    <t>CZ-NA/26e3e108d01a62fbb0b7aa17860e9fec</t>
  </si>
  <si>
    <t>CZ-NA/AZK%7CKladruby</t>
  </si>
  <si>
    <t>tag:www.monasterium.net,2011:/fond/CZ-NA/AZK%7CKladruby</t>
  </si>
  <si>
    <t xml:space="preserve">Archivy českíých klášterů zrušeníých za Josefa II. (1115-1760) // ŘB Kladruby</t>
  </si>
  <si>
    <t>CZ-NA/28a8ab8840ba4c493faa7c965fcd8d19</t>
  </si>
  <si>
    <t>CZ-NA/RV</t>
  </si>
  <si>
    <t>tag:www.monasterium.net,2011:/fond/CZ-NA/RV</t>
  </si>
  <si>
    <t xml:space="preserve">Voršilky-konvent, Praha (1660-1781)</t>
  </si>
  <si>
    <t>CZ-NA/3880d08d876aaf6ffab024e6b81cfc69</t>
  </si>
  <si>
    <t>CZ-NA/RF%7CCheb</t>
  </si>
  <si>
    <t>tag:www.monasterium.net,2011:/fond/CZ-NA/RF%7CCheb</t>
  </si>
  <si>
    <t xml:space="preserve">Františkáni Cheb (1304-1718)</t>
  </si>
  <si>
    <t>CZ-NA/3d6ff6877d62a381eb28c2aada9e85ec</t>
  </si>
  <si>
    <t>CZ-NA/RA</t>
  </si>
  <si>
    <t>tag:www.monasterium.net,2011:/fond/CZ-NA/RA</t>
  </si>
  <si>
    <t xml:space="preserve">Augustiniáni obutí - provincialát a konvent, Praha (1285-1510)</t>
  </si>
  <si>
    <t>CZ-NA/422b1a08b632e6f7e1eaef5720e3895a</t>
  </si>
  <si>
    <t>CZ-NA/AZK%7CPisek</t>
  </si>
  <si>
    <t>tag:www.monasterium.net,2011:/fond/CZ-NA/AZK%7CPisek</t>
  </si>
  <si>
    <t xml:space="preserve">Archivy českíých klášterů zrušeníých za Josefa II. (1115-1760) // ŘD Pí­sek</t>
  </si>
  <si>
    <t>CZ-NA/435742bc8c6b472710f181440f53b1b4</t>
  </si>
  <si>
    <t>CZ-NA/RF</t>
  </si>
  <si>
    <t>tag:www.monasterium.net,2011:/fond/CZ-NA/RF</t>
  </si>
  <si>
    <t xml:space="preserve">Františkáni Praha (1283-1524)</t>
  </si>
  <si>
    <t>CZ-NA/43d5a09d3c2febb8ff8356a922cfc47c</t>
  </si>
  <si>
    <t>CZ-NA/AZK%7CAmbroz</t>
  </si>
  <si>
    <t>tag:www.monasterium.net,2011:/fond/CZ-NA/AZK%7CAmbroz</t>
  </si>
  <si>
    <t xml:space="preserve">Archivy českíých klášterů zrušeníých za Josefa II. (1115-1760) // ŘH sv. AmbroÅ¾</t>
  </si>
  <si>
    <t>CZ-NA/4608a55bca922ceb33aba3b3a9c780e4</t>
  </si>
  <si>
    <t>CZ-NA/AZK%7CKoruna</t>
  </si>
  <si>
    <t>tag:www.monasterium.net,2011:/fond/CZ-NA/AZK%7CKoruna</t>
  </si>
  <si>
    <t xml:space="preserve">Archivy českíých klášterů zrušeníých za Josefa II. (1115-1760) // ŘC Zl. Koruna</t>
  </si>
  <si>
    <t>CZ-NA/5d920db92e73c01be0ea1477ae9c4477</t>
  </si>
  <si>
    <t>CZ-NA/AZK%7CZbraslav</t>
  </si>
  <si>
    <t>tag:www.monasterium.net,2011:/fond/CZ-NA/AZK%7CZbraslav</t>
  </si>
  <si>
    <t xml:space="preserve">Archivy českíých klášterů zrušeníých za Josefa II. (1115-1760) // ŘC Zbraslav</t>
  </si>
  <si>
    <t>CZ-NA/6243979951c9cd097288df45990aa861</t>
  </si>
  <si>
    <t>CZ-NA/AZK%7CBystrice</t>
  </si>
  <si>
    <t>tag:www.monasterium.net,2011:/fond/CZ-NA/AZK%7CBystrice</t>
  </si>
  <si>
    <t xml:space="preserve">Archivy českíých klášterů zrušeníých za Josefa II. (1115-1760) // ŘPa N. Bystřice</t>
  </si>
  <si>
    <t>CZ-NA/629698e5fcba1db92f2b15d3bebbbace</t>
  </si>
  <si>
    <t>CZ-NA/AZK%7CJiri</t>
  </si>
  <si>
    <t>tag:www.monasterium.net,2011:/fond/CZ-NA/AZK%7CJiri</t>
  </si>
  <si>
    <t xml:space="preserve">Archivy českíých klášterů zrušeníých za Josefa II. (1115-1760) // ŘB sv. Jiří­</t>
  </si>
  <si>
    <t>CZ-NA/6ea79e8cf809d716a33c44c7ccf1cbdf</t>
  </si>
  <si>
    <t>CZ-NA/AZK%7CDodatky</t>
  </si>
  <si>
    <t>tag:www.monasterium.net,2011:/fond/CZ-NA/AZK%7CDodatky</t>
  </si>
  <si>
    <t xml:space="preserve">Archivy českíých klášterů zrušeníých za Josefa II. (1115-1760) // Dodatky</t>
  </si>
  <si>
    <t>CZ-NA/7bbe4cd170727bb7b0b490ed96015085</t>
  </si>
  <si>
    <t>CZ-NA/RBB</t>
  </si>
  <si>
    <t>tag:www.monasterium.net,2011:/fond/CZ-NA/RBB</t>
  </si>
  <si>
    <t xml:space="preserve">Benediktini-klášter Břevnov, Praha Benediktinské arciopatství sv. Vojtěcha a sv. Markéty v Břevnově (0993-1948)</t>
  </si>
  <si>
    <t>CZ-NA/8876bdf26ea30ffb50ee76631e9726d4</t>
  </si>
  <si>
    <t>CZ-NA/AZK%7CZderaz</t>
  </si>
  <si>
    <t>tag:www.monasterium.net,2011:/fond/CZ-NA/AZK%7CZderaz</t>
  </si>
  <si>
    <t xml:space="preserve">Archivy českíých klášterů zrušeníých za Josefa II. (1115-1760) // ŘKřb Zderaz</t>
  </si>
  <si>
    <t>CZ-NA/8bbc41044c6e720e6d1846654de48b09</t>
  </si>
  <si>
    <t>CZ-NA/AZK%7CBorovany</t>
  </si>
  <si>
    <t>tag:www.monasterium.net,2011:/fond/CZ-NA/AZK%7CBorovany</t>
  </si>
  <si>
    <t xml:space="preserve">Archivy českíých klášterů zrušeníých za Josefa II. (1115-1760) // ŘA Borovany</t>
  </si>
  <si>
    <t>CZ-NA/977837f615a6c9799adb9859b7513f0c</t>
  </si>
  <si>
    <t>CZ-NA/AZK%7CKrumlov</t>
  </si>
  <si>
    <t>tag:www.monasterium.net,2011:/fond/CZ-NA/AZK%7CKrumlov</t>
  </si>
  <si>
    <t xml:space="preserve">Archivy českíých klášterů zrušeníých za Josefa II. (1115-1760) // ŘKI Krumlov</t>
  </si>
  <si>
    <t>CZ-NA/9868ea2f720d41b54c2d23a4ca26550a</t>
  </si>
  <si>
    <t>CZ-NA/AZK%7CAnna</t>
  </si>
  <si>
    <t>tag:www.monasterium.net,2011:/fond/CZ-NA/AZK%7CAnna</t>
  </si>
  <si>
    <t xml:space="preserve">Archivy českíých klášterů zrušeníých za Josefa II. (1115-1760) // ŘD sv. Anna</t>
  </si>
  <si>
    <t>CZ-NA/992681232490036dcaa03a5e5571bf5e</t>
  </si>
  <si>
    <t>CZ-NA/AZK%7CTrebon</t>
  </si>
  <si>
    <t>tag:www.monasterium.net,2011:/fond/CZ-NA/AZK%7CTrebon</t>
  </si>
  <si>
    <t xml:space="preserve">Archivy českíých klášterů zrušeníých za Josefa II. (1115-1760) // ŘA TřeboÅˆ</t>
  </si>
  <si>
    <t>CZ-NA/9c8ee36656e73da2027c819cb569a589</t>
  </si>
  <si>
    <t>CZ-NA/AZK%7CHavel</t>
  </si>
  <si>
    <t>tag:www.monasterium.net,2011:/fond/CZ-NA/AZK%7CHavel</t>
  </si>
  <si>
    <t xml:space="preserve">Archivy českíých klášterů zrušeníých za Josefa II. (1115-1760) // ŘKr sv. Havel</t>
  </si>
  <si>
    <t>CZ-NA/a3174ee4d397180b3c036b81e619f64b</t>
  </si>
  <si>
    <t>CZ-NA/AZK%7CSmichov</t>
  </si>
  <si>
    <t>tag:www.monasterium.net,2011:/fond/CZ-NA/AZK%7CSmichov</t>
  </si>
  <si>
    <t xml:space="preserve">Archivy českíých klášterů zrušeníých za Josefa II. (1115-1760) // ŘKt Smí­chov</t>
  </si>
  <si>
    <t>CZ-NA/ad3d19cfd5b937c6171e6d1b229b0707</t>
  </si>
  <si>
    <t>CZ-NA/AZK%7CChotesov</t>
  </si>
  <si>
    <t>tag:www.monasterium.net,2011:/fond/CZ-NA/AZK%7CChotesov</t>
  </si>
  <si>
    <t xml:space="preserve">Archivy českíých klášterů zrušeníých za Josefa II. (1115-1760) // ŘP Chotěšov</t>
  </si>
  <si>
    <t>CZ-NA/b131bfa0d261bf6415fd4a5cbccf8335</t>
  </si>
  <si>
    <t>CZ-NA/AZK%7CPlasy</t>
  </si>
  <si>
    <t>tag:www.monasterium.net,2011:/fond/CZ-NA/AZK%7CPlasy</t>
  </si>
  <si>
    <t xml:space="preserve">Archivy českíých klášterů zrušeníých za Josefa II. (1115-1760) // ŘC Plasy</t>
  </si>
  <si>
    <t>CZ-NA/b3a7456f71d1e154f12b41aae023f012</t>
  </si>
  <si>
    <t>CZ-NA/AZK%7CPohled</t>
  </si>
  <si>
    <t>tag:www.monasterium.net,2011:/fond/CZ-NA/AZK%7CPohled</t>
  </si>
  <si>
    <t xml:space="preserve">Archivy českíých klášterů zrušeníých za Josefa II. (1115-1760) // ŘC Pohled</t>
  </si>
  <si>
    <t>CZ-NA/b9a872f29fddaa11c66d018a1c78fd8d</t>
  </si>
  <si>
    <t>CZ-NA/AZK</t>
  </si>
  <si>
    <t>tag:www.monasterium.net,2011:/fond/CZ-NA/AZK</t>
  </si>
  <si>
    <t xml:space="preserve">Archivy českíých klášterů zrušeníých za Josefa II. (1115-1760)</t>
  </si>
  <si>
    <t>CZ-NA/c0a751015b7c8d7ec68fb5710e33ad4d</t>
  </si>
  <si>
    <t>CZ-NA/AZK%7CKarlov</t>
  </si>
  <si>
    <t>tag:www.monasterium.net,2011:/fond/CZ-NA/AZK%7CKarlov</t>
  </si>
  <si>
    <t xml:space="preserve">Archivy českíých klášterů zrušeníých za Josefa II. (1115-1760) // ŘA Karlov</t>
  </si>
  <si>
    <t>CZ-NA/c5941f726fbbd915506c7aa576d9222c</t>
  </si>
  <si>
    <t>CZ-NA/AZK%7CSazava</t>
  </si>
  <si>
    <t>tag:www.monasterium.net,2011:/fond/CZ-NA/AZK%7CSazava</t>
  </si>
  <si>
    <t xml:space="preserve">Archivy českíých klášterů zrušeníých za Josefa II. (1115-1760) // ŘB Sázava</t>
  </si>
  <si>
    <t>CZ-NA/c8d209d29ae84e24e3cfc27d500aba91</t>
  </si>
  <si>
    <t>CZ-NA/AZK%7CMost</t>
  </si>
  <si>
    <t>tag:www.monasterium.net,2011:/fond/CZ-NA/AZK%7CMost</t>
  </si>
  <si>
    <t xml:space="preserve">Archivy českíých klášterů zrušeníých za Josefa II. (1115-1760) // ŘA Most</t>
  </si>
  <si>
    <t>CZ-NA/d0d6cb7729cbe8fc46de4e58b7f1e4ab</t>
  </si>
  <si>
    <t>CZ-NA/AZK%7CAnezka</t>
  </si>
  <si>
    <t>tag:www.monasterium.net,2011:/fond/CZ-NA/AZK%7CAnezka</t>
  </si>
  <si>
    <t xml:space="preserve">Archivy českíých klášterů zrušeníých za Josefa II. (1115-1760) // ŘKI sv. AneÅ¾ky</t>
  </si>
  <si>
    <t>CZ-NA/d1d7c6209e5cd835a008a7f7eebed82e</t>
  </si>
  <si>
    <t>CZ-NA/AZK%7CKaterina</t>
  </si>
  <si>
    <t>tag:www.monasterium.net,2011:/fond/CZ-NA/AZK%7CKaterina</t>
  </si>
  <si>
    <t xml:space="preserve">Archivy českíých klášterů zrušeníých za Josefa II. (1115-1760) // ŘA sv. Kateřina</t>
  </si>
  <si>
    <t>CZ-NA/dee13f5e178ee15c9dde4c294aab4dad</t>
  </si>
  <si>
    <t>CZ-NA/AZK%7CCheb</t>
  </si>
  <si>
    <t>tag:www.monasterium.net,2011:/fond/CZ-NA/AZK%7CCheb</t>
  </si>
  <si>
    <t xml:space="preserve">Archivy českíých klášterů zrušeníých za Josefa II. (1115-1760) // ŘKI Cheb</t>
  </si>
  <si>
    <t>CZ-NA/e2f0d069ffbbda0f575cc18e9a274c8b</t>
  </si>
  <si>
    <t>CZ-NA/RD</t>
  </si>
  <si>
    <t>tag:www.monasterium.net,2011:/fond/CZ-NA/RD</t>
  </si>
  <si>
    <t xml:space="preserve">Dominikáni-provincialát a konvent, Praha ((1203) 1255-1861)</t>
  </si>
  <si>
    <t>CZ-NA/e3e2a334604d9910f2081cf5dbbdbdb3</t>
  </si>
  <si>
    <t>CZ-NA/RM</t>
  </si>
  <si>
    <t>tag:www.monasterium.net,2011:/fond/CZ-NA/RM</t>
  </si>
  <si>
    <t xml:space="preserve">Maltézští­ rytí­ři - české velkopřevorství­ (1085-1875)</t>
  </si>
  <si>
    <t>CZ-NA/e91f2501db1ef0e8310f3e82fb396c3d</t>
  </si>
  <si>
    <t>CZ-NA/AZK%7CDoksany</t>
  </si>
  <si>
    <t>tag:www.monasterium.net,2011:/fond/CZ-NA/AZK%7CDoksany</t>
  </si>
  <si>
    <t xml:space="preserve">Archivy českíých klášterů zrušeníých za Josefa II. (1115-1760) // ŘP Doksany</t>
  </si>
  <si>
    <t>CZ-NA/ebef4f3179a1d06a12e1d5525635944f</t>
  </si>
  <si>
    <t>CZ-NA/RP</t>
  </si>
  <si>
    <t>tag:www.monasterium.net,2011:/fond/CZ-NA/RP</t>
  </si>
  <si>
    <t xml:space="preserve">Premonstráti-klášter Strahov (1192-1921)</t>
  </si>
  <si>
    <t>CZ-NA/f95559b0d910dcbfece347947c4e0e8e</t>
  </si>
  <si>
    <t>CZ-NA/KVs</t>
  </si>
  <si>
    <t>tag:www.monasterium.net,2011:/fond/CZ-NA/KVs</t>
  </si>
  <si>
    <t xml:space="preserve">Archiv kolegiátní­ kapituly vyšehradské (1130-1523)</t>
  </si>
  <si>
    <t>CZ-NA/faefdab945acafccf1732a991113e7da</t>
  </si>
  <si>
    <t>CZ-NA/RF%7CKadan</t>
  </si>
  <si>
    <t>tag:www.monasterium.net,2011:/fond/CZ-NA/RF%7CKadan</t>
  </si>
  <si>
    <t xml:space="preserve">Františkáni KadaÅˆ (1450-1780)</t>
  </si>
  <si>
    <t>CZ-NA/fbed0feaec58a174e164548423a4ff67</t>
  </si>
  <si>
    <t>CZ-NA/AZK%7CMikulas</t>
  </si>
  <si>
    <t>tag:www.monasterium.net,2011:/fond/CZ-NA/AZK%7CMikulas</t>
  </si>
  <si>
    <t xml:space="preserve">Archivy českíých klášterů zrušeníých za Josefa II. (1115-1760) // ŘB sv. Mikuláš</t>
  </si>
  <si>
    <t>CZ-SOAP/0344a6db57ff777d2313bfb854bc42fb</t>
  </si>
  <si>
    <t>CZ-SOAP/ChebOP</t>
  </si>
  <si>
    <t>tag:www.monasterium.net,2011:/fond/CZ-SOAP/ChebOP</t>
  </si>
  <si>
    <t xml:space="preserve">Cheb, Dominikáni (1294-1785)</t>
  </si>
  <si>
    <t>CZ-SOAP/62049e9ce2eca3d37f23754573355be6</t>
  </si>
  <si>
    <t>CZ-SOAP/TeplaOPraem</t>
  </si>
  <si>
    <t>tag:www.monasterium.net,2011:/fond/CZ-SOAP/TeplaOPraem</t>
  </si>
  <si>
    <t xml:space="preserve">Teplá, klaster OPraem (1197-1908)</t>
  </si>
  <si>
    <t>CZ-SOAPraha/17effd8cc6c590b7260580f276b23dd2</t>
  </si>
  <si>
    <t>CZ-SOAPraha/BALysa</t>
  </si>
  <si>
    <t>tag:www.monasterium.net,2011:/fond/CZ-SOAPraha/BALysa</t>
  </si>
  <si>
    <t xml:space="preserve">Bosí augustiniáni Lysá nad Labem</t>
  </si>
  <si>
    <t>CZ-SOAPraha/9eaeb2cf91715310cbf021e9e5d458e8</t>
  </si>
  <si>
    <t>CZ-SOAPraha/Vorsilky-KH</t>
  </si>
  <si>
    <t>tag:www.monasterium.net,2011:/fond/CZ-SOAPraha/Vorsilky-KH</t>
  </si>
  <si>
    <t xml:space="preserve">Klášter voršilek Kutná Hora</t>
  </si>
  <si>
    <t>CZ-SOAT/d06c18ee5666009776f2a49b87252e43</t>
  </si>
  <si>
    <t>CZ-SOAT/PremonstratiZeliv</t>
  </si>
  <si>
    <t>tag:www.monasterium.net,2011:/fond/CZ-SOAT/PremonstratiZeliv</t>
  </si>
  <si>
    <t xml:space="preserve">Premonstráti Å½eliv (1233-1853)</t>
  </si>
  <si>
    <t>CZ-ZAO/0f0de0fd2d5d8b252686df1f9eeec2b7</t>
  </si>
  <si>
    <t>CZ-ZAO/RD-TESIN</t>
  </si>
  <si>
    <t>tag:www.monasterium.net,2011:/fond/CZ-ZAO/RD-TESIN</t>
  </si>
  <si>
    <t xml:space="preserve">Dominikáni Těšín (1408â€“1790 (1796))</t>
  </si>
  <si>
    <t>CZ-ZAO/18f615c3f63916317000115c26a14093</t>
  </si>
  <si>
    <t>CZ-ZAO/RA-FULNEK</t>
  </si>
  <si>
    <t>tag:www.monasterium.net,2011:/fond/CZ-ZAO/RA-FULNEK</t>
  </si>
  <si>
    <t xml:space="preserve">Augustiniáni kanovníci Fulnek ((1293) 1389â€“1786)</t>
  </si>
  <si>
    <t>CZ-ZAO/26e1de90180e2469ce90c7593c3cbf04</t>
  </si>
  <si>
    <t>CZ-ZAO/RD-Opava</t>
  </si>
  <si>
    <t>tag:www.monasterium.net,2011:/fond/CZ-ZAO/RD-Opava</t>
  </si>
  <si>
    <t xml:space="preserve">Dominikáni Opava (1430â€“1786)</t>
  </si>
  <si>
    <t>CZ-ZAO/417d579dca9bb0a84d7bccee8725fbcf</t>
  </si>
  <si>
    <t>CZ-ZAO/RM-KRNOV</t>
  </si>
  <si>
    <t>tag:www.monasterium.net,2011:/fond/CZ-ZAO/RM-KRNOV</t>
  </si>
  <si>
    <t xml:space="preserve">Minorité Krnov (1533â€“1948)</t>
  </si>
  <si>
    <t>CZ-ZAO/51ffb7e3e6a2966ed7cd382a4e53c3a0</t>
  </si>
  <si>
    <t>CZ-ZAO/RKL-OPAVA</t>
  </si>
  <si>
    <t>tag:www.monasterium.net,2011:/fond/CZ-ZAO/RKL-OPAVA</t>
  </si>
  <si>
    <t xml:space="preserve">Klarisky Opava ((1289) 1307â€“1782 (1846))</t>
  </si>
  <si>
    <t>CZ-ZAO/53586089064b5340dba0ec94e573b9e8</t>
  </si>
  <si>
    <t>CZ-ZAO/RM-OPAVA</t>
  </si>
  <si>
    <t>tag:www.monasterium.net,2011:/fond/CZ-ZAO/RM-OPAVA</t>
  </si>
  <si>
    <t xml:space="preserve">Minorité Opava (1669â€“1914)</t>
  </si>
  <si>
    <t>CZ-ZAO/bc841a16508b5528bec9ebba2fd18b9f</t>
  </si>
  <si>
    <t>CZ-ZAO/RK-FULNEK</t>
  </si>
  <si>
    <t>tag:www.monasterium.net,2011:/fond/CZ-ZAO/RK-FULNEK</t>
  </si>
  <si>
    <t xml:space="preserve">Kapucí­ni Fulnek ((1661) 1684â€“1950 (1952))</t>
  </si>
  <si>
    <t>DE-AEK/76083265cde0487eb7dc4657b50df98d</t>
  </si>
  <si>
    <t>DE-AEK/MiK</t>
  </si>
  <si>
    <t>tag:www.monasterium.net,2011:/fond/DE-AEK/MiK</t>
  </si>
  <si>
    <t xml:space="preserve">Stift St. Maria im Kapitol</t>
  </si>
  <si>
    <t>DE-BAH/3e992f4b5b495e73557cae5e014cff50</t>
  </si>
  <si>
    <t>DE-BAH/StPauliundDominikaner</t>
  </si>
  <si>
    <t>tag:www.monasterium.net,2011:/fond/DE-BAH/StPauliundDominikaner</t>
  </si>
  <si>
    <t xml:space="preserve">Urkunden St. Paulikirche und Dominikaner</t>
  </si>
  <si>
    <t>DE-BAH/ea42cb4fd993b7a8d318429dcbe19594</t>
  </si>
  <si>
    <t>DE-BAH/Franziskanerkloster</t>
  </si>
  <si>
    <t>tag:www.monasterium.net,2011:/fond/DE-BAH/Franziskanerkloster</t>
  </si>
  <si>
    <t xml:space="preserve"> Franziskanerkloster</t>
  </si>
  <si>
    <t>DE-BAH/ee3dde20bde5f845082a5da0e759393a</t>
  </si>
  <si>
    <t>DE-BAH/KSSchuesselkorb</t>
  </si>
  <si>
    <t>tag:www.monasterium.net,2011:/fond/DE-BAH/KSSchuesselkorb</t>
  </si>
  <si>
    <t xml:space="preserve">Urkunden Kollegiatstift Schüsselkorb</t>
  </si>
  <si>
    <t>DE-BAH/f65221613a170d311739ec9be5d50888</t>
  </si>
  <si>
    <t>DE-BAH/UrkStMi</t>
  </si>
  <si>
    <t>tag:www.monasterium.net,2011:/fond/DE-BAH/UrkStMi</t>
  </si>
  <si>
    <t xml:space="preserve">Urkunden St. Michael (1001-1801)</t>
  </si>
  <si>
    <t>DE-BayHStA/014626eaa8eee3c65fa41f796f5ed2da</t>
  </si>
  <si>
    <t>DE-BayHStA/KUWindberg</t>
  </si>
  <si>
    <t>tag:www.monasterium.net,2011:/fond/DE-BayHStA/KUWindberg</t>
  </si>
  <si>
    <t xml:space="preserve">Kloster Windberg Urkunden (Prämonstratenser 1146-1777)</t>
  </si>
  <si>
    <t>DE-BayHStA/04e9db08d77cfef1ec7d6b7b44d4526f</t>
  </si>
  <si>
    <t>DE-BayHStA/KUMuenchenAngerkloster</t>
  </si>
  <si>
    <t>tag:www.monasterium.net,2011:/fond/DE-BayHStA/KUMuenchenAngerkloster</t>
  </si>
  <si>
    <t xml:space="preserve">Angerkloster München Urkunden (1268-1791)</t>
  </si>
  <si>
    <t>DE-BayHStA/33c6c361cc159e552740a9484894f311</t>
  </si>
  <si>
    <t>DE-BayHStA/KURohr</t>
  </si>
  <si>
    <t>tag:www.monasterium.net,2011:/fond/DE-BayHStA/KURohr</t>
  </si>
  <si>
    <t xml:space="preserve">Kloster Rohr Urkunden (1133-1796)</t>
  </si>
  <si>
    <t>DE-BayHStA/482983340a97970e4653a07ef2b64427</t>
  </si>
  <si>
    <t>DE-BayHStA/KUFrauenchiemsee</t>
  </si>
  <si>
    <t>tag:www.monasterium.net,2011:/fond/DE-BayHStA/KUFrauenchiemsee</t>
  </si>
  <si>
    <t xml:space="preserve">Kloster Frauenchiemsee, Urkunden</t>
  </si>
  <si>
    <t>DE-BayHStA/68abcf7f831bb563e4b2e43f442c9da9</t>
  </si>
  <si>
    <t>DE-BayHStA/KUVilshofen</t>
  </si>
  <si>
    <t>tag:www.monasterium.net,2011:/fond/DE-BayHStA/KUVilshofen</t>
  </si>
  <si>
    <t xml:space="preserve">Kollegiatstift Vilshofen Urkunden (1310-1787)</t>
  </si>
  <si>
    <t>DE-BayHStA/6c43572f082ac676a8c5ccfad694acf6</t>
  </si>
  <si>
    <t>DE-BayHStA/KUFormbach</t>
  </si>
  <si>
    <t>tag:www.monasterium.net,2011:/fond/DE-BayHStA/KUFormbach</t>
  </si>
  <si>
    <t xml:space="preserve">Kloster Formbach Urkunden (Benediktiner 1114-1792)</t>
  </si>
  <si>
    <t>DE-BayHStA/781b9fb6b57014e325e81c3bc5c87e2b</t>
  </si>
  <si>
    <t>DE-BayHStA/KUHoeglwoerth</t>
  </si>
  <si>
    <t>tag:www.monasterium.net,2011:/fond/DE-BayHStA/KUHoeglwoerth</t>
  </si>
  <si>
    <t xml:space="preserve">Kloster Hoeglwoerth Urkunden (Augustiner-Chorherren 1219-1797)</t>
  </si>
  <si>
    <t>DE-BayHStA/78d556f46555908f6dc08981ebfbb85c</t>
  </si>
  <si>
    <t>DE-BayHStA/KUAltenhohenau</t>
  </si>
  <si>
    <t>tag:www.monasterium.net,2011:/fond/DE-BayHStA/KUAltenhohenau</t>
  </si>
  <si>
    <t xml:space="preserve">Kloster Altenhohenau Urkunden (Dominikanerinnen 1214-1800)</t>
  </si>
  <si>
    <t>DE-BayHStA/7ec299657a37978a5d582c752719c0e1</t>
  </si>
  <si>
    <t>DE-BayHStA/KUPassauStNikola</t>
  </si>
  <si>
    <t>tag:www.monasterium.net,2011:/fond/DE-BayHStA/KUPassauStNikola</t>
  </si>
  <si>
    <t xml:space="preserve">Kloster St. Nikola Passau Urkunden (Augustiner-Chorherren 1073-1802)</t>
  </si>
  <si>
    <t>DE-BayHStA/9dd1b979e1306436b82bf276155a1781</t>
  </si>
  <si>
    <t>DE-BayHStA/KURaitenhaslach</t>
  </si>
  <si>
    <t>tag:www.monasterium.net,2011:/fond/DE-BayHStA/KURaitenhaslach</t>
  </si>
  <si>
    <t xml:space="preserve">Kloster Raitenhaslach Urkunden (Zisterzienser 1034-1798)</t>
  </si>
  <si>
    <t>DE-BayHStA/a2378ed1e9b54885929a8b1f5892afd7</t>
  </si>
  <si>
    <t>DE-BayHStA/KUAltoettingChorstift</t>
  </si>
  <si>
    <t>tag:www.monasterium.net,2011:/fond/DE-BayHStA/KUAltoettingChorstift</t>
  </si>
  <si>
    <t xml:space="preserve">Kollegiatstift Altötting Urkunden (1228-1793)</t>
  </si>
  <si>
    <t>DE-BayHStA/b215bd6dc8e1f8b5ad1fd3698e4125ce</t>
  </si>
  <si>
    <t>DE-BayHStA/KUAldersbach</t>
  </si>
  <si>
    <t>tag:www.monasterium.net,2011:/fond/DE-BayHStA/KUAldersbach</t>
  </si>
  <si>
    <t xml:space="preserve">Kloster Aldersbach Urkunden (Zisterzienser 1139-1791)</t>
  </si>
  <si>
    <t>DE-BayHStA/b5c164179712391550135f212c9ea0ac</t>
  </si>
  <si>
    <t>DE-BayHStA/KUFuerstenzell</t>
  </si>
  <si>
    <t>tag:www.monasterium.net,2011:/fond/DE-BayHStA/KUFuerstenzell</t>
  </si>
  <si>
    <t xml:space="preserve">Kloster Fürstenzell Urkunden (Zisterzienser 1246-1786)</t>
  </si>
  <si>
    <t>DE-BayHStA/b6e66024be4319ac4f2a52f17b798a5a</t>
  </si>
  <si>
    <t>DE-BayHStA/KUAltomuenster</t>
  </si>
  <si>
    <t>tag:www.monasterium.net,2011:/fond/DE-BayHStA/KUAltomuenster</t>
  </si>
  <si>
    <t xml:space="preserve">Kloster Altomuenster Urkunden (Benediktinerinnen 1256-1760)</t>
  </si>
  <si>
    <t>DE-BayHStA/bada55dca4b92ef5620785972d8475a5</t>
  </si>
  <si>
    <t>DE-BayHStA/KUKuehbach</t>
  </si>
  <si>
    <t>tag:www.monasterium.net,2011:/fond/DE-BayHStA/KUKuehbach</t>
  </si>
  <si>
    <t xml:space="preserve">Kloster Kühbach Urkunden (Benediktinerinnen 1011-1773)</t>
  </si>
  <si>
    <t>DE-BayHStA/cd0d1a62973879583234225047c7bc76</t>
  </si>
  <si>
    <t>DE-BayHStA/KUOsterhofen</t>
  </si>
  <si>
    <t>tag:www.monasterium.net,2011:/fond/DE-BayHStA/KUOsterhofen</t>
  </si>
  <si>
    <t xml:space="preserve">Kloster Osterhofen Urkunden (Prämonstratenser 1146-1783)</t>
  </si>
  <si>
    <t>DE-BayHStA/cff195adfb040d2178e2567c8d5e0bde</t>
  </si>
  <si>
    <t>DE-BayHStA/KUAsbach</t>
  </si>
  <si>
    <t>tag:www.monasterium.net,2011:/fond/DE-BayHStA/KUAsbach</t>
  </si>
  <si>
    <t xml:space="preserve">Kloster Asbach Urkunden (1270-1795)</t>
  </si>
  <si>
    <t>DE-BayHStA/daa4c8ef6fe795db234e6952c9ca2715</t>
  </si>
  <si>
    <t>DE-BayHStA/KUPassauStSalvator</t>
  </si>
  <si>
    <t>tag:www.monasterium.net,2011:/fond/DE-BayHStA/KUPassauStSalvator</t>
  </si>
  <si>
    <t xml:space="preserve">Kloster St. Salvator Urkunden (Prämonstratenser 1289-1756)</t>
  </si>
  <si>
    <t>DE-BayHStA/e3b2c3b5c44a1550ad8e2d40ea35c332</t>
  </si>
  <si>
    <t>DE-BayHStA/KUNeuburgDonau</t>
  </si>
  <si>
    <t>tag:www.monasterium.net,2011:/fond/DE-BayHStA/KUNeuburgDonau</t>
  </si>
  <si>
    <t xml:space="preserve">Benediktinerinnenkloster Neuburg Urkunden (1259-1584)</t>
  </si>
  <si>
    <t>DE-BayHStA/e42397a5f7ddc91a47024fb3d770aa2d</t>
  </si>
  <si>
    <t>DE-BayHStA/KURanshofen</t>
  </si>
  <si>
    <t>tag:www.monasterium.net,2011:/fond/DE-BayHStA/KURanshofen</t>
  </si>
  <si>
    <t xml:space="preserve">Kloster Ranshofen Urkunden (Augustiner-Chorherren 898-1813)</t>
  </si>
  <si>
    <t>DE-BayHStA/e9fec39f5439f47e5c5e15ca54708946</t>
  </si>
  <si>
    <t>DE-BayHStA/KURegensburgStEmmeram</t>
  </si>
  <si>
    <t>tag:www.monasterium.net,2011:/fond/DE-BayHStA/KURegensburgStEmmeram</t>
  </si>
  <si>
    <t xml:space="preserve">Kloster St. Emmeram Regensburg Urkunden (0794-1800)</t>
  </si>
  <si>
    <t>DE-BayHStA/f81c12a54579c032c8aa2bc663cd2658</t>
  </si>
  <si>
    <t>DE-BayHStA/KUNiederaltaich</t>
  </si>
  <si>
    <t>tag:www.monasterium.net,2011:/fond/DE-BayHStA/KUNiederaltaich</t>
  </si>
  <si>
    <t xml:space="preserve">Kloster Niederaltaich Urkunden (790-1801)</t>
  </si>
  <si>
    <t>DE-BayHStA/fc5520038840dea4eee6879a550cd93b</t>
  </si>
  <si>
    <t>DE-BayHStA/KUPassauNiedernburg</t>
  </si>
  <si>
    <t>tag:www.monasterium.net,2011:/fond/DE-BayHStA/KUPassauNiedernburg</t>
  </si>
  <si>
    <t xml:space="preserve">Kloster Passau-Niedernburg Urkunden (Benediktinerinnen 1010-1801)</t>
  </si>
  <si>
    <t>DE-BayHStA/fd022f2148ae9781161f12752b169e14</t>
  </si>
  <si>
    <t>DE-BayHStA/KUMuenchen-Puetrichhaus</t>
  </si>
  <si>
    <t>tag:www.monasterium.net,2011:/fond/DE-BayHStA/KUMuenchen-Puetrichhaus</t>
  </si>
  <si>
    <t xml:space="preserve">Kloster Pütrichhaus Urkunden (1356-1716)</t>
  </si>
  <si>
    <t>DE-GLAK/d2c4d62c3644cac106115b0f5877d032</t>
  </si>
  <si>
    <t>DE-GLAK/GLAK_34</t>
  </si>
  <si>
    <t>tag:www.monasterium.net,2011:/fond/DE-GLAK/GLAK_34</t>
  </si>
  <si>
    <t xml:space="preserve">Allerheiligen, Prämonstratenserkloster</t>
  </si>
  <si>
    <t>DE-HStAMa/20387d48e6f5c0425a19be1eb39119e5</t>
  </si>
  <si>
    <t>DE-HStAMa/Urk.37</t>
  </si>
  <si>
    <t>tag:www.monasterium.net,2011:/fond/DE-HStAMa/Urk.37</t>
  </si>
  <si>
    <t xml:space="preserve">Urk. 37 (1147-1786) (alt: A II Deutscher Orden)</t>
  </si>
  <si>
    <t>DE-HStAMa/ac97e80c41e80c168424af3bcad389c7</t>
  </si>
  <si>
    <t>DE-HStAMa/urk77</t>
  </si>
  <si>
    <t>tag:www.monasterium.net,2011:/fond/DE-HStAMa/urk77</t>
  </si>
  <si>
    <t xml:space="preserve">Urk. 77 (alt: R II Fulda, Klöster)</t>
  </si>
  <si>
    <t>DE-HStASt/7db40712273b9a6dc3833f82b0ce11cc</t>
  </si>
  <si>
    <t>DE-HStASt/HStASt_A502</t>
  </si>
  <si>
    <t>tag:www.monasterium.net,2011:/fond/DE-HStASt/HStASt_A502</t>
  </si>
  <si>
    <t xml:space="preserve">Maulbronn, Zisterzienserkloster</t>
  </si>
  <si>
    <t>DE-LHAKO/0ea0eb92fc73d4d939c4ac2a4b18c7bb</t>
  </si>
  <si>
    <t>DE-LHAKO/164</t>
  </si>
  <si>
    <t>tag:www.monasterium.net,2011:/fond/DE-LHAKO/164</t>
  </si>
  <si>
    <t xml:space="preserve">Best. 164, Rupertsberg (Bingen), Benediktinerinnenkloster </t>
  </si>
  <si>
    <t>DE-LHAKO/7e41bd41f56826e5a376ababf6d1c408</t>
  </si>
  <si>
    <t>DE-LHAKO/128</t>
  </si>
  <si>
    <t>tag:www.monasterium.net,2011:/fond/DE-LHAKO/128</t>
  </si>
  <si>
    <t xml:space="preserve">Best. 128, Laach, Benediktinerkloster</t>
  </si>
  <si>
    <t>DE-LHAKO/a5901d0e3d3e779675f9041a50214b09</t>
  </si>
  <si>
    <t>DE-LHAKO/55A4</t>
  </si>
  <si>
    <t>tag:www.monasterium.net,2011:/fond/DE-LHAKO/55A4</t>
  </si>
  <si>
    <t xml:space="preserve">Best. 55 A 4, Deutscher Orden, Ballei Lothringen</t>
  </si>
  <si>
    <t>DE-LHAKO/a5b733a0b9c9a3146c916a63e55f594a</t>
  </si>
  <si>
    <t>DE-LHAKO/55A2</t>
  </si>
  <si>
    <t>tag:www.monasterium.net,2011:/fond/DE-LHAKO/55A2</t>
  </si>
  <si>
    <t xml:space="preserve">Best. 55 A 2, Deutscher Orden, Ballei Koblenz</t>
  </si>
  <si>
    <t>DE-LHAKO/aa5ca64ede146fea2e7d5308438623a7</t>
  </si>
  <si>
    <t>DE-LHAKO/210</t>
  </si>
  <si>
    <t>tag:www.monasterium.net,2011:/fond/DE-LHAKO/210</t>
  </si>
  <si>
    <t xml:space="preserve">Best. 210, Trier, Benediktinerkloster St. Eucharius - St. Matthias</t>
  </si>
  <si>
    <t>DE-StAAm/4450ccdc3028d1a033188de80e31112b</t>
  </si>
  <si>
    <t>DE-StAAm/Waldsassen</t>
  </si>
  <si>
    <t>tag:www.monasterium.net,2011:/fond/DE-StAAm/Waldsassen</t>
  </si>
  <si>
    <t xml:space="preserve">Kloster Waldsassen Urkunden (1132-1798)</t>
  </si>
  <si>
    <t>DE-StAAm/6898d0ea01fdb4cf189bc15da04a4f36</t>
  </si>
  <si>
    <t>DE-StAAm/Weissenohe</t>
  </si>
  <si>
    <t>tag:www.monasterium.net,2011:/fond/DE-StAAm/Weissenohe</t>
  </si>
  <si>
    <t xml:space="preserve">Kloster Weißenohe Urkunden</t>
  </si>
  <si>
    <t>DE-StAAm/f4b66dc7e1c57e6904410802f725750d</t>
  </si>
  <si>
    <t>DE-StAAm/EnsdorfOSB</t>
  </si>
  <si>
    <t>tag:www.monasterium.net,2011:/fond/DE-StAAm/EnsdorfOSB</t>
  </si>
  <si>
    <t xml:space="preserve">Kloster Ensdorf Urkunden (1115-1797)</t>
  </si>
  <si>
    <t>DE-StABa/ba5d0a50aaa66431beaff8979d2a5482</t>
  </si>
  <si>
    <t>DE-StABa/Langheim</t>
  </si>
  <si>
    <t>tag:www.monasterium.net,2011:/fond/DE-StABa/Langheim</t>
  </si>
  <si>
    <t xml:space="preserve">Kloster Langheim Urkunden</t>
  </si>
  <si>
    <t>DE-StALB/0c7bdee605abe3a050e75a4b8d7f6fb3</t>
  </si>
  <si>
    <t>DE-StALB/DOMuehringenHauskomtur</t>
  </si>
  <si>
    <t>tag:www.monasterium.net,2011:/fond/DE-StALB/DOMuehringenHauskomtur</t>
  </si>
  <si>
    <t xml:space="preserve">Deutscher Orden: Deutschordenshaus Mühringen (Akten des Hauskomturs)</t>
  </si>
  <si>
    <t>DE-StALB/11589cc10ae7ea769d6cf946bbe802d6</t>
  </si>
  <si>
    <t>DE-StALB/DOMergentheimWestfGericht</t>
  </si>
  <si>
    <t>tag:www.monasterium.net,2011:/fond/DE-StALB/DOMergentheimWestfGericht</t>
  </si>
  <si>
    <t xml:space="preserve">Deutscher Orden, Regierung Mergentheim: Urkunden des Westfälischen Gerichts</t>
  </si>
  <si>
    <t>DE-StALB/1e69dca7ea47a827e0ced4bda672cfd1</t>
  </si>
  <si>
    <t>DE-StALB/DOMergentheimDienerschaftI</t>
  </si>
  <si>
    <t>tag:www.monasterium.net,2011:/fond/DE-StALB/DOMergentheimDienerschaftI</t>
  </si>
  <si>
    <t xml:space="preserve">Deutscher Orden, Regierung Mergentheim: Dienerschaft I</t>
  </si>
  <si>
    <t>DE-StALB/4abcbc81a0a6c846a5db5f13c4ec04ff</t>
  </si>
  <si>
    <t>DE-StALB/DOAufnahmegesuche</t>
  </si>
  <si>
    <t>tag:www.monasterium.net,2011:/fond/DE-StALB/DOAufnahmegesuche</t>
  </si>
  <si>
    <t xml:space="preserve">Deutschordensritter, Aufnahmegesuche und Wappenbeschreibungen</t>
  </si>
  <si>
    <t>DE-StALB/5227607c71a5af35684dd2e609b80a03</t>
  </si>
  <si>
    <t>DE-StALB/DOMergentheimGeistlichkeitI</t>
  </si>
  <si>
    <t>tag:www.monasterium.net,2011:/fond/DE-StALB/DOMergentheimGeistlichkeitI</t>
  </si>
  <si>
    <t xml:space="preserve">Deutscher Orden, Regierung Mergentheim: Geistlichkeit I</t>
  </si>
  <si>
    <t>DE-StALB/5b8835ac582299cc3aed165f5624a45c</t>
  </si>
  <si>
    <t>DE-StALB/DOKommendeMergentheimII</t>
  </si>
  <si>
    <t>tag:www.monasterium.net,2011:/fond/DE-StALB/DOKommendeMergentheimII</t>
  </si>
  <si>
    <t xml:space="preserve">Deutscher Orden: Kommende Mergentheim II</t>
  </si>
  <si>
    <t>DE-StALB/7b84bde60603c779dfb771df4ca54155</t>
  </si>
  <si>
    <t>DE-StALB/StAL_B509</t>
  </si>
  <si>
    <t>tag:www.monasterium.net,2011:/fond/DE-StALB/StAL_B509</t>
  </si>
  <si>
    <t xml:space="preserve">Klarissenkloster </t>
  </si>
  <si>
    <t>DE-StALB/86cb97847fa0488d2cc5b304815ba5fe</t>
  </si>
  <si>
    <t>DE-StALB/DOMergentheimGeburtsbriefe</t>
  </si>
  <si>
    <t>tag:www.monasterium.net,2011:/fond/DE-StALB/DOMergentheimGeburtsbriefe</t>
  </si>
  <si>
    <t xml:space="preserve">Deutscher Orden, Regierung Mergentheim: Geburtsbriefe von Bürgerlichen</t>
  </si>
  <si>
    <t>DE-StALB/8785b8bcf45d5c87e6449fd9591cbf1a</t>
  </si>
  <si>
    <t>DE-StALB/DOFrankenSchneidheim</t>
  </si>
  <si>
    <t>tag:www.monasterium.net,2011:/fond/DE-StALB/DOFrankenSchneidheim</t>
  </si>
  <si>
    <t xml:space="preserve">Deutscher Orden, Ballei Franken: Vogteiamt Schneidheim</t>
  </si>
  <si>
    <t>DE-StALB/90e47636b6719c5731643730fcea2cc2</t>
  </si>
  <si>
    <t>DE-StALB/DOLothringen</t>
  </si>
  <si>
    <t>tag:www.monasterium.net,2011:/fond/DE-StALB/DOLothringen</t>
  </si>
  <si>
    <t xml:space="preserve">Deutscher Orden: Ballei Lothringen</t>
  </si>
  <si>
    <t>DE-StALB/a2a4cc561ce9b1c551e1c5d7f7026c5b</t>
  </si>
  <si>
    <t>DE-StALB/DOMergentheim1</t>
  </si>
  <si>
    <t>tag:www.monasterium.net,2011:/fond/DE-StALB/DOMergentheim1</t>
  </si>
  <si>
    <t xml:space="preserve">Deutscher Orden, Regierung Mergentheim: Stadt Mergentheim I (Stadt, Schloß, Priesterseminar)</t>
  </si>
  <si>
    <t>DE-StALB/b36501cbab7227b2ccf239e75d5f2511</t>
  </si>
  <si>
    <t>DE-StALB/DOMergentheim4</t>
  </si>
  <si>
    <t>tag:www.monasterium.net,2011:/fond/DE-StALB/DOMergentheim4</t>
  </si>
  <si>
    <t xml:space="preserve">Deutscher Orden, Regierung Mergentheim: Stadt Mergentheim IV (Pfarrei und Schule, Trapponei, Gerichts- und Strafakten)</t>
  </si>
  <si>
    <t>DE-StALB/b60964bc5ac1f73c59b3fd6f243d03cc</t>
  </si>
  <si>
    <t>DE-StALB/DOMergentheimStocksberg</t>
  </si>
  <si>
    <t>tag:www.monasterium.net,2011:/fond/DE-StALB/DOMergentheimStocksberg</t>
  </si>
  <si>
    <t xml:space="preserve">Deutscher Orden, Regierung Mergentheim: Amt Stocksberg</t>
  </si>
  <si>
    <t>DE-StALB/bb6616a6a2d88098b6b7605932fccd98</t>
  </si>
  <si>
    <t>DE-StALB/DOKommendeUlmZoeschingen</t>
  </si>
  <si>
    <t>tag:www.monasterium.net,2011:/fond/DE-StALB/DOKommendeUlmZoeschingen</t>
  </si>
  <si>
    <t xml:space="preserve">Deutscher Orden: Kommende Ulm Zoeschingen</t>
  </si>
  <si>
    <t>DE-StALB/c18ff907be1ff37c37ddb7d2059d5edc</t>
  </si>
  <si>
    <t>DE-StALB/DOKommendeMergentheimI</t>
  </si>
  <si>
    <t>tag:www.monasterium.net,2011:/fond/DE-StALB/DOKommendeMergentheimI</t>
  </si>
  <si>
    <t xml:space="preserve">Deutscher Orden: Kommende Mergentheim I</t>
  </si>
  <si>
    <t>DE-StALB/cddc6b8245c3be6d9b655dc1f54be648</t>
  </si>
  <si>
    <t>DE-StALB/DOMergentheim2</t>
  </si>
  <si>
    <t>tag:www.monasterium.net,2011:/fond/DE-StALB/DOMergentheim2</t>
  </si>
  <si>
    <t xml:space="preserve">Deutscher Orden, Regierung Mergentheim: Stadt Mergentheim II (Johanniter- und Deutschhof, Dominikanerkloster, Kapuzinerkloster, Schöntalerhof)</t>
  </si>
  <si>
    <t>DE-StALB/d0e7f7f8218ef26606860ce75adf58bf</t>
  </si>
  <si>
    <t>DE-StALB/DOMergentheimOriginalurkundenI</t>
  </si>
  <si>
    <t>tag:www.monasterium.net,2011:/fond/DE-StALB/DOMergentheimOriginalurkundenI</t>
  </si>
  <si>
    <t xml:space="preserve">Deutscher Orden, Regierung Mergentheim: 'Originalurkunden' I (Mergentheim sowie auswärtige Personen und Orte)</t>
  </si>
  <si>
    <t>DE-StALB/d63cb869943f161c51eadd1cf582cc05</t>
  </si>
  <si>
    <t>DE-StALB/DOMergentheim3</t>
  </si>
  <si>
    <t>tag:www.monasterium.net,2011:/fond/DE-StALB/DOMergentheim3</t>
  </si>
  <si>
    <t xml:space="preserve">Deutscher Orden, Regierung Mergentheim: Stadt Mergentheim III (Hospital, Siechen- und Armenhaus, Almosenpflege)</t>
  </si>
  <si>
    <t>DE-StALB/ec1690b1dcf90fe43f92e5e7e5ea50ba</t>
  </si>
  <si>
    <t>DE-StALB/DOMergentheimGeistlichkeitII</t>
  </si>
  <si>
    <t>tag:www.monasterium.net,2011:/fond/DE-StALB/DOMergentheimGeistlichkeitII</t>
  </si>
  <si>
    <t xml:space="preserve">Deutscher Orden, Regierung Mergentheim: Geistlichkeit II</t>
  </si>
  <si>
    <t>DE-StALB/f07c419ccee117c4b4b8364a37b0f670</t>
  </si>
  <si>
    <t>DE-StALB/DoMergentheimOriginalurkundenII</t>
  </si>
  <si>
    <t>tag:www.monasterium.net,2011:/fond/DE-StALB/DoMergentheimOriginalurkundenII</t>
  </si>
  <si>
    <t xml:space="preserve">Deutscher Orden, Regierung Mergentheim: 'Originalurkunden' II (Fränkisches und Odenwäldisches Amt, Herren von Adelsheim, Trapponei Mergentheim)</t>
  </si>
  <si>
    <t>DE-StAW/307d4b2463a699dbbce988dd02147630</t>
  </si>
  <si>
    <t>DE-StAW/Katzwang</t>
  </si>
  <si>
    <t>tag:www.monasterium.net,2011:/fond/DE-StAW/Katzwang</t>
  </si>
  <si>
    <t xml:space="preserve">Ebrach, Zisterzienser - Amt Katzwang (1298-1779)</t>
  </si>
  <si>
    <t>DE-StAW/3107d0838a428564841ca9993ce2e339</t>
  </si>
  <si>
    <t>DE-StAW/EbrachOCist</t>
  </si>
  <si>
    <t>tag:www.monasterium.net,2011:/fond/DE-StAW/EbrachOCist</t>
  </si>
  <si>
    <t xml:space="preserve">Ebrach, Zisterzienser (1194-1803)</t>
  </si>
  <si>
    <t>DE-StAW/3cc60fec7efb16a252dec0cbe119ce1d</t>
  </si>
  <si>
    <t>DE-StAW/HimmelspfortenOCist</t>
  </si>
  <si>
    <t>tag:www.monasterium.net,2011:/fond/DE-StAW/HimmelspfortenOCist</t>
  </si>
  <si>
    <t xml:space="preserve">Himmelspforten, Kloster (1231-1781)</t>
  </si>
  <si>
    <t>DE-StAW/468958b02202235c04243da871fc4302</t>
  </si>
  <si>
    <t>DE-StAW/StAlbanCan</t>
  </si>
  <si>
    <t>tag:www.monasterium.net,2011:/fond/DE-StAW/StAlbanCan</t>
  </si>
  <si>
    <t xml:space="preserve">Mainz St. Alban, Stift (1007-1763)</t>
  </si>
  <si>
    <t>DE-StAW/72902c6a49865987332cc23a5fa15a76</t>
  </si>
  <si>
    <t>DE-StAW/Neumuenster</t>
  </si>
  <si>
    <t>tag:www.monasterium.net,2011:/fond/DE-StAW/Neumuenster</t>
  </si>
  <si>
    <t xml:space="preserve">Neumünster, Kollegiatstift (1054-1801)</t>
  </si>
  <si>
    <t>DE-StAW/c27f9bb6c16157c4abe216ba1ad92b23</t>
  </si>
  <si>
    <t>DE-StAW/Seligenstadt</t>
  </si>
  <si>
    <t>tag:www.monasterium.net,2011:/fond/DE-StAW/Seligenstadt</t>
  </si>
  <si>
    <t xml:space="preserve">Seligenstadt, Kloster (1139-1784)</t>
  </si>
  <si>
    <t>DE-StAW/efdff395eff47b3116759f37f6bcf57c</t>
  </si>
  <si>
    <t>DE-StAW/BleidenstadtCan</t>
  </si>
  <si>
    <t>tag:www.monasterium.net,2011:/fond/DE-StAW/BleidenstadtCan</t>
  </si>
  <si>
    <t xml:space="preserve">Bleidenstadt, Stift St. Ferrutius (975-1790)</t>
  </si>
  <si>
    <t>DE-UAHD/172506e3c8367aea859d7ee951ec77c5</t>
  </si>
  <si>
    <t>DE-UAHD/LambrechtKloster</t>
  </si>
  <si>
    <t>tag:www.monasterium.net,2011:/fond/DE-UAHD/LambrechtKloster</t>
  </si>
  <si>
    <t xml:space="preserve">Lambrecht, Kloster</t>
  </si>
  <si>
    <t>DE-UAHD/8d8e24a2f740c417f49e54e4a1c0aee4</t>
  </si>
  <si>
    <t>DE-UAHD/WeidasKloster</t>
  </si>
  <si>
    <t>tag:www.monasterium.net,2011:/fond/DE-UAHD/WeidasKloster</t>
  </si>
  <si>
    <t xml:space="preserve">Weidas, Kloster</t>
  </si>
  <si>
    <t>DE-UAHD/a4ab3acb9b37c3bffea705d4dc352e99</t>
  </si>
  <si>
    <t>DE-UAHD/AlzeyAugustinerkloster</t>
  </si>
  <si>
    <t>tag:www.monasterium.net,2011:/fond/DE-UAHD/AlzeyAugustinerkloster</t>
  </si>
  <si>
    <t xml:space="preserve">Alzey, Augustinerkloster</t>
  </si>
  <si>
    <t>DE-UAHD/ba25969375128d18e1a420137de2ef2f</t>
  </si>
  <si>
    <t>DE-UAHD/ZellStift</t>
  </si>
  <si>
    <t>tag:www.monasterium.net,2011:/fond/DE-UAHD/ZellStift</t>
  </si>
  <si>
    <t xml:space="preserve">Zell, Stift</t>
  </si>
  <si>
    <t>ES-AHN/036dff4ca827d80866e895f150b04d92</t>
  </si>
  <si>
    <t>ES-AHN/SantaMariadeArmenteira</t>
  </si>
  <si>
    <t>tag:www.monasterium.net,2011:/fond/ES-AHN/SantaMariadeArmenteira</t>
  </si>
  <si>
    <t xml:space="preserve">Santa Maria de Armenteira</t>
  </si>
  <si>
    <t>ES-AHN/282e4fd09bba0bdf160555a20464328d</t>
  </si>
  <si>
    <t>ES-AHN/MonasterioSanSalvadordeLerez</t>
  </si>
  <si>
    <t>tag:www.monasterium.net,2011:/fond/ES-AHN/MonasterioSanSalvadordeLerez</t>
  </si>
  <si>
    <t xml:space="preserve">Monasterio de San Salvador de Lerez</t>
  </si>
  <si>
    <t>ES-AHN/2de9f649a68cdf60d2f9c6d3a3433c58</t>
  </si>
  <si>
    <t>ES-AHN/MonasterioSanSalvadorDeSobrado</t>
  </si>
  <si>
    <t>tag:www.monasterium.net,2011:/fond/ES-AHN/MonasterioSanSalvadorDeSobrado</t>
  </si>
  <si>
    <t xml:space="preserve">Monasterio de San Salvador de Sobrado de Trives (A Proboa de Trives, Ourense, EspaÃ±a). Benedictinas</t>
  </si>
  <si>
    <t>ES-AHN/2fcf69aa2f55bf843f926091a0b2bfe6</t>
  </si>
  <si>
    <t>ES-AHN/MonasterioSantaMariadeXunqueira</t>
  </si>
  <si>
    <t>tag:www.monasterium.net,2011:/fond/ES-AHN/MonasterioSantaMariadeXunqueira</t>
  </si>
  <si>
    <t xml:space="preserve">Monasterio de Santa Maria de Xunqueira</t>
  </si>
  <si>
    <t>ES-AHN/48cab204176e9ea5042661bff2cecd2a</t>
  </si>
  <si>
    <t>ES-AHN/MonasterioSanPedrodeVilanovadeDozon</t>
  </si>
  <si>
    <t>tag:www.monasterium.net,2011:/fond/ES-AHN/MonasterioSanPedrodeVilanovadeDozon</t>
  </si>
  <si>
    <t xml:space="preserve">Monasterio de San Pedro de Vilanova de DozonÂ </t>
  </si>
  <si>
    <t>ES-AHN/51a56486642a66efcade7f3be98a0020</t>
  </si>
  <si>
    <t>ES-AHN/MonasterioSantaMariadeOseira</t>
  </si>
  <si>
    <t>tag:www.monasterium.net,2011:/fond/ES-AHN/MonasterioSantaMariadeOseira</t>
  </si>
  <si>
    <t xml:space="preserve">Monasterio de Santa María de Oseira</t>
  </si>
  <si>
    <t>ES-AHN/5bf9d2469b5c410d4d377211c672859b</t>
  </si>
  <si>
    <t>ES-AHN/MonasterioSantaMariaMelon</t>
  </si>
  <si>
    <t>tag:www.monasterium.net,2011:/fond/ES-AHN/MonasterioSantaMariaMelon</t>
  </si>
  <si>
    <t xml:space="preserve">Monasterio Santa Maria Melon</t>
  </si>
  <si>
    <t>ES-AHN/84e839cf34ab14de807b63f10d3cf9a3</t>
  </si>
  <si>
    <t>ES-AHN/SantaCombadeNaves</t>
  </si>
  <si>
    <t>tag:www.monasterium.net,2011:/fond/ES-AHN/SantaCombadeNaves</t>
  </si>
  <si>
    <t xml:space="preserve">Monasterio de Santa Comba de Naves (Orense)</t>
  </si>
  <si>
    <t>ES-AHN/86ad4a3d4b89a4116b9dad33f584123a</t>
  </si>
  <si>
    <t>ES-AHN/MonasterioSantoEstevo</t>
  </si>
  <si>
    <t>tag:www.monasterium.net,2011:/fond/ES-AHN/MonasterioSantoEstevo</t>
  </si>
  <si>
    <t xml:space="preserve">Monasterio Santo Estevo</t>
  </si>
  <si>
    <t>ES-AHN/8b0c44fc18c596e2b344d7dd3d4cfd39</t>
  </si>
  <si>
    <t>ES-AHN/MonasterioSantaMariaRibeira</t>
  </si>
  <si>
    <t>tag:www.monasterium.net,2011:/fond/ES-AHN/MonasterioSantaMariaRibeira</t>
  </si>
  <si>
    <t xml:space="preserve">Â Monasterio Santa Maria Ribeira</t>
  </si>
  <si>
    <t>ES-AHN/8c71a675160299d54135c3c9a05d1cc9</t>
  </si>
  <si>
    <t>ES-AHN/MonasterioSantaMariaSanClodio</t>
  </si>
  <si>
    <t>tag:www.monasterium.net,2011:/fond/ES-AHN/MonasterioSantaMariaSanClodio</t>
  </si>
  <si>
    <t xml:space="preserve">Monasterio Santa Maria San Clodio</t>
  </si>
  <si>
    <t>ES-AHN/962f1d2fd60fbb8a88764da1bf6590b3</t>
  </si>
  <si>
    <t>ES-AHN/MonasterioSanPedroRocas</t>
  </si>
  <si>
    <t>tag:www.monasterium.net,2011:/fond/ES-AHN/MonasterioSanPedroRocas</t>
  </si>
  <si>
    <t xml:space="preserve">Monasterio San Pedro Rocas</t>
  </si>
  <si>
    <t>ES-AHN/d5ec5d98d2ab84f425ceba343ecabe00</t>
  </si>
  <si>
    <t>ES-AHN/MonasterioSantaMariaMontederramo</t>
  </si>
  <si>
    <t>tag:www.monasterium.net,2011:/fond/ES-AHN/MonasterioSantaMariaMontederramo</t>
  </si>
  <si>
    <t xml:space="preserve">Monasterio Santa Maria Montederramo</t>
  </si>
  <si>
    <t>ES-AHN/d7e0ccf7950a1bb04304cb10571e71c5</t>
  </si>
  <si>
    <t>ES-AHN/MonasterioSanLorenzodeCarboeiro</t>
  </si>
  <si>
    <t>tag:www.monasterium.net,2011:/fond/ES-AHN/MonasterioSanLorenzodeCarboeiro</t>
  </si>
  <si>
    <t xml:space="preserve">Monasterio de San Lorenzo de Carboeiro</t>
  </si>
  <si>
    <t>ES-AHN/f80b369552e5ae2a572249dc62f55cde</t>
  </si>
  <si>
    <t>ES-AHN/MonasterioSanSalvadordeCelanova</t>
  </si>
  <si>
    <t>tag:www.monasterium.net,2011:/fond/ES-AHN/MonasterioSanSalvadordeCelanova</t>
  </si>
  <si>
    <t xml:space="preserve">Monasterio de San Salvador de Celanova</t>
  </si>
  <si>
    <t>HR-DAZD/f91aa10ab89e1aa16360b46e0d40571d</t>
  </si>
  <si>
    <t>HR-DAZD/336</t>
  </si>
  <si>
    <t>tag:www.monasterium.net,2011:/fond/HR-DAZD/336</t>
  </si>
  <si>
    <t xml:space="preserve">Benediktinski samostan Sv. Krševana u Zadru</t>
  </si>
  <si>
    <t>HR-HDA/0ad3cd779f111d2b8d256df60a4e2ac5</t>
  </si>
  <si>
    <t>HR-HDA/644</t>
  </si>
  <si>
    <t>tag:www.monasterium.net,2011:/fond/HR-HDA/644</t>
  </si>
  <si>
    <t xml:space="preserve">Pavlinski samostan Crikvenica</t>
  </si>
  <si>
    <t>HR-HDA/6631d979ca45563aa9fabe4b2ce35a83</t>
  </si>
  <si>
    <t>HR-HDA/654</t>
  </si>
  <si>
    <t>tag:www.monasterium.net,2011:/fond/HR-HDA/654</t>
  </si>
  <si>
    <t xml:space="preserve">Pavlinski samostan sv. Jelene u Senju</t>
  </si>
  <si>
    <t>HU-MNL-DLINTI/07413da471a3809a3dd518b2ff7e8869</t>
  </si>
  <si>
    <t>HU-MNL-DLINTI/SZEKKQ398</t>
  </si>
  <si>
    <t>tag:www.monasterium.net,2011:/fond/HU-MNL-DLINTI/SZEKKQ398</t>
  </si>
  <si>
    <t xml:space="preserve">Székesfehérvári keresztesek konventje (Q 398)</t>
  </si>
  <si>
    <t>HU-MNL-DLINTI/9f735397cbb70c3a7683acdaca9d4edc</t>
  </si>
  <si>
    <t>HU-MNL-DLINTI/FERRQ5</t>
  </si>
  <si>
    <t>tag:www.monasterium.net,2011:/fond/HU-MNL-DLINTI/FERRQ5</t>
  </si>
  <si>
    <t xml:space="preserve">Ferences rendtartomány (Q 5)</t>
  </si>
  <si>
    <t>HU-MNL-DLKINL/dab94c9cbdf34bd35c06366bc54f94e4</t>
  </si>
  <si>
    <t>HU-MNL-DLKINL/MKAAPQ312</t>
  </si>
  <si>
    <t>tag:www.monasterium.net,2011:/fond/HU-MNL-DLKINL/MKAAPQ312</t>
  </si>
  <si>
    <t xml:space="preserve">MKA, Acta Paulinorum (Q 312)</t>
  </si>
  <si>
    <t>HU-PBFL/131f80cb92eb345e534c4aa9ae5d940e</t>
  </si>
  <si>
    <t>HU-PBFL/TihanyOSB</t>
  </si>
  <si>
    <t>tag:www.monasterium.net,2011:/fond/HU-PBFL/TihanyOSB</t>
  </si>
  <si>
    <t xml:space="preserve">Tihany, Bences (PannH) (1055-1522)</t>
  </si>
  <si>
    <t>HU-PBFL/415c477be2e4b307e2f9487aa401db7d</t>
  </si>
  <si>
    <t>HU-PBFL/BakonybelOSB</t>
  </si>
  <si>
    <t>tag:www.monasterium.net,2011:/fond/HU-PBFL/BakonybelOSB</t>
  </si>
  <si>
    <t xml:space="preserve">Bakonybél, Bences (PannH) (1246-1525)</t>
  </si>
  <si>
    <t>HU-PBFL/7377ae696de4d43c121af3589de60870</t>
  </si>
  <si>
    <t>HU-PBFL/Elen</t>
  </si>
  <si>
    <t>tag:www.monasterium.net,2011:/fond/HU-PBFL/Elen</t>
  </si>
  <si>
    <t xml:space="preserve">Pannonhalma, Bences - Elenyészett apátságok (1230-1400)</t>
  </si>
  <si>
    <t>HU-PBFL/8810aa3b74e591320b490281779f0443</t>
  </si>
  <si>
    <t>HU-PBFL/PannHActa</t>
  </si>
  <si>
    <t>tag:www.monasterium.net,2011:/fond/HU-PBFL/PannHActa</t>
  </si>
  <si>
    <t xml:space="preserve">Pannonhalma, Bences - Acta Antiquiora (1201-1525)</t>
  </si>
  <si>
    <t>HU-PBFL/fd0ca0b6b6d9585f5a5637c775cc2a29</t>
  </si>
  <si>
    <t>HU-PBFL/PannHOSB</t>
  </si>
  <si>
    <t>tag:www.monasterium.net,2011:/fond/HU-PBFL/PannHOSB</t>
  </si>
  <si>
    <t xml:space="preserve">Pannonhalma, Bences - Capsarium (1000-1526)</t>
  </si>
  <si>
    <t>IT-ASBa/3394e659b5098db560f58fdf1a824507</t>
  </si>
  <si>
    <t>IT-ASBa/ASBa_SGiac-dipl</t>
  </si>
  <si>
    <t>tag:www.monasterium.net,2011:/fond/IT-ASBa/ASBa_SGiac-dipl</t>
  </si>
  <si>
    <t xml:space="preserve">07 Pergamene Nitti: Monastero San Giacomo di Bari: diplomi</t>
  </si>
  <si>
    <t>IT-ASBa/efdf017fa0c47e195bab5c337e244be8</t>
  </si>
  <si>
    <t>IT-ASBa/ASBa_SGiac-strum</t>
  </si>
  <si>
    <t>tag:www.monasterium.net,2011:/fond/IT-ASBa/ASBa_SGiac-strum</t>
  </si>
  <si>
    <t xml:space="preserve">08 Pergamene Nitti: Monastero San Giacomo di Bari: strumenti notarili</t>
  </si>
  <si>
    <t>IT-ASFi/041fb2fa26e2c2eba31baec674ccdd97</t>
  </si>
  <si>
    <t>IT-ASFi/DNFirenzeSGiovanniBoldrone</t>
  </si>
  <si>
    <t>tag:www.monasterium.net,2011:/fond/IT-ASFi/DNFirenzeSGiovanniBoldrone</t>
  </si>
  <si>
    <t xml:space="preserve">Firenze , S. Giovanni monastero detto Boldrone, (benedettine)</t>
  </si>
  <si>
    <t>IT-ASFi/04f3ef3479e134ccd1ec32c854147ceb</t>
  </si>
  <si>
    <t>IT-ASFi/DNBorgoSanSepolcroSanFrancesco</t>
  </si>
  <si>
    <t>tag:www.monasterium.net,2011:/fond/IT-ASFi/DNBorgoSanSepolcroSanFrancesco</t>
  </si>
  <si>
    <t xml:space="preserve">Borgo San Sepolcro , S. Francesco (minori)</t>
  </si>
  <si>
    <t>IT-ASFi/07335b73ea98655804903220dff62b9c</t>
  </si>
  <si>
    <t>IT-ASFi/DNSanGimignanoSChiara</t>
  </si>
  <si>
    <t>tag:www.monasterium.net,2011:/fond/IT-ASFi/DNSanGimignanoSChiara</t>
  </si>
  <si>
    <t xml:space="preserve">San Gimignano , S. Chiara (clarisse)</t>
  </si>
  <si>
    <t>IT-ASFi/0c32b1b754d091d9e564d2e7bff90b63</t>
  </si>
  <si>
    <t>IT-ASFi/DNFirenzeSMiniato</t>
  </si>
  <si>
    <t>tag:www.monasterium.net,2011:/fond/IT-ASFi/DNFirenzeSMiniato</t>
  </si>
  <si>
    <t xml:space="preserve">Firenze , S. Miniato al Monte (olivetani)</t>
  </si>
  <si>
    <t>IT-ASFi/0cf617b016ab87baa25b9d3f5d69683d</t>
  </si>
  <si>
    <t>IT-ASFi/DNFirenzeSSilvestro</t>
  </si>
  <si>
    <t>tag:www.monasterium.net,2011:/fond/IT-ASFi/DNFirenzeSSilvestro</t>
  </si>
  <si>
    <t xml:space="preserve">Firenze , S. Silvestro (benedettine)</t>
  </si>
  <si>
    <t>IT-ASFi/1038c519c4a86e11a174fd4a2bd24b98</t>
  </si>
  <si>
    <t>IT-ASFi/DNFirenzeSCroce</t>
  </si>
  <si>
    <t>tag:www.monasterium.net,2011:/fond/IT-ASFi/DNFirenzeSCroce</t>
  </si>
  <si>
    <t xml:space="preserve">Firenze , S. Croce (minori)</t>
  </si>
  <si>
    <t>IT-ASFi/13176e473072f2e38fd04a1ed3b7ed03</t>
  </si>
  <si>
    <t>IT-ASFi/DNPistoiaSMicheleNiccolao</t>
  </si>
  <si>
    <t>tag:www.monasterium.net,2011:/fond/IT-ASFi/DNPistoiaSMicheleNiccolao</t>
  </si>
  <si>
    <t xml:space="preserve">Pistoia , S. Michele e Niccolao (benedettine)</t>
  </si>
  <si>
    <t>IT-ASFi/13550b74499469ce316dfd8aacda52bc</t>
  </si>
  <si>
    <t>IT-ASFi/DNFirenzeSMariaDellaPieta</t>
  </si>
  <si>
    <t>tag:www.monasterium.net,2011:/fond/IT-ASFi/DNFirenzeSMariaDellaPieta</t>
  </si>
  <si>
    <t xml:space="preserve">Firenze , S. Maria della Pieta (conservatorio, domenicane)</t>
  </si>
  <si>
    <t>IT-ASFi/142f68139d09ad36dc24facab6efb142</t>
  </si>
  <si>
    <t>IT-ASFi/DNFirenzeSIacopoRipoli</t>
  </si>
  <si>
    <t>tag:www.monasterium.net,2011:/fond/IT-ASFi/DNFirenzeSIacopoRipoli</t>
  </si>
  <si>
    <t xml:space="preserve">Firenze , S. Iacopo di Ripoli (domenicane)</t>
  </si>
  <si>
    <t>IT-ASFi/16ee915a6661684f18d10647e5eca472</t>
  </si>
  <si>
    <t>IT-ASFi/DNFirenzeSPaolino</t>
  </si>
  <si>
    <t>tag:www.monasterium.net,2011:/fond/IT-ASFi/DNFirenzeSPaolino</t>
  </si>
  <si>
    <t xml:space="preserve">Firenze , S. Paolino (carmelitani)</t>
  </si>
  <si>
    <t>IT-ASFi/1a8a6fbaab983bffd0577920d4d80e8c</t>
  </si>
  <si>
    <t>IT-ASFi/DNFirenzeSFelicita</t>
  </si>
  <si>
    <t>tag:www.monasterium.net,2011:/fond/IT-ASFi/DNFirenzeSFelicita</t>
  </si>
  <si>
    <t xml:space="preserve">Firenze , S. Felicita (benedettine)</t>
  </si>
  <si>
    <t>IT-ASFi/1a97e11f18623cf079843e6439506f9a</t>
  </si>
  <si>
    <t>IT-ASFi/DNFirenzeSPierMartire</t>
  </si>
  <si>
    <t>tag:www.monasterium.net,2011:/fond/IT-ASFi/DNFirenzeSPierMartire</t>
  </si>
  <si>
    <t xml:space="preserve">Firenze , S. Pier Martire (domenicane)</t>
  </si>
  <si>
    <t>IT-ASFi/1ba6c641120daaf3f3303e4717bebd84</t>
  </si>
  <si>
    <t>IT-ASFi/DNPoggibonsiSLorenzo</t>
  </si>
  <si>
    <t>tag:www.monasterium.net,2011:/fond/IT-ASFi/DNPoggibonsiSLorenzo</t>
  </si>
  <si>
    <t xml:space="preserve">Poggibonsi , S. Lorenzo (agostiniani)</t>
  </si>
  <si>
    <t>IT-ASFi/1c96cb6084e75c90ed831e9b146c58be</t>
  </si>
  <si>
    <t>IT-ASFi/DNFirenzeSApollonia</t>
  </si>
  <si>
    <t>tag:www.monasterium.net,2011:/fond/IT-ASFi/DNFirenzeSApollonia</t>
  </si>
  <si>
    <t xml:space="preserve">Firenze , S. Apollonia (benedettine)</t>
  </si>
  <si>
    <t>IT-ASFi/1d1a00bf47158e5ff83ecab6a85a3245</t>
  </si>
  <si>
    <t>IT-ASFi/DNGimignanoSMariaRomite</t>
  </si>
  <si>
    <t>tag:www.monasterium.net,2011:/fond/IT-ASFi/DNGimignanoSMariaRomite</t>
  </si>
  <si>
    <t xml:space="preserve">San Gimignano , S. Maria monastero detto le Romite di S. Caterina (benedettine)</t>
  </si>
  <si>
    <t>IT-ASFi/274d5b720c03a3a550580eab0ca86f28</t>
  </si>
  <si>
    <t>IT-ASFi/DNFirenzeSmaAnnunziata</t>
  </si>
  <si>
    <t>tag:www.monasterium.net,2011:/fond/IT-ASFi/DNFirenzeSmaAnnunziata</t>
  </si>
  <si>
    <t xml:space="preserve">Firenze , S.ma Annunziata (serviti)</t>
  </si>
  <si>
    <t>IT-ASFi/283df895fdcec351472c221fda2f39ba</t>
  </si>
  <si>
    <t>IT-ASFi/DNFirenzeSDomenico</t>
  </si>
  <si>
    <t>tag:www.monasterium.net,2011:/fond/IT-ASFi/DNFirenzeSDomenico</t>
  </si>
  <si>
    <t xml:space="preserve">Firenze , S. Domenico del Maglio (domenicane)</t>
  </si>
  <si>
    <t>IT-ASFi/290d2597a45df2a27bb0ffcad8ef8100</t>
  </si>
  <si>
    <t>IT-ASFi/DNPesciaSMichele</t>
  </si>
  <si>
    <t>tag:www.monasterium.net,2011:/fond/IT-ASFi/DNPesciaSMichele</t>
  </si>
  <si>
    <t xml:space="preserve">Pescia , S. Michele (benedettine)</t>
  </si>
  <si>
    <t>IT-ASFi/2b9e6c07f9575003575a14d48e1219d3</t>
  </si>
  <si>
    <t>IT-ASFi/DNFirenzeSMarco</t>
  </si>
  <si>
    <t>tag:www.monasterium.net,2011:/fond/IT-ASFi/DNFirenzeSMarco</t>
  </si>
  <si>
    <t xml:space="preserve">Firenze , S. Marco (domenicani)</t>
  </si>
  <si>
    <t>IT-ASFi/2fc43939ce35eb2e4fdbb4a58bcd78c3</t>
  </si>
  <si>
    <t>IT-ASFi/DNSantaCroceValdarnoSCristiana</t>
  </si>
  <si>
    <t>tag:www.monasterium.net,2011:/fond/IT-ASFi/DNSantaCroceValdarnoSCristiana</t>
  </si>
  <si>
    <t xml:space="preserve">Santa Croce Valdarno , S. Cristiana (agostiniane)</t>
  </si>
  <si>
    <t>IT-ASFi/31019adcac54d9c5eb96ab08e318d09d</t>
  </si>
  <si>
    <t>IT-ASFi/DNVallombrosaSMariaDAcquabella</t>
  </si>
  <si>
    <t>tag:www.monasterium.net,2011:/fond/IT-ASFi/DNVallombrosaSMariaDAcquabella</t>
  </si>
  <si>
    <t xml:space="preserve">Vallombrosa , S. Maria d'Acquabella (badia vallombrosana)</t>
  </si>
  <si>
    <t>IT-ASFi/32f6d5bfd8c530f7a1c26f821782a01e</t>
  </si>
  <si>
    <t>IT-ASFi/DNRadicondoliSCaterinaDelleRuote</t>
  </si>
  <si>
    <t>tag:www.monasterium.net,2011:/fond/IT-ASFi/DNRadicondoliSCaterinaDelleRuote</t>
  </si>
  <si>
    <t xml:space="preserve">Radicondoli , S. Caterina delle Ruote (agostiniane)</t>
  </si>
  <si>
    <t>IT-ASFi/378802251b6c787741a3d3d13ea484ad</t>
  </si>
  <si>
    <t>IT-ASFi/DNFirenzeSIacopo</t>
  </si>
  <si>
    <t>tag:www.monasterium.net,2011:/fond/IT-ASFi/DNFirenzeSIacopo</t>
  </si>
  <si>
    <t xml:space="preserve">Firenze , S. Iacopo (francescane)</t>
  </si>
  <si>
    <t>IT-ASFi/3940a6b1c12a67f94b9800113f1a7d9b</t>
  </si>
  <si>
    <t>IT-ASFi/DNSanMiniatoAlTedescoSAgostino</t>
  </si>
  <si>
    <t>tag:www.monasterium.net,2011:/fond/IT-ASFi/DNSanMiniatoAlTedescoSAgostino</t>
  </si>
  <si>
    <t xml:space="preserve">San Miniato al Tedesco , S. Agostino (agostiniani, con pergamene di S. Maria della Scala)</t>
  </si>
  <si>
    <t>IT-ASFi/40dcb705bba4ed5bf88fbc2f91f759a9</t>
  </si>
  <si>
    <t>IT-ASFi/DNFirenzeSMariaAFonteviva</t>
  </si>
  <si>
    <t>tag:www.monasterium.net,2011:/fond/IT-ASFi/DNFirenzeSMariaAFonteviva</t>
  </si>
  <si>
    <t xml:space="preserve">Firenze , S. Maria a Fonteviva detto del Bigallo, (benedettine)</t>
  </si>
  <si>
    <t>IT-ASFi/434201114b408ac5fa4096375a11def6</t>
  </si>
  <si>
    <t>IT-ASFi/DNGangalandiSMariaDelleSelve</t>
  </si>
  <si>
    <t>tag:www.monasterium.net,2011:/fond/IT-ASFi/DNGangalandiSMariaDelleSelve</t>
  </si>
  <si>
    <t xml:space="preserve">Gangalandi , S. Maria delle Selve (carmelitani)</t>
  </si>
  <si>
    <t>IT-ASFi/45cf04a0c546631bf853d6e0cdd2d945</t>
  </si>
  <si>
    <t>IT-ASFi/DNFirenzeSMariaSulPrato</t>
  </si>
  <si>
    <t>tag:www.monasterium.net,2011:/fond/IT-ASFi/DNFirenzeSMariaSulPrato</t>
  </si>
  <si>
    <t xml:space="preserve">Firenze , S. Maria Sul Prato (agostiniane)</t>
  </si>
  <si>
    <t>IT-ASFi/49b66a8cee71e8ca9a0b5f5ff371bf24</t>
  </si>
  <si>
    <t>IT-ASFi/DNPisaSBernardo</t>
  </si>
  <si>
    <t>tag:www.monasterium.net,2011:/fond/IT-ASFi/DNPisaSBernardo</t>
  </si>
  <si>
    <t xml:space="preserve">Pisa , S. Bernardo (benedettine cistercensi)</t>
  </si>
  <si>
    <t>IT-ASFi/5014390f0e698bcdb2e03286754c679e</t>
  </si>
  <si>
    <t>IT-ASFi/DNFirenzeSPierMaggiore</t>
  </si>
  <si>
    <t>tag:www.monasterium.net,2011:/fond/IT-ASFi/DNFirenzeSPierMaggiore</t>
  </si>
  <si>
    <t xml:space="preserve">Firenze , S. Pier Maggiore (benedettine)</t>
  </si>
  <si>
    <t>IT-ASFi/51b5bf620c12704ab4d98bef4d9ced7b</t>
  </si>
  <si>
    <t>IT-ASFi/DNPratoSVincenzo</t>
  </si>
  <si>
    <t>tag:www.monasterium.net,2011:/fond/IT-ASFi/DNPratoSVincenzo</t>
  </si>
  <si>
    <t xml:space="preserve">Prato , S. Vincenzo (domenicane)</t>
  </si>
  <si>
    <t>IT-ASFi/5498eff951c8dad7614a59032b0e809f</t>
  </si>
  <si>
    <t>IT-ASFi/DNFirenzeSOrsola</t>
  </si>
  <si>
    <t>tag:www.monasterium.net,2011:/fond/IT-ASFi/DNFirenzeSOrsola</t>
  </si>
  <si>
    <t xml:space="preserve">Firenze , S. Orsola (francescane)</t>
  </si>
  <si>
    <t>IT-ASFi/558b38b26337490d9b2d640e8911388c</t>
  </si>
  <si>
    <t>IT-ASFi/DNCortonaSChiara</t>
  </si>
  <si>
    <t>tag:www.monasterium.net,2011:/fond/IT-ASFi/DNCortonaSChiara</t>
  </si>
  <si>
    <t xml:space="preserve">Cortona , S. Chiara (francescane)</t>
  </si>
  <si>
    <t>IT-ASFi/55a6f27c4b54f679948a4ff490af4ac5</t>
  </si>
  <si>
    <t>IT-ASFi/DNFirenzeSMariaDellaBadia</t>
  </si>
  <si>
    <t>tag:www.monasterium.net,2011:/fond/IT-ASFi/DNFirenzeSMariaDellaBadia</t>
  </si>
  <si>
    <t xml:space="preserve">Firenze , S. Maria della Badia detta Badia fiorentina, (benedettini cassinesi)</t>
  </si>
  <si>
    <t>IT-ASFi/58686850f92ec320a01c526a2875bbee</t>
  </si>
  <si>
    <t>IT-ASFi/DNPratoSBartolomeo</t>
  </si>
  <si>
    <t>tag:www.monasterium.net,2011:/fond/IT-ASFi/DNPratoSBartolomeo</t>
  </si>
  <si>
    <t xml:space="preserve">Prato , S. Bartolomeo (carmelitani)</t>
  </si>
  <si>
    <t>IT-ASFi/5aa9cc0128af30c9c9c17a63c8808894</t>
  </si>
  <si>
    <t>IT-ASFi/DNFirenzeSMariaNovella</t>
  </si>
  <si>
    <t>tag:www.monasterium.net,2011:/fond/IT-ASFi/DNFirenzeSMariaNovella</t>
  </si>
  <si>
    <t xml:space="preserve">Firenze , S. Maria Novella (domenicani)</t>
  </si>
  <si>
    <t>IT-ASFi/5e1b73c4f6d5b6879a93c8f46239c8a5</t>
  </si>
  <si>
    <t>IT-ASFi/DNMontalcinoSAgostino</t>
  </si>
  <si>
    <t>tag:www.monasterium.net,2011:/fond/IT-ASFi/DNMontalcinoSAgostino</t>
  </si>
  <si>
    <t xml:space="preserve">Montalcino , S. Agostino (agostiniani)</t>
  </si>
  <si>
    <t>IT-ASFi/6056968864e503b70a24c99fffb3bd02</t>
  </si>
  <si>
    <t>IT-ASFi/DNMontepulcianoSFrancesco</t>
  </si>
  <si>
    <t>tag:www.monasterium.net,2011:/fond/IT-ASFi/DNMontepulcianoSFrancesco</t>
  </si>
  <si>
    <t xml:space="preserve">Montepulciano , S. Francesco (francescani)</t>
  </si>
  <si>
    <t>IT-ASFi/61b1fbde35a8e7508251032ee50b448e</t>
  </si>
  <si>
    <t>IT-ASFi/DNFirenzeSMonaca</t>
  </si>
  <si>
    <t>tag:www.monasterium.net,2011:/fond/IT-ASFi/DNFirenzeSMonaca</t>
  </si>
  <si>
    <t xml:space="preserve">Firenze , S. Monaca (agostiniane)</t>
  </si>
  <si>
    <t>IT-ASFi/6295dd77df5a4d067562366e60a837b9</t>
  </si>
  <si>
    <t>IT-ASFi/DNFirenzeSPancrazio</t>
  </si>
  <si>
    <t>tag:www.monasterium.net,2011:/fond/IT-ASFi/DNFirenzeSPancrazio</t>
  </si>
  <si>
    <t xml:space="preserve">Firenze , S. Pancrazio (vallombrosani)</t>
  </si>
  <si>
    <t>IT-ASFi/62b4945c0dfd51e069b94fcb36836cd4</t>
  </si>
  <si>
    <t>IT-ASFi/DNMaianoSMartino</t>
  </si>
  <si>
    <t>tag:www.monasterium.net,2011:/fond/IT-ASFi/DNMaianoSMartino</t>
  </si>
  <si>
    <t xml:space="preserve">Maiano , S. Martino (benedettine)</t>
  </si>
  <si>
    <t>IT-ASFi/63686609f92f3b728a87c92fa49c6d61</t>
  </si>
  <si>
    <t>IT-ASFi/DNFirenzeOrdineGerosolimitano</t>
  </si>
  <si>
    <t>tag:www.monasterium.net,2011:/fond/IT-ASFi/DNFirenzeOrdineGerosolimitano</t>
  </si>
  <si>
    <t xml:space="preserve">Firenze , Ordine Gerosolimitano di Malta</t>
  </si>
  <si>
    <t>IT-ASFi/6436caba5f8904776b56ff87e11d56be</t>
  </si>
  <si>
    <t>IT-ASFi/DNFivizzanoSGiovanniBattista</t>
  </si>
  <si>
    <t>tag:www.monasterium.net,2011:/fond/IT-ASFi/DNFivizzanoSGiovanniBattista</t>
  </si>
  <si>
    <t xml:space="preserve">Fivizzano , S. Giovanni Battista (agostiniani)</t>
  </si>
  <si>
    <t>IT-ASFi/65906d6a061d64c9272219e21bb52765</t>
  </si>
  <si>
    <t>IT-ASFi/DNFirenzeSDonato</t>
  </si>
  <si>
    <t>tag:www.monasterium.net,2011:/fond/IT-ASFi/DNFirenzeSDonato</t>
  </si>
  <si>
    <t xml:space="preserve">Firenze , S. Donato in Polverosa o a Torri (benedettine)</t>
  </si>
  <si>
    <t>IT-ASFi/65fd2916c627f385bfc1d33e82568489</t>
  </si>
  <si>
    <t>IT-ASFi/DNMonteSanSavinoSAgostino</t>
  </si>
  <si>
    <t>tag:www.monasterium.net,2011:/fond/IT-ASFi/DNMonteSanSavinoSAgostino</t>
  </si>
  <si>
    <t xml:space="preserve">Monte San Savino , S. Agostino (agostiniani)</t>
  </si>
  <si>
    <t>IT-ASFi/68a7f3e4e99cf2c84b981e96a9dc4420</t>
  </si>
  <si>
    <t>IT-ASFi/DNCortoneSMariaDeiServi</t>
  </si>
  <si>
    <t>tag:www.monasterium.net,2011:/fond/IT-ASFi/DNCortoneSMariaDeiServi</t>
  </si>
  <si>
    <t xml:space="preserve">Cortona , S. Maria dei Servi (serviti)</t>
  </si>
  <si>
    <t>IT-ASFi/6d1981b0b1bdaad659c9a51cd3d2b5de</t>
  </si>
  <si>
    <t>IT-ASFi/DNRipoliSBartolomeo</t>
  </si>
  <si>
    <t>tag:www.monasterium.net,2011:/fond/IT-ASFi/DNRipoliSBartolomeo</t>
  </si>
  <si>
    <t xml:space="preserve">Ripoli , S. Bartolomeo (badia vallombrosana)</t>
  </si>
  <si>
    <t>IT-ASFi/6fe059abb65b32e398b86614247a9f7e</t>
  </si>
  <si>
    <t>IT-ASFi/DNFirenzeSMariaAnnunziata</t>
  </si>
  <si>
    <t>tag:www.monasterium.net,2011:/fond/IT-ASFi/DNFirenzeSMariaAnnunziata</t>
  </si>
  <si>
    <t xml:space="preserve">Firenze , S. Maria Annunziata detto la Nunziatina, (carmelitane)</t>
  </si>
  <si>
    <t>IT-ASFi/73e9fd5f0275cfb56a9a85e51b554bd9</t>
  </si>
  <si>
    <t>IT-ASFi/DNSanMiniatoAlTedescoSmaAnnunziata</t>
  </si>
  <si>
    <t>tag:www.monasterium.net,2011:/fond/IT-ASFi/DNSanMiniatoAlTedescoSmaAnnunziata</t>
  </si>
  <si>
    <t xml:space="preserve">San Miniato al Tedesco , S.ma Annunziata (domenicane)</t>
  </si>
  <si>
    <t>IT-ASFi/7514ea0b53ad29abcfe8ba447ccf726f</t>
  </si>
  <si>
    <t>IT-ASFi/DNMonticianoSSPietroPaolo</t>
  </si>
  <si>
    <t>tag:www.monasterium.net,2011:/fond/IT-ASFi/DNMonticianoSSPietroPaolo</t>
  </si>
  <si>
    <t xml:space="preserve">Monticiano , SS. Pietro e Paolo (agostiniani)</t>
  </si>
  <si>
    <t>IT-ASFi/766c2ff635722305ae84f40621cb67c1</t>
  </si>
  <si>
    <t>IT-ASFi/DNEmpoliSStefano</t>
  </si>
  <si>
    <t>tag:www.monasterium.net,2011:/fond/IT-ASFi/DNEmpoliSStefano</t>
  </si>
  <si>
    <t xml:space="preserve">Empoli , S. Stefano (agostiniani)</t>
  </si>
  <si>
    <t>IT-ASFi/76f98d1162f09f542c7bc911dcf57da9</t>
  </si>
  <si>
    <t>IT-ASFi/DNFirenzeSMariaDegliAngioli</t>
  </si>
  <si>
    <t>tag:www.monasterium.net,2011:/fond/IT-ASFi/DNFirenzeSMariaDegliAngioli</t>
  </si>
  <si>
    <t xml:space="preserve">Firenze , S. Maria degli Angioli (camaldolesi)</t>
  </si>
  <si>
    <t>IT-ASFi/777fe43e6c561ba5e3d682df4f418d59</t>
  </si>
  <si>
    <t>IT-ASFi/DNRosanoSmaAnnunziata</t>
  </si>
  <si>
    <t>tag:www.monasterium.net,2011:/fond/IT-ASFi/DNRosanoSmaAnnunziata</t>
  </si>
  <si>
    <t xml:space="preserve">Rosano , S.ma Annunziata (benedettine)</t>
  </si>
  <si>
    <t>IT-ASFi/7b90b31a86415fb315dd26bb8b2e2ecf</t>
  </si>
  <si>
    <t>IT-ASFi/DNFirenzeSAntonioAbate</t>
  </si>
  <si>
    <t>tag:www.monasterium.net,2011:/fond/IT-ASFi/DNFirenzeSAntonioAbate</t>
  </si>
  <si>
    <t xml:space="preserve">Firenze , S. Antonio Abate (precettoria, canonici regolari)</t>
  </si>
  <si>
    <t>IT-ASFi/7c0291d3e29122cd9e83bc9748c1d2aa</t>
  </si>
  <si>
    <t>IT-ASFi/DNPianCastagnaioSBartolomeo</t>
  </si>
  <si>
    <t>tag:www.monasterium.net,2011:/fond/IT-ASFi/DNPianCastagnaioSBartolomeo</t>
  </si>
  <si>
    <t xml:space="preserve">Pian Castagnaio , S. Bartolomeo (francescani)</t>
  </si>
  <si>
    <t>IT-ASFi/7d239cb2e47d35abe49760f4dbe40d44</t>
  </si>
  <si>
    <t>IT-ASFi/DNPinelli</t>
  </si>
  <si>
    <t>tag:www.monasterium.net,2011:/fond/IT-ASFi/DNPinelli</t>
  </si>
  <si>
    <t xml:space="preserve">Pinelli (acquisto , relative allâ€™ospedale di S. Bartolomeo al Mugnone e al monastero di S. Martino alle Panche di Firenze)</t>
  </si>
  <si>
    <t>IT-ASFi/7d4f09d4f82fcb7fc0f2bd51924be083</t>
  </si>
  <si>
    <t>IT-ASFi/DNCigoliPropositura</t>
  </si>
  <si>
    <t>tag:www.monasterium.net,2011:/fond/IT-ASFi/DNCigoliPropositura</t>
  </si>
  <si>
    <t xml:space="preserve">Cigoli , S. Maria e S. Michele (propositura, umiliati)</t>
  </si>
  <si>
    <t>IT-ASFi/7e896b4bce0dbc368fdc185c89fc9286</t>
  </si>
  <si>
    <t>IT-ASFi/DNCortonaSMicheleArcangelo</t>
  </si>
  <si>
    <t>tag:www.monasterium.net,2011:/fond/IT-ASFi/DNCortonaSMicheleArcangelo</t>
  </si>
  <si>
    <t xml:space="preserve">Cortona , S. Michele Arcangelo (benedettine)</t>
  </si>
  <si>
    <t>IT-ASFi/80ad185bf588c354b44cdfa921c91a94</t>
  </si>
  <si>
    <t>IT-ASFi/DNMontepulcianoSAgnese</t>
  </si>
  <si>
    <t>tag:www.monasterium.net,2011:/fond/IT-ASFi/DNMontepulcianoSAgnese</t>
  </si>
  <si>
    <t xml:space="preserve">Montepulciano , S. Agnese (domenicani e domenicane)</t>
  </si>
  <si>
    <t>IT-ASFi/813f97af058872a5dfed37b980e07f9e</t>
  </si>
  <si>
    <t>IT-ASFi/DNFirenzeSFrancesco</t>
  </si>
  <si>
    <t>tag:www.monasterium.net,2011:/fond/IT-ASFi/DNFirenzeSFrancesco</t>
  </si>
  <si>
    <t xml:space="preserve">Firenze , S. Francesco (francescane)</t>
  </si>
  <si>
    <t>IT-ASFi/86798e6149caaba0274b8ca8ce365020</t>
  </si>
  <si>
    <t>IT-ASFi/DNColleValDElsaSFrancesco</t>
  </si>
  <si>
    <t>tag:www.monasterium.net,2011:/fond/IT-ASFi/DNColleValDElsaSFrancesco</t>
  </si>
  <si>
    <t xml:space="preserve">Colle Val d'Elsa , S. Francesco (francescani)</t>
  </si>
  <si>
    <t>IT-ASFi/87b076a060560e7ede5468de40206ce6</t>
  </si>
  <si>
    <t>IT-ASFi/DNMontughiSMarta</t>
  </si>
  <si>
    <t>tag:www.monasterium.net,2011:/fond/IT-ASFi/DNMontughiSMarta</t>
  </si>
  <si>
    <t xml:space="preserve">Montughi , S. Marta (umiliate)</t>
  </si>
  <si>
    <t>IT-ASFi/8c2e3ff7f9e0ad31feddc2e078866e00</t>
  </si>
  <si>
    <t>IT-ASFi/DNArcetri</t>
  </si>
  <si>
    <t>tag:www.monasterium.net,2011:/fond/IT-ASFi/DNArcetri</t>
  </si>
  <si>
    <t xml:space="preserve">Arcetri , S. Matteo a Lepore (agostiniane poi francescane)</t>
  </si>
  <si>
    <t>IT-ASFi/8c80b40778d41a539be4bdaeb57fd715</t>
  </si>
  <si>
    <t>IT-ASFi/DNSanGimignanoSGirolamo</t>
  </si>
  <si>
    <t>tag:www.monasterium.net,2011:/fond/IT-ASFi/DNSanGimignanoSGirolamo</t>
  </si>
  <si>
    <t xml:space="preserve">San Gimignano , S. Girolamo (vallombrosane)</t>
  </si>
  <si>
    <t>IT-ASFi/8f9e66fd4782f6b30fb94b2ad2e9aa10</t>
  </si>
  <si>
    <t>IT-ASFi/DNPistoiaSBenedetto</t>
  </si>
  <si>
    <t>tag:www.monasterium.net,2011:/fond/IT-ASFi/DNPistoiaSBenedetto</t>
  </si>
  <si>
    <t xml:space="preserve">Pistoia , S. Benedetto (olivetani)</t>
  </si>
  <si>
    <t>IT-ASFi/90870a79f16247584eefb975db1cdf8b</t>
  </si>
  <si>
    <t>IT-ASFi/DNFirenzeSAmbrogio</t>
  </si>
  <si>
    <t>tag:www.monasterium.net,2011:/fond/IT-ASFi/DNFirenzeSAmbrogio</t>
  </si>
  <si>
    <t xml:space="preserve">Firenze , S. Ambrogio (benedettine)</t>
  </si>
  <si>
    <t>IT-ASFi/9511fc78eb56afc82c5afa83110ca697</t>
  </si>
  <si>
    <t>IT-ASFi/DNFirenzeSSalvi</t>
  </si>
  <si>
    <t>tag:www.monasterium.net,2011:/fond/IT-ASFi/DNFirenzeSSalvi</t>
  </si>
  <si>
    <t xml:space="preserve">Firenze , S. Salvi (abbazia vallombrosana)</t>
  </si>
  <si>
    <t>IT-ASFi/95b2d0ff152eea38d96fdcb78fcfe960</t>
  </si>
  <si>
    <t>IT-ASFi/DNPassignanoSMichele</t>
  </si>
  <si>
    <t>tag:www.monasterium.net,2011:/fond/IT-ASFi/DNPassignanoSMichele</t>
  </si>
  <si>
    <t xml:space="preserve">Passignano , S. Michele (badia, vallombrosani)</t>
  </si>
  <si>
    <t>IT-ASFi/96c23b03b25d558d5051efa6d9b560b9</t>
  </si>
  <si>
    <t>IT-ASFi/DNColtibuonoSLorenzo</t>
  </si>
  <si>
    <t>tag:www.monasterium.net,2011:/fond/IT-ASFi/DNColtibuonoSLorenzo</t>
  </si>
  <si>
    <t xml:space="preserve">Coltibuono , S. Lorenzo (badia, vallombrosani)</t>
  </si>
  <si>
    <t>IT-ASFi/97fcea9102ba9751030195e44c31e595</t>
  </si>
  <si>
    <t>IT-ASFi/DNSanGimignanoSMariaMaddalena</t>
  </si>
  <si>
    <t>tag:www.monasterium.net,2011:/fond/IT-ASFi/DNSanGimignanoSMariaMaddalena</t>
  </si>
  <si>
    <t xml:space="preserve">San Gimignano , S. Maria Maddalena (agostiniane)</t>
  </si>
  <si>
    <t>IT-ASFi/99b5e0e51936ae2074ebb45b6ba62896</t>
  </si>
  <si>
    <t>IT-ASFi/DNPistoiaSMercuriale</t>
  </si>
  <si>
    <t>tag:www.monasterium.net,2011:/fond/IT-ASFi/DNPistoiaSMercuriale</t>
  </si>
  <si>
    <t xml:space="preserve">Pistoia , S. Mercuriale (benedettine)</t>
  </si>
  <si>
    <t>IT-ASFi/9de65cb0d41c1cbf7704054f86b71fad</t>
  </si>
  <si>
    <t>IT-ASFi/DNPratovecchioSGiovanniEvangelista</t>
  </si>
  <si>
    <t>tag:www.monasterium.net,2011:/fond/IT-ASFi/DNPratovecchioSGiovanniEvangelista</t>
  </si>
  <si>
    <t xml:space="preserve">Pratovecchio , S. Giovanni Evangelista (camaldolesi)</t>
  </si>
  <si>
    <t>IT-ASFi/9f2d29a9babc1a1f9adc98a9fb93a422</t>
  </si>
  <si>
    <t>IT-ASFi/DNArezzoOlivetani</t>
  </si>
  <si>
    <t>tag:www.monasterium.net,2011:/fond/IT-ASFi/DNArezzoOlivetani</t>
  </si>
  <si>
    <t xml:space="preserve">Arezzo , S. Bernardo (olivetani)</t>
  </si>
  <si>
    <t>IT-ASFi/a00e6cf614cd250eead0291b699ccedb</t>
  </si>
  <si>
    <t>IT-ASFi/DNSanMiniatoAlTedescoSFrancesco</t>
  </si>
  <si>
    <t>tag:www.monasterium.net,2011:/fond/IT-ASFi/DNSanMiniatoAlTedescoSFrancesco</t>
  </si>
  <si>
    <t xml:space="preserve">San Miniato al Tedesco , S. Francesco (minori)</t>
  </si>
  <si>
    <t>IT-ASFi/a3170fa5ec875d93bcb9c5345a05140a</t>
  </si>
  <si>
    <t>IT-ASFi/DNPistoiaSLucia</t>
  </si>
  <si>
    <t>tag:www.monasterium.net,2011:/fond/IT-ASFi/DNPistoiaSLucia</t>
  </si>
  <si>
    <t xml:space="preserve">Pistoia , S. Lucia (domenicane)</t>
  </si>
  <si>
    <t>IT-ASFi/a67b9377d48402c59cd48a554ea51ee5</t>
  </si>
  <si>
    <t>IT-ASFi/DNFirenzeSLucia</t>
  </si>
  <si>
    <t>tag:www.monasterium.net,2011:/fond/IT-ASFi/DNFirenzeSLucia</t>
  </si>
  <si>
    <t xml:space="preserve">Firenze , S. Lucia (domenicane)</t>
  </si>
  <si>
    <t>IT-ASFi/a687c02842e78d2f665ce7cbe905cb08</t>
  </si>
  <si>
    <t>IT-ASFi/DNFiesoleSDomenico</t>
  </si>
  <si>
    <t>tag:www.monasterium.net,2011:/fond/IT-ASFi/DNFiesoleSDomenico</t>
  </si>
  <si>
    <t xml:space="preserve">Fiesole , S. Domenico (domenicani)</t>
  </si>
  <si>
    <t>IT-ASFi/a90c0d8209e065ee10b2696e7758d391</t>
  </si>
  <si>
    <t>IT-ASFi/DNPistoiaSChiara</t>
  </si>
  <si>
    <t>tag:www.monasterium.net,2011:/fond/IT-ASFi/DNPistoiaSChiara</t>
  </si>
  <si>
    <t xml:space="preserve">Pistoia , S. Chiara (clarisse)</t>
  </si>
  <si>
    <t>IT-ASFi/abcd42fa1ec56ee10654c7c54d21a25a</t>
  </si>
  <si>
    <t>IT-ASFi/DNSienaTrafisse</t>
  </si>
  <si>
    <t>tag:www.monasterium.net,2011:/fond/IT-ASFi/DNSienaTrafisse</t>
  </si>
  <si>
    <t xml:space="preserve">Siena , Trafisse (benedettine)</t>
  </si>
  <si>
    <t>IT-ASFi/ae61819e8ed2dd19a34c2aae318cf562</t>
  </si>
  <si>
    <t>IT-ASFi/DNFirenzeSNiccolo</t>
  </si>
  <si>
    <t>tag:www.monasterium.net,2011:/fond/IT-ASFi/DNFirenzeSNiccolo</t>
  </si>
  <si>
    <t xml:space="preserve">Firenze , S. Niccolo di Cafaggio (francescane)</t>
  </si>
  <si>
    <t>IT-ASFi/b1d29dc1b751520d0db8d4a2e9269c38</t>
  </si>
  <si>
    <t>IT-ASFi/DNSienaSVigilio</t>
  </si>
  <si>
    <t>tag:www.monasterium.net,2011:/fond/IT-ASFi/DNSienaSVigilio</t>
  </si>
  <si>
    <t xml:space="preserve">Siena , S. Vigilio (pergamene del monastero di Montescalari, vallombrosani)</t>
  </si>
  <si>
    <t>IT-ASFi/b226f3b2926343e332bb132f14cdcb23</t>
  </si>
  <si>
    <t>IT-ASFi/DNPistoiaSmaAnnunziata</t>
  </si>
  <si>
    <t>tag:www.monasterium.net,2011:/fond/IT-ASFi/DNPistoiaSmaAnnunziata</t>
  </si>
  <si>
    <t xml:space="preserve">Pistoia , S.ma Annunziata (serviti)</t>
  </si>
  <si>
    <t>IT-ASFi/b27bdfdbc6e2f363f6299e333bfc0cb5</t>
  </si>
  <si>
    <t>IT-ASFi/DNSanMiniatoAlTedescoSChiara</t>
  </si>
  <si>
    <t>tag:www.monasterium.net,2011:/fond/IT-ASFi/DNSanMiniatoAlTedescoSChiara</t>
  </si>
  <si>
    <t xml:space="preserve">San Miniato al Tedesco , S. Chiara (clarisse)</t>
  </si>
  <si>
    <t>IT-ASFi/b31b70ff740ba468ec17ce6f194930cd</t>
  </si>
  <si>
    <t>IT-ASFi/DNFirenzeSAgata</t>
  </si>
  <si>
    <t>tag:www.monasterium.net,2011:/fond/IT-ASFi/DNFirenzeSAgata</t>
  </si>
  <si>
    <t xml:space="preserve">Firenze , S. Agata (benedettine)</t>
  </si>
  <si>
    <t>IT-ASFi/b472e69094121087b7c331344befaf40</t>
  </si>
  <si>
    <t>IT-ASFi/DNFirenzeSMichele</t>
  </si>
  <si>
    <t>tag:www.monasterium.net,2011:/fond/IT-ASFi/DNFirenzeSMichele</t>
  </si>
  <si>
    <t xml:space="preserve">Firenze , S. Michele Visdomini (celestini)</t>
  </si>
  <si>
    <t>IT-ASFi/b4a2622aa3bfe7458270653596e33da2</t>
  </si>
  <si>
    <t>IT-ASFi/DNScrofianoSNiccolo</t>
  </si>
  <si>
    <t>tag:www.monasterium.net,2011:/fond/IT-ASFi/DNScrofianoSNiccolo</t>
  </si>
  <si>
    <t xml:space="preserve">Scrofiano , S. Niccolo (serviti)</t>
  </si>
  <si>
    <t>IT-ASFi/b70ecca6ed38f46a7e6fa0aa4f69ef0a</t>
  </si>
  <si>
    <t>IT-ASFi/DNFirenzeSTrinitaVallombrosani</t>
  </si>
  <si>
    <t>tag:www.monasterium.net,2011:/fond/IT-ASFi/DNFirenzeSTrinitaVallombrosani</t>
  </si>
  <si>
    <t xml:space="preserve">Firenze , S. Trinita (vallombrosani)</t>
  </si>
  <si>
    <t>IT-ASFi/c28441f59b748bf0a26e3e08adf59682</t>
  </si>
  <si>
    <t>IT-ASFi/DNGalluzzoSCaterina</t>
  </si>
  <si>
    <t>tag:www.monasterium.net,2011:/fond/IT-ASFi/DNGalluzzoSCaterina</t>
  </si>
  <si>
    <t xml:space="preserve">Galluzzo , S. Caterina in San Gaggio (agostiniane)</t>
  </si>
  <si>
    <t>IT-ASFi/c297d2e7a217b903f3e46d05f385fc41</t>
  </si>
  <si>
    <t>IT-ASFi/DNPistoiaSDomenico</t>
  </si>
  <si>
    <t>tag:www.monasterium.net,2011:/fond/IT-ASFi/DNPistoiaSDomenico</t>
  </si>
  <si>
    <t xml:space="preserve">Pistoia , S. Domenico (domenicani)</t>
  </si>
  <si>
    <t>IT-ASFi/c4beeb4a45487a8719ac967f2201c90c</t>
  </si>
  <si>
    <t>IT-ASFi/DNFiesoleSBartolomeo</t>
  </si>
  <si>
    <t>tag:www.monasterium.net,2011:/fond/IT-ASFi/DNFiesoleSBartolomeo</t>
  </si>
  <si>
    <t xml:space="preserve">Fiesole , S. Bartolomeo detta badia dei Rocchettini (badia, benedettini)</t>
  </si>
  <si>
    <t>IT-ASFi/c72ebae053355afdc2ee2b1f73c735e6</t>
  </si>
  <si>
    <t>IT-ASFi/DNMonteVarchiSLudovico</t>
  </si>
  <si>
    <t>tag:www.monasterium.net,2011:/fond/IT-ASFi/DNMonteVarchiSLudovico</t>
  </si>
  <si>
    <t xml:space="preserve">Monte Varchi , S. Ludovico (francescani)</t>
  </si>
  <si>
    <t>IT-ASFi/c921e3fc9fc4e96bbd1f61f1d9e7686c</t>
  </si>
  <si>
    <t>IT-ASFi/DNPorticoSMariaDellaDisciplina</t>
  </si>
  <si>
    <t>tag:www.monasterium.net,2011:/fond/IT-ASFi/DNPorticoSMariaDellaDisciplina</t>
  </si>
  <si>
    <t xml:space="preserve">Portico , S. Maria della Disciplina (agostiniane)</t>
  </si>
  <si>
    <t>IT-ASFi/c9ac05151f83837fe68f3e1d9639a88b</t>
  </si>
  <si>
    <t>IT-ASFi/DNMontecatiniSMargherita</t>
  </si>
  <si>
    <t>tag:www.monasterium.net,2011:/fond/IT-ASFi/DNMontecatiniSMargherita</t>
  </si>
  <si>
    <t xml:space="preserve">Montecatini , S. Margherita (agostiniani)</t>
  </si>
  <si>
    <t>IT-ASFi/c9c2a3631f22a5aa94278e9368e5c7a1</t>
  </si>
  <si>
    <t>IT-ASFi/DNSanMiniatoAlTedescoSIacopo</t>
  </si>
  <si>
    <t>tag:www.monasterium.net,2011:/fond/IT-ASFi/DNSanMiniatoAlTedescoSIacopo</t>
  </si>
  <si>
    <t xml:space="preserve">San Miniato al Tedesco , S. Iacopo (domenicani)</t>
  </si>
  <si>
    <t>IT-ASFi/cb996ae307e58129672ffa5ea3ed3b4b</t>
  </si>
  <si>
    <t>IT-ASFi/DNCamaldoli</t>
  </si>
  <si>
    <t>tag:www.monasterium.net,2011:/fond/IT-ASFi/DNCamaldoli</t>
  </si>
  <si>
    <t xml:space="preserve">Camaldoli, S. Salvatore (eremo)</t>
  </si>
  <si>
    <t>IT-ASFi/cc32024b18aea6b4e6e6785078cf6577</t>
  </si>
  <si>
    <t>IT-ASFi/DNSienaSAgostino</t>
  </si>
  <si>
    <t>tag:www.monasterium.net,2011:/fond/IT-ASFi/DNSienaSAgostino</t>
  </si>
  <si>
    <t xml:space="preserve">Siena , S. Agostino (agostiniani)</t>
  </si>
  <si>
    <t>IT-ASFi/cde1a905051eddcafa77547cb817f7e3</t>
  </si>
  <si>
    <t>IT-ASFi/DNCastiglionFiorentinoSAgostino</t>
  </si>
  <si>
    <t>tag:www.monasterium.net,2011:/fond/IT-ASFi/DNCastiglionFiorentinoSAgostino</t>
  </si>
  <si>
    <t xml:space="preserve">Castiglion Fiorentino , S. Agostino (agostiniani)</t>
  </si>
  <si>
    <t>IT-ASFi/cf6febd38691522db9f2ec69497ae601</t>
  </si>
  <si>
    <t>IT-ASFi/DNFirenzeSSpirito</t>
  </si>
  <si>
    <t>tag:www.monasterium.net,2011:/fond/IT-ASFi/DNFirenzeSSpirito</t>
  </si>
  <si>
    <t xml:space="preserve">Firenze , S. Spirito (agostiniani)</t>
  </si>
  <si>
    <t>IT-ASFi/d1798edce7854ffe767c6af10ed18418</t>
  </si>
  <si>
    <t>IT-ASFi/DNFirenzeSVerdiana</t>
  </si>
  <si>
    <t>tag:www.monasterium.net,2011:/fond/IT-ASFi/DNFirenzeSVerdiana</t>
  </si>
  <si>
    <t xml:space="preserve">Firenze , S. Verdiana (vallombrosane)</t>
  </si>
  <si>
    <t>IT-ASFi/d446b1938a275c1e7a960a2b63d1e941</t>
  </si>
  <si>
    <t>IT-ASFi/DNDocciaFrancescani</t>
  </si>
  <si>
    <t>tag:www.monasterium.net,2011:/fond/IT-ASFi/DNDocciaFrancescani</t>
  </si>
  <si>
    <t xml:space="preserve">Doccia (Fiesole) , S. Michele (francescani)</t>
  </si>
  <si>
    <t>IT-ASFi/d49f126a68feeaeee65a3d6aef50a9ac</t>
  </si>
  <si>
    <t>IT-ASFi/DNSanMiniatoAlTedescoSPaolo</t>
  </si>
  <si>
    <t>tag:www.monasterium.net,2011:/fond/IT-ASFi/DNSanMiniatoAlTedescoSPaolo</t>
  </si>
  <si>
    <t xml:space="preserve">San Miniato al Tedesco , S. Paolo (clarisse)</t>
  </si>
  <si>
    <t>IT-ASFi/d5252be7a6b04cb7eae4aa975ca53066</t>
  </si>
  <si>
    <t>IT-ASFi/DNFirenzeSClemente</t>
  </si>
  <si>
    <t>tag:www.monasterium.net,2011:/fond/IT-ASFi/DNFirenzeSClemente</t>
  </si>
  <si>
    <t xml:space="preserve">Firenze , S. Clemente (agostiniane)</t>
  </si>
  <si>
    <t>IT-ASFi/d52f4f7c295106cc6473e2589b75f419</t>
  </si>
  <si>
    <t>IT-ASFi/DNPistoiaSLorenzo</t>
  </si>
  <si>
    <t>tag:www.monasterium.net,2011:/fond/IT-ASFi/DNPistoiaSLorenzo</t>
  </si>
  <si>
    <t xml:space="preserve">Pistoia , S. Lorenzo (agostiniani)</t>
  </si>
  <si>
    <t>IT-ASFi/d61648c4da67efb5079938cb581a9973</t>
  </si>
  <si>
    <t>IT-ASFi/DNFirenzeSMartino</t>
  </si>
  <si>
    <t>tag:www.monasterium.net,2011:/fond/IT-ASFi/DNFirenzeSMartino</t>
  </si>
  <si>
    <t xml:space="preserve">Firenze , S. Martino al Mugnone (camaldolesi)</t>
  </si>
  <si>
    <t>IT-ASFi/d80e3290b7db5b3273265c2a586fe923</t>
  </si>
  <si>
    <t>IT-ASFi/DNFirenzeSSpiritoCosta</t>
  </si>
  <si>
    <t>tag:www.monasterium.net,2011:/fond/IT-ASFi/DNFirenzeSSpiritoCosta</t>
  </si>
  <si>
    <t xml:space="preserve">Firenze , S. Spirito sulla Costa (benedettine)</t>
  </si>
  <si>
    <t>IT-ASFi/dacb5b1ba5c2e1f5e664ed363888d6d3</t>
  </si>
  <si>
    <t>IT-ASFi/DNFirenzeSGiuliano</t>
  </si>
  <si>
    <t>tag:www.monasterium.net,2011:/fond/IT-ASFi/DNFirenzeSGiuliano</t>
  </si>
  <si>
    <t xml:space="preserve">Firenze , S. Giuliano (domenicane)</t>
  </si>
  <si>
    <t>IT-ASFi/dbeeff59377a5d5148cd8537a68c5b8d</t>
  </si>
  <si>
    <t>IT-ASFi/DNPistoiaSBartolomeo</t>
  </si>
  <si>
    <t>tag:www.monasterium.net,2011:/fond/IT-ASFi/DNPistoiaSBartolomeo</t>
  </si>
  <si>
    <t xml:space="preserve">Pistoia , S. Bartolomeo apostolo detto badia dei Rocchettini, (badia, benedettini)</t>
  </si>
  <si>
    <t>IT-ASFi/dd654f50798d4e00c7a42abacda0ade8</t>
  </si>
  <si>
    <t>IT-ASFi/DNPistoiaSFrancesco</t>
  </si>
  <si>
    <t>tag:www.monasterium.net,2011:/fond/IT-ASFi/DNPistoiaSFrancesco</t>
  </si>
  <si>
    <t xml:space="preserve">Pistoia , S. Francesco (minori)</t>
  </si>
  <si>
    <t>IT-ASFi/df99a57be39f72eedbf405659bd10f7c</t>
  </si>
  <si>
    <t>IT-ASFi/DNFirenzeSMariaReginaCoeli</t>
  </si>
  <si>
    <t>tag:www.monasterium.net,2011:/fond/IT-ASFi/DNFirenzeSMariaReginaCoeli</t>
  </si>
  <si>
    <t xml:space="preserve">Firenze , S. Maria Regina Coeli detto di Chiarito, (agostiniane)</t>
  </si>
  <si>
    <t>IT-ASFi/e07b13e5a2e9431913a9a8671d03ba01</t>
  </si>
  <si>
    <t>IT-ASFi/DNArezzoDomenicani</t>
  </si>
  <si>
    <t>tag:www.monasterium.net,2011:/fond/IT-ASFi/DNArezzoDomenicani</t>
  </si>
  <si>
    <t xml:space="preserve">Arezzo , S. Domenico (domenicani)</t>
  </si>
  <si>
    <t>IT-ASFi/e2fb7965453dc288f00833e186cece61</t>
  </si>
  <si>
    <t>IT-ASFi/DNPistoiaSMariaDegliAngioli</t>
  </si>
  <si>
    <t>tag:www.monasterium.net,2011:/fond/IT-ASFi/DNPistoiaSMariaDegliAngioli</t>
  </si>
  <si>
    <t xml:space="preserve">Pistoia , S. Maria degli Angioli monastero detto da Sala, (benedettine)</t>
  </si>
  <si>
    <t>IT-ASFi/e35e307dafd0ca0a2a491bb32fe244ee</t>
  </si>
  <si>
    <t>IT-ASFi/DNFirenzeSMariaDelCarmine</t>
  </si>
  <si>
    <t>tag:www.monasterium.net,2011:/fond/IT-ASFi/DNFirenzeSMariaDelCarmine</t>
  </si>
  <si>
    <t xml:space="preserve">Firenze , S. Maria del Carmine (carmelitani)</t>
  </si>
  <si>
    <t>IT-ASFi/e42fbb81cbce7fefe2f387540e6e9846</t>
  </si>
  <si>
    <t>IT-ASFi/DNFirenzeSVincenzo</t>
  </si>
  <si>
    <t>tag:www.monasterium.net,2011:/fond/IT-ASFi/DNFirenzeSVincenzo</t>
  </si>
  <si>
    <t xml:space="preserve">Firenze , S. Vincenzo detto di Annalena, (domenicane)</t>
  </si>
  <si>
    <t>IT-ASFi/e50de875ce07e8d006a37f5609c8d79c</t>
  </si>
  <si>
    <t>IT-ASFi/DNVolterraSAndrea</t>
  </si>
  <si>
    <t>tag:www.monasterium.net,2011:/fond/IT-ASFi/DNVolterraSAndrea</t>
  </si>
  <si>
    <t xml:space="preserve">Volterra , S. Andrea (olivetani)</t>
  </si>
  <si>
    <t>IT-ASFi/e59783b888fb58223430fe5d045f85c5</t>
  </si>
  <si>
    <t>IT-ASFi/DNSanGimignanoSmaAnnunziata</t>
  </si>
  <si>
    <t>tag:www.monasterium.net,2011:/fond/IT-ASFi/DNSanGimignanoSmaAnnunziata</t>
  </si>
  <si>
    <t xml:space="preserve">San Gimignano , S.ma Annunziata (domenicani)</t>
  </si>
  <si>
    <t>IT-ASFi/e6dce674ce3257df876c2c0ca72fcf6d</t>
  </si>
  <si>
    <t>IT-ASFi/DNSanGimignanoSAgostino</t>
  </si>
  <si>
    <t>tag:www.monasterium.net,2011:/fond/IT-ASFi/DNSanGimignanoSAgostino</t>
  </si>
  <si>
    <t xml:space="preserve">San Gimignano , S. Agostino (agostiniane)</t>
  </si>
  <si>
    <t>IT-ASFi/ed296792d101f5164acb37b14c1cb169</t>
  </si>
  <si>
    <t>IT-ASFi/DNFirenzeSGirolamo</t>
  </si>
  <si>
    <t>tag:www.monasterium.net,2011:/fond/IT-ASFi/DNFirenzeSGirolamo</t>
  </si>
  <si>
    <t xml:space="preserve">Firenze , S. Girolamo sulla Costa (francescane)</t>
  </si>
  <si>
    <t>IT-ASFi/f1635957c411007b7318d308e64c3bce</t>
  </si>
  <si>
    <t>IT-ASFi/DNFirenzeSAnna</t>
  </si>
  <si>
    <t>tag:www.monasterium.net,2011:/fond/IT-ASFi/DNFirenzeSAnna</t>
  </si>
  <si>
    <t xml:space="preserve">Firenze , S. Anna sul Prato (benedettine)</t>
  </si>
  <si>
    <t>IT-ASFi/f1a1ddc10d27a062bd71a8a39df7b8e5</t>
  </si>
  <si>
    <t>IT-ASFi/DNCastiglionFiorentinoSGirolamo</t>
  </si>
  <si>
    <t>tag:www.monasterium.net,2011:/fond/IT-ASFi/DNCastiglionFiorentinoSGirolamo</t>
  </si>
  <si>
    <t xml:space="preserve">Castiglion Fiorentino , S. Girolamo detto il monastero delle Mantellate del terzâ€™ordine francescano (francescane)</t>
  </si>
  <si>
    <t>IT-ASFi/f28df954ff455f43dd23ed27cd27c755</t>
  </si>
  <si>
    <t>IT-ASFi/DNArezzoSMariaNovella</t>
  </si>
  <si>
    <t>tag:www.monasterium.net,2011:/fond/IT-ASFi/DNArezzoSMariaNovella</t>
  </si>
  <si>
    <t xml:space="preserve">Arezzo , S. Maria Novella (agostiniane)</t>
  </si>
  <si>
    <t>IT-ASFi/f6881afb50b631107dd378e13841bede</t>
  </si>
  <si>
    <t>IT-ASFi/DNBadiaArdenghesca</t>
  </si>
  <si>
    <t>tag:www.monasterium.net,2011:/fond/IT-ASFi/DNBadiaArdenghesca</t>
  </si>
  <si>
    <t xml:space="preserve">Badia Ardenghesca , S. Salvatore e S. Lorenzo (badia benedettina)</t>
  </si>
  <si>
    <t>IT-ASFi/f738e4c206de90618369808103a458a8</t>
  </si>
  <si>
    <t>IT-ASFi/DNPratoSNiccolo</t>
  </si>
  <si>
    <t>tag:www.monasterium.net,2011:/fond/IT-ASFi/DNPratoSNiccolo</t>
  </si>
  <si>
    <t xml:space="preserve">Prato , S. Niccolo (domenicane)</t>
  </si>
  <si>
    <t>IT-ASFi/f7afe5b7577d5341862eae8a3d89df16</t>
  </si>
  <si>
    <t>IT-ASFi/DNFirenzeSMariaDelFioreLapo</t>
  </si>
  <si>
    <t>tag:www.monasterium.net,2011:/fond/IT-ASFi/DNFirenzeSMariaDelFioreLapo</t>
  </si>
  <si>
    <t xml:space="preserve">Firenze , S. Maria del Fiore monastero detto di Lapo, (agostiniane)</t>
  </si>
  <si>
    <t>IT-ASFi/f968f694a3e2df6139d33a2bc0ad0b0e</t>
  </si>
  <si>
    <t>IT-ASFi/DNFirenzeSFrediano</t>
  </si>
  <si>
    <t>tag:www.monasterium.net,2011:/fond/IT-ASFi/DNFirenzeSFrediano</t>
  </si>
  <si>
    <t xml:space="preserve">Firenze , S. Frediano in Cestello gia' S. Maria Maddalena (cistercensi)</t>
  </si>
  <si>
    <t>IT-ASFi/fec7decf1acefce9b9a8fcfbe46de11d</t>
  </si>
  <si>
    <t>IT-ASFi/DNFirenzeSCaterinaDaSiena</t>
  </si>
  <si>
    <t>tag:www.monasterium.net,2011:/fond/IT-ASFi/DNFirenzeSCaterinaDaSiena</t>
  </si>
  <si>
    <t xml:space="preserve">Firenze , S. Caterina da Siena detta da San Marco, (domenicane)</t>
  </si>
  <si>
    <t>IT-ASNA/8b6b33c904f737f0bb65f7c882720074</t>
  </si>
  <si>
    <t>IT-ASNA/SGA</t>
  </si>
  <si>
    <t>tag:www.monasterium.net,2011:/fond/IT-ASNA/SGA</t>
  </si>
  <si>
    <t xml:space="preserve">Pergamene del monastero di S. Gregorio Armeno (911-1675)</t>
  </si>
  <si>
    <t>IT-ASNA/b3f4d920aa1f56798d9b6b9aedb79c1a</t>
  </si>
  <si>
    <t>IT-ASNA/ASAg</t>
  </si>
  <si>
    <t>tag:www.monasterium.net,2011:/fond/IT-ASNA/ASAg</t>
  </si>
  <si>
    <t xml:space="preserve">Pergamene del monastero di S. Agostino Maggiore (1170-1550)</t>
  </si>
  <si>
    <t>IT-ASPz/400f72f7fe78536ee2856cace5ae717c</t>
  </si>
  <si>
    <t>IT-ASPz/APMM_PSFS</t>
  </si>
  <si>
    <t>tag:www.monasterium.net,2011:/fond/IT-ASPz/APMM_PSFS</t>
  </si>
  <si>
    <t xml:space="preserve">Pergamene del Convento di S. Francesco di Senise</t>
  </si>
  <si>
    <t>IT-ASPz/4f3a59144431e433534f60f990ce71fe</t>
  </si>
  <si>
    <t>IT-ASPz/APMM_PSFB</t>
  </si>
  <si>
    <t>tag:www.monasterium.net,2011:/fond/IT-ASPz/APMM_PSFB</t>
  </si>
  <si>
    <t xml:space="preserve">Pergamene del Convento di S. Francesco di Potenza </t>
  </si>
  <si>
    <t>IT-ASPz/9d2f54ddc65baf729343e99698a98015</t>
  </si>
  <si>
    <t>IT-ASPz/APMM_PSMS</t>
  </si>
  <si>
    <t>tag:www.monasterium.net,2011:/fond/IT-ASPz/APMM_PSMS</t>
  </si>
  <si>
    <t xml:space="preserve">Pergamene del Monastero cistercense di S. Maria del Sagittario</t>
  </si>
  <si>
    <t>IT-BSNSP/37b021aef54bc81e7b3e04fb195782f7</t>
  </si>
  <si>
    <t>IT-BSNSP/08-S_Maria_della_Grotta</t>
  </si>
  <si>
    <t>tag:www.monasterium.net,2011:/fond/IT-BSNSP/08-S_Maria_della_Grotta</t>
  </si>
  <si>
    <t xml:space="preserve">08 - S. Maria della Grotta (3 AA I - 4 BB V)</t>
  </si>
  <si>
    <t>IT-BSNSP/3f8869e983e9547e9f15b8804819a5f8</t>
  </si>
  <si>
    <t>IT-BSNSP/10-Napoli_Chiese_e_monasteri_diversi</t>
  </si>
  <si>
    <t>tag:www.monasterium.net,2011:/fond/IT-BSNSP/10-Napoli_Chiese_e_monasteri_diversi</t>
  </si>
  <si>
    <t xml:space="preserve">10 - Napoli: Chiese e monasteri diversi (9 AA I)</t>
  </si>
  <si>
    <t>IT-BSNSP/73d5c9f9e821fba7343eceacda616b84</t>
  </si>
  <si>
    <t>IT-BSNSP/19-S_Sebastiano</t>
  </si>
  <si>
    <t>tag:www.monasterium.net,2011:/fond/IT-BSNSP/19-S_Sebastiano</t>
  </si>
  <si>
    <t xml:space="preserve">19 - S. Sebastiano (9 CC II - 9 CC IV)</t>
  </si>
  <si>
    <t>IT-BSNSP/90033b5f9cfc4c7d48d098e75efed1db</t>
  </si>
  <si>
    <t>IT-BSNSP/16-Napoli_monasteri_di_S_Gregorio_S_Arcangelo_a_Baiano_e_S_Martino</t>
  </si>
  <si>
    <t>tag:www.monasterium.net,2011:/fond/IT-BSNSP/16-Napoli_monasteri_di_S_Gregorio_S_Arcangelo_a_Baiano_e_S_Martino</t>
  </si>
  <si>
    <t xml:space="preserve">16 - Napoli: monasteri di S. Gregorio, S. Arcangelo a Baiano e S. Martino (9 BB IV)</t>
  </si>
  <si>
    <t>IT-BSNSP/c4da773b73730e96f40112289a26f10a</t>
  </si>
  <si>
    <t>IT-BSNSP/12-Monasteri_diversi</t>
  </si>
  <si>
    <t>tag:www.monasterium.net,2011:/fond/IT-BSNSP/12-Monasteri_diversi</t>
  </si>
  <si>
    <t xml:space="preserve">12 - Monasteri diversi (9 AA III)</t>
  </si>
  <si>
    <t>SI-ZAC/6300d432248be83ec57d10b2cf8b65e7</t>
  </si>
  <si>
    <t>SI-ZAC/Minoritski</t>
  </si>
  <si>
    <t>tag:www.monasterium.net,2011:/fond/SI-ZAC/Minoritski</t>
  </si>
  <si>
    <t xml:space="preserve">Minoritski (1428-1762)</t>
  </si>
  <si>
    <t>SK-AMB/7a7a7106d281cbc4fb2cfda3c0e3e88e</t>
  </si>
  <si>
    <t>SK-AMB/437</t>
  </si>
  <si>
    <t>tag:www.monasterium.net,2011:/fond/SK-AMB/437</t>
  </si>
  <si>
    <t xml:space="preserve">Františkáni v Bratislave</t>
  </si>
  <si>
    <t>SK-SNA/22f039d9db408ad8fe0b863e1f1ffe86</t>
  </si>
  <si>
    <t>SK-SNA/4153-KonventPremonstratovVJasove</t>
  </si>
  <si>
    <t>tag:www.monasterium.net,2011:/fond/SK-SNA/4153-KonventPremonstratovVJasove</t>
  </si>
  <si>
    <t xml:space="preserve">Konvent premonštrátov v Jasove</t>
  </si>
  <si>
    <t>SK-SNA/9ae601cbbdada4be3399a46b4ff5db9f</t>
  </si>
  <si>
    <t>SK-SNA/4155-KonventPremonstratovVoVelKomVaradine</t>
  </si>
  <si>
    <t>tag:www.monasterium.net,2011:/fond/SK-SNA/4155-KonventPremonstratovVoVelKomVaradine</t>
  </si>
  <si>
    <t xml:space="preserve">Konvent premonštrátov vo VeÄ¾kom Varadíne</t>
  </si>
  <si>
    <t>charters</t>
  </si>
  <si>
    <t>withImages</t>
  </si>
  <si>
    <t>percentage</t>
  </si>
  <si>
    <t>Diff</t>
  </si>
  <si>
    <t>charters/year</t>
  </si>
  <si>
    <t>notes</t>
  </si>
  <si>
    <t xml:space="preserve">To check dates</t>
  </si>
  <si>
    <t xml:space="preserve">To check dates </t>
  </si>
  <si>
    <t>AT-HHStA/WienOM</t>
  </si>
  <si>
    <t>CZ-ZAO/NR-OPAVA</t>
  </si>
  <si>
    <t>HU-MNL-DLCSLA/BENCSQ34</t>
  </si>
  <si>
    <t>AT-HHStA/OSPPE</t>
  </si>
  <si>
    <t>DE-StAAm/Salesianerinnen</t>
  </si>
  <si>
    <t>HU-MFL/Toeroekiratok</t>
  </si>
  <si>
    <t xml:space="preserve"> </t>
  </si>
  <si>
    <t>from_year</t>
  </si>
  <si>
    <t>to_year</t>
  </si>
  <si>
    <t>Orden</t>
  </si>
  <si>
    <t>m/f</t>
  </si>
  <si>
    <t>ToDo</t>
  </si>
  <si>
    <t xml:space="preserve">To Clean up</t>
  </si>
  <si>
    <t>NaN</t>
  </si>
  <si>
    <t xml:space="preserve">To cleanup</t>
  </si>
  <si>
    <t>Settlement</t>
  </si>
  <si>
    <t>specification</t>
  </si>
  <si>
    <t>additioanl</t>
  </si>
  <si>
    <t>geonameId</t>
  </si>
  <si>
    <t>lat</t>
  </si>
  <si>
    <t>lng</t>
  </si>
  <si>
    <t>name</t>
  </si>
  <si>
    <t>fcode</t>
  </si>
  <si>
    <t>adminName1</t>
  </si>
  <si>
    <t>corrected</t>
  </si>
  <si>
    <t>Comment</t>
  </si>
  <si>
    <t xml:space="preserve">S. Maria della Grotta</t>
  </si>
  <si>
    <t xml:space="preserve">(3 AA I - 4 BB V)</t>
  </si>
  <si>
    <t xml:space="preserve">Abbazia di Santa Maria della Grotta</t>
  </si>
  <si>
    <t>RUIN</t>
  </si>
  <si>
    <t>Campania</t>
  </si>
  <si>
    <t>Admont</t>
  </si>
  <si>
    <t xml:space="preserve">Benediktiner (1245-1571)</t>
  </si>
  <si>
    <t>PPLA3</t>
  </si>
  <si>
    <t>Styria</t>
  </si>
  <si>
    <t>Schlägl</t>
  </si>
  <si>
    <t xml:space="preserve">Prämonstratenser (1204-1600)</t>
  </si>
  <si>
    <t xml:space="preserve">Aigen im Mühlkreis</t>
  </si>
  <si>
    <t xml:space="preserve">Upper Austria</t>
  </si>
  <si>
    <t>Aldersbach</t>
  </si>
  <si>
    <t>Kloster</t>
  </si>
  <si>
    <t xml:space="preserve">(Zisterzienser 1139-1791)</t>
  </si>
  <si>
    <t>PPLA4</t>
  </si>
  <si>
    <t>Bavaria</t>
  </si>
  <si>
    <t>Zwettl</t>
  </si>
  <si>
    <t>Zisterzienser</t>
  </si>
  <si>
    <t>Allentsteig</t>
  </si>
  <si>
    <t xml:space="preserve">Lower Austria</t>
  </si>
  <si>
    <t>Allerheiligen</t>
  </si>
  <si>
    <t>Prämonstratenserkloster</t>
  </si>
  <si>
    <t xml:space="preserve">Allerheiligen bei Wildon</t>
  </si>
  <si>
    <t>Altenburg</t>
  </si>
  <si>
    <t xml:space="preserve">Benediktiner (1144-1943)</t>
  </si>
  <si>
    <t>x</t>
  </si>
  <si>
    <t>Altenhohenau</t>
  </si>
  <si>
    <t xml:space="preserve">(Dominikanerinnen 1214-1800)</t>
  </si>
  <si>
    <t>FRST</t>
  </si>
  <si>
    <t>Altomuenster</t>
  </si>
  <si>
    <t xml:space="preserve">(Benediktinerinnen 1256-1760)</t>
  </si>
  <si>
    <t>Altomünster</t>
  </si>
  <si>
    <t>PPL</t>
  </si>
  <si>
    <t>Alzey</t>
  </si>
  <si>
    <t>Augustinerkloster</t>
  </si>
  <si>
    <t>Rheinland-Pfalz</t>
  </si>
  <si>
    <t>Amberg</t>
  </si>
  <si>
    <t>Salesianerinnen</t>
  </si>
  <si>
    <t>DE-StAAm/1026869f0920f53b66c69e0782fd6545</t>
  </si>
  <si>
    <t>Arcetri</t>
  </si>
  <si>
    <t xml:space="preserve">S. Matteo a Lepore (agostiniane poi francescane)</t>
  </si>
  <si>
    <t>43.75</t>
  </si>
  <si>
    <t>Tuscany</t>
  </si>
  <si>
    <t>Arezzo</t>
  </si>
  <si>
    <t xml:space="preserve">S. Bernardo (olivetani)</t>
  </si>
  <si>
    <t>PPLA2</t>
  </si>
  <si>
    <t xml:space="preserve">S. Domenico (domenicani)</t>
  </si>
  <si>
    <t xml:space="preserve">S. Maria Novella (agostiniane)</t>
  </si>
  <si>
    <t>Monasterio</t>
  </si>
  <si>
    <t>Armenteira</t>
  </si>
  <si>
    <t>Galicia</t>
  </si>
  <si>
    <t>Asbach</t>
  </si>
  <si>
    <t>(1270-1795)</t>
  </si>
  <si>
    <t>Asbach-Bäumenheim</t>
  </si>
  <si>
    <t>Asparn</t>
  </si>
  <si>
    <t>(1471-1767)</t>
  </si>
  <si>
    <t xml:space="preserve">Asparn an der Zaya</t>
  </si>
  <si>
    <t>Coltibuono</t>
  </si>
  <si>
    <t xml:space="preserve">S. Lorenzo (badia</t>
  </si>
  <si>
    <t xml:space="preserve">Badia Coltibuono</t>
  </si>
  <si>
    <t>Ripoli</t>
  </si>
  <si>
    <t xml:space="preserve">S. Bartolomeo (badia vallombrosana)</t>
  </si>
  <si>
    <t xml:space="preserve">Bagno a Ripoli</t>
  </si>
  <si>
    <t>Bakonybél</t>
  </si>
  <si>
    <t xml:space="preserve">Bences (PannH) (1246-1525)</t>
  </si>
  <si>
    <t>Veszprém</t>
  </si>
  <si>
    <t>Waldsassen</t>
  </si>
  <si>
    <t>(1132-1798)</t>
  </si>
  <si>
    <t xml:space="preserve">Basilika Waldsassen</t>
  </si>
  <si>
    <t>MSTY</t>
  </si>
  <si>
    <t>Bebenhausen</t>
  </si>
  <si>
    <t xml:space="preserve">St. Blasien</t>
  </si>
  <si>
    <t xml:space="preserve">Bebenhausen Abbey</t>
  </si>
  <si>
    <t>Baden-Wurttemberg</t>
  </si>
  <si>
    <t>Berchtesgaden</t>
  </si>
  <si>
    <t xml:space="preserve">Augustiner-Chorherren (1202-1460)</t>
  </si>
  <si>
    <t>Blaubeuren</t>
  </si>
  <si>
    <t xml:space="preserve">Blaubeuren Abbey</t>
  </si>
  <si>
    <t>Bleidenstadt</t>
  </si>
  <si>
    <t xml:space="preserve">Stift St. Ferrutius (975-1790)</t>
  </si>
  <si>
    <t>Hesse</t>
  </si>
  <si>
    <t>Bludenz</t>
  </si>
  <si>
    <t xml:space="preserve">St. Peter</t>
  </si>
  <si>
    <t>Vorarlberg</t>
  </si>
  <si>
    <t>Boskovice</t>
  </si>
  <si>
    <t>Dominikáni</t>
  </si>
  <si>
    <t xml:space="preserve">South Moravian</t>
  </si>
  <si>
    <t>Bregenz</t>
  </si>
  <si>
    <t xml:space="preserve">St. Annakloster</t>
  </si>
  <si>
    <t>PPLA</t>
  </si>
  <si>
    <t>(1144-1943)</t>
  </si>
  <si>
    <t>Brno</t>
  </si>
  <si>
    <t>(1058-1899)</t>
  </si>
  <si>
    <t>(1188-1992)</t>
  </si>
  <si>
    <t>(777-1894)</t>
  </si>
  <si>
    <t>(992-1600)</t>
  </si>
  <si>
    <t>(1075-1912)</t>
  </si>
  <si>
    <t>(860-1400)</t>
  </si>
  <si>
    <t>(1267-1881)</t>
  </si>
  <si>
    <t>(1137-1857)</t>
  </si>
  <si>
    <t>(1129-1600)</t>
  </si>
  <si>
    <t>(1296-1917)</t>
  </si>
  <si>
    <t>(1158-1702)</t>
  </si>
  <si>
    <t>(900-1797)</t>
  </si>
  <si>
    <t>(1161-1600)</t>
  </si>
  <si>
    <t>(827-1854)</t>
  </si>
  <si>
    <t>(1055-1742)</t>
  </si>
  <si>
    <t>(1300-1755)</t>
  </si>
  <si>
    <t xml:space="preserve">San Miniato al Tedesco</t>
  </si>
  <si>
    <t xml:space="preserve">S. Agostino (agostiniani</t>
  </si>
  <si>
    <t xml:space="preserve">Casa Vacanze San Miniato Al Tedesco</t>
  </si>
  <si>
    <t>HTL</t>
  </si>
  <si>
    <t xml:space="preserve">S.ma Annunziata (domenicane)</t>
  </si>
  <si>
    <t xml:space="preserve">S. Francesco (minori)</t>
  </si>
  <si>
    <t xml:space="preserve">S. Chiara (clarisse)</t>
  </si>
  <si>
    <t xml:space="preserve">S. Iacopo (domenicani)</t>
  </si>
  <si>
    <t xml:space="preserve">S. Paolo (clarisse)</t>
  </si>
  <si>
    <t xml:space="preserve">Castiglion Fiorentino</t>
  </si>
  <si>
    <t xml:space="preserve">S. Agostino (agostiniani)</t>
  </si>
  <si>
    <t xml:space="preserve">S. Girolamo detto il monastero delle Mantellate del terzâ€™ordine francescano (francescane)</t>
  </si>
  <si>
    <t xml:space="preserve">S. Sebastiano</t>
  </si>
  <si>
    <t xml:space="preserve">(9 CC II - 9 CC IV)</t>
  </si>
  <si>
    <t xml:space="preserve">Catacombe di San Sebastiano</t>
  </si>
  <si>
    <t>TMB</t>
  </si>
  <si>
    <t>Lazio</t>
  </si>
  <si>
    <t>Těšín</t>
  </si>
  <si>
    <t xml:space="preserve">(1408â€“1790 (1796))</t>
  </si>
  <si>
    <t xml:space="preserve">Český Těšín</t>
  </si>
  <si>
    <t>Moravskoslezský</t>
  </si>
  <si>
    <t>Cheb</t>
  </si>
  <si>
    <t xml:space="preserve">Dominikáni (1294-1785)</t>
  </si>
  <si>
    <t xml:space="preserve">Karlovarský kraj</t>
  </si>
  <si>
    <t xml:space="preserve">Colle Val d'Elsa</t>
  </si>
  <si>
    <t xml:space="preserve">S. Francesco (francescani)</t>
  </si>
  <si>
    <t xml:space="preserve">Colle di Val d'Elsa</t>
  </si>
  <si>
    <t>Rein</t>
  </si>
  <si>
    <t>6.95</t>
  </si>
  <si>
    <t>Cologne</t>
  </si>
  <si>
    <t xml:space="preserve">North Rhine-Westphalia</t>
  </si>
  <si>
    <t>Cortona</t>
  </si>
  <si>
    <t xml:space="preserve">S. Chiara (francescane)</t>
  </si>
  <si>
    <t xml:space="preserve">S. Maria dei Servi (serviti)</t>
  </si>
  <si>
    <t xml:space="preserve">S. Michele Arcangelo (benedettine)</t>
  </si>
  <si>
    <t>Doccia</t>
  </si>
  <si>
    <t xml:space="preserve">S. Michele (francescani)</t>
  </si>
  <si>
    <t>(Fiesole)</t>
  </si>
  <si>
    <t xml:space="preserve">St. Dorothea</t>
  </si>
  <si>
    <t>(1259-1778)</t>
  </si>
  <si>
    <t>Dorotheerkirche</t>
  </si>
  <si>
    <t>HSTS</t>
  </si>
  <si>
    <t>Vienna</t>
  </si>
  <si>
    <t>Dürnstein</t>
  </si>
  <si>
    <t xml:space="preserve">Augustiner-Chorherren (1298-1785)</t>
  </si>
  <si>
    <t xml:space="preserve">Dürnstein in der Steiermark</t>
  </si>
  <si>
    <t xml:space="preserve">Klarissen (1289-1562)</t>
  </si>
  <si>
    <t xml:space="preserve">ŘA Karlov</t>
  </si>
  <si>
    <t xml:space="preserve">Archivy českíých klášterů zrušeníých za Josefa II.</t>
  </si>
  <si>
    <t>(1115-1760)</t>
  </si>
  <si>
    <t>48.15</t>
  </si>
  <si>
    <t xml:space="preserve">Dvor Karlov</t>
  </si>
  <si>
    <t xml:space="preserve">Banská Bystrica Region</t>
  </si>
  <si>
    <t>Eberndorf</t>
  </si>
  <si>
    <t xml:space="preserve">Augustiner Chorherren (1106-1601)</t>
  </si>
  <si>
    <t>Carinthia</t>
  </si>
  <si>
    <t>Augustiner-Chorherrenstift</t>
  </si>
  <si>
    <t xml:space="preserve">Stift Eberndorf</t>
  </si>
  <si>
    <t>Ebersberg</t>
  </si>
  <si>
    <t xml:space="preserve">Benediktiner (1247-1481)</t>
  </si>
  <si>
    <t>Ebrach</t>
  </si>
  <si>
    <t xml:space="preserve">Zisterzienser - Amt Katzwang (1298-1779)</t>
  </si>
  <si>
    <t xml:space="preserve">Zisterzienser (1194-1803)</t>
  </si>
  <si>
    <t>Empoli</t>
  </si>
  <si>
    <t xml:space="preserve">S. Stefano (agostiniani)</t>
  </si>
  <si>
    <t>Ensdorf</t>
  </si>
  <si>
    <t>(1115-1797)</t>
  </si>
  <si>
    <t>49.3</t>
  </si>
  <si>
    <t>Saarland</t>
  </si>
  <si>
    <t>Camaldoli</t>
  </si>
  <si>
    <t xml:space="preserve">S. Salvatore (eremo)</t>
  </si>
  <si>
    <t xml:space="preserve">Eremo Di Camaldoli</t>
  </si>
  <si>
    <t>Erla</t>
  </si>
  <si>
    <t xml:space="preserve">Benediktinerinnen (1050-1742)</t>
  </si>
  <si>
    <t>Fiesole</t>
  </si>
  <si>
    <t xml:space="preserve">S. Bartolomeo detta badia dei Rocchettini (badia</t>
  </si>
  <si>
    <t>Fivizzano</t>
  </si>
  <si>
    <t xml:space="preserve">S. Giovanni Battista (agostiniani)</t>
  </si>
  <si>
    <t>10.1265</t>
  </si>
  <si>
    <t>Firenze</t>
  </si>
  <si>
    <t xml:space="preserve">S. Giovanni monastero detto Boldrone</t>
  </si>
  <si>
    <t>Florence</t>
  </si>
  <si>
    <t xml:space="preserve">S. Miniato al Monte (olivetani)</t>
  </si>
  <si>
    <t xml:space="preserve">S. Silvestro (benedettine)</t>
  </si>
  <si>
    <t xml:space="preserve">S. Croce (minori)</t>
  </si>
  <si>
    <t xml:space="preserve">S. Maria della Pieta (conservatorio</t>
  </si>
  <si>
    <t xml:space="preserve">S. Iacopo di Ripoli (domenicane)</t>
  </si>
  <si>
    <t xml:space="preserve">S. Paolino (carmelitani)</t>
  </si>
  <si>
    <t xml:space="preserve">S. Felicita (benedettine)</t>
  </si>
  <si>
    <t xml:space="preserve">S. Pier Martire (domenicane)</t>
  </si>
  <si>
    <t xml:space="preserve">S. Apollonia (benedettine)</t>
  </si>
  <si>
    <t xml:space="preserve">S.ma Annunziata (serviti)</t>
  </si>
  <si>
    <t xml:space="preserve">S. Domenico del Maglio (domenicane)</t>
  </si>
  <si>
    <t xml:space="preserve">S. Marco (domenicani)</t>
  </si>
  <si>
    <t xml:space="preserve">S. Iacopo (francescane)</t>
  </si>
  <si>
    <t xml:space="preserve">S. Maria a Fonteviva detto del Bigallo</t>
  </si>
  <si>
    <t xml:space="preserve">S. Maria Sul Prato (agostiniane)</t>
  </si>
  <si>
    <t xml:space="preserve">S. Pier Maggiore (benedettine)</t>
  </si>
  <si>
    <t xml:space="preserve">S. Orsola (francescane)</t>
  </si>
  <si>
    <t xml:space="preserve">S. Maria della Badia detta Badia fiorentina</t>
  </si>
  <si>
    <t xml:space="preserve">S. Maria Novella (domenicani)</t>
  </si>
  <si>
    <t xml:space="preserve">S. Monaca (agostiniane)</t>
  </si>
  <si>
    <t xml:space="preserve">S. Pancrazio (vallombrosani)</t>
  </si>
  <si>
    <t xml:space="preserve">S. Donato in Polverosa o a Torri (benedettine)</t>
  </si>
  <si>
    <t xml:space="preserve">S. Maria Annunziata detto la Nunziatina</t>
  </si>
  <si>
    <t xml:space="preserve">S. Maria degli Angioli (camaldolesi)</t>
  </si>
  <si>
    <t xml:space="preserve">S. Antonio Abate (precettoria</t>
  </si>
  <si>
    <t xml:space="preserve">S. Francesco (francescane)</t>
  </si>
  <si>
    <t xml:space="preserve">S. Ambrogio (benedettine)</t>
  </si>
  <si>
    <t xml:space="preserve">S. Salvi (abbazia vallombrosana)</t>
  </si>
  <si>
    <t xml:space="preserve">S. Lucia (domenicane)</t>
  </si>
  <si>
    <t xml:space="preserve">S. Niccolo di Cafaggio (francescane)</t>
  </si>
  <si>
    <t xml:space="preserve">S. Agata (benedettine)</t>
  </si>
  <si>
    <t xml:space="preserve">S. Michele Visdomini (celestini)</t>
  </si>
  <si>
    <t xml:space="preserve">S. Trinita (vallombrosani)</t>
  </si>
  <si>
    <t xml:space="preserve">S. Spirito (agostiniani)</t>
  </si>
  <si>
    <t xml:space="preserve">S. Verdiana (vallombrosane)</t>
  </si>
  <si>
    <t xml:space="preserve">S. Clemente (agostiniane)</t>
  </si>
  <si>
    <t xml:space="preserve">S. Martino al Mugnone (camaldolesi)</t>
  </si>
  <si>
    <t xml:space="preserve">S. Spirito sulla Costa (benedettine)</t>
  </si>
  <si>
    <t xml:space="preserve">S. Giuliano (domenicane)</t>
  </si>
  <si>
    <t xml:space="preserve">S. Maria Regina Coeli detto di Chiarito</t>
  </si>
  <si>
    <t xml:space="preserve">S. Maria del Carmine (carmelitani)</t>
  </si>
  <si>
    <t xml:space="preserve">S. Vincenzo detto di Annalena</t>
  </si>
  <si>
    <t xml:space="preserve">S. Girolamo sulla Costa (francescane)</t>
  </si>
  <si>
    <t xml:space="preserve">S. Anna sul Prato (benedettine)</t>
  </si>
  <si>
    <t xml:space="preserve">S. Maria del Fiore monastero detto di Lapo</t>
  </si>
  <si>
    <t xml:space="preserve">S. Frediano in Cestello gia' S. Maria Maddalena (cistercensi)</t>
  </si>
  <si>
    <t xml:space="preserve">S. Caterina da Siena detta da San Marco</t>
  </si>
  <si>
    <t>Franziskanerkloster</t>
  </si>
  <si>
    <t>10.1764</t>
  </si>
  <si>
    <t xml:space="preserve">Franziskanerkloster Rothenburg ob der Tauber</t>
  </si>
  <si>
    <t>Frauenchiemsee</t>
  </si>
  <si>
    <t>ISL</t>
  </si>
  <si>
    <t>Friesach</t>
  </si>
  <si>
    <t>Augustiner</t>
  </si>
  <si>
    <t>Fulda</t>
  </si>
  <si>
    <t>Klöster)</t>
  </si>
  <si>
    <t xml:space="preserve">Urk. 77 (alt: R II Fulda</t>
  </si>
  <si>
    <t>Fürstenzell</t>
  </si>
  <si>
    <t xml:space="preserve">(Zisterzienser 1246-1786)</t>
  </si>
  <si>
    <t>Galluzzo</t>
  </si>
  <si>
    <t xml:space="preserve">S. Caterina in San Gaggio (agostiniane)</t>
  </si>
  <si>
    <t>Gaming</t>
  </si>
  <si>
    <t xml:space="preserve">Kartäuser (1311-1753)</t>
  </si>
  <si>
    <t>Garsten</t>
  </si>
  <si>
    <t>(1082-1778)</t>
  </si>
  <si>
    <t>Gleink</t>
  </si>
  <si>
    <t>Benediktiner</t>
  </si>
  <si>
    <t>PPLX</t>
  </si>
  <si>
    <t>(1088-1762)</t>
  </si>
  <si>
    <t>Gloggnitz</t>
  </si>
  <si>
    <t xml:space="preserve">Benediktiner (1476)</t>
  </si>
  <si>
    <t xml:space="preserve">Gornji Grad</t>
  </si>
  <si>
    <t xml:space="preserve">Benediktiner (1220-1372)</t>
  </si>
  <si>
    <t xml:space="preserve">(dt. Obernburg)</t>
  </si>
  <si>
    <t>Göss</t>
  </si>
  <si>
    <t xml:space="preserve">Benediktinerinnen (1187-1496)</t>
  </si>
  <si>
    <t>Graz</t>
  </si>
  <si>
    <t xml:space="preserve">Franziskaner (1381-1507)</t>
  </si>
  <si>
    <t>15.45</t>
  </si>
  <si>
    <t>Heiligenkreuz</t>
  </si>
  <si>
    <t xml:space="preserve">Urkunden (~1133-1775)</t>
  </si>
  <si>
    <t xml:space="preserve">Heiligenkreuz im Lafnitztal</t>
  </si>
  <si>
    <t>Burgenland</t>
  </si>
  <si>
    <t>Herzogenburg</t>
  </si>
  <si>
    <t>(1112-1852)</t>
  </si>
  <si>
    <t>Hirsau</t>
  </si>
  <si>
    <t xml:space="preserve">St. Blasien </t>
  </si>
  <si>
    <t xml:space="preserve">Hirsau, Benediktinerkloster</t>
  </si>
  <si>
    <t>Hoeglwoerth</t>
  </si>
  <si>
    <t xml:space="preserve">(Augustiner-Chorherren 1219-1797)</t>
  </si>
  <si>
    <t>Höglwörth</t>
  </si>
  <si>
    <t>PPLL</t>
  </si>
  <si>
    <t>Imbach</t>
  </si>
  <si>
    <t xml:space="preserve">Dominikanerinnen (1267-1764)</t>
  </si>
  <si>
    <t>Judenburg</t>
  </si>
  <si>
    <t xml:space="preserve">Klarissen (1255-1463)</t>
  </si>
  <si>
    <t xml:space="preserve">ŘA Most</t>
  </si>
  <si>
    <t xml:space="preserve">Kamenný Most</t>
  </si>
  <si>
    <t xml:space="preserve">Nitra Region</t>
  </si>
  <si>
    <t>Himmelspforten</t>
  </si>
  <si>
    <t xml:space="preserve">Kloster (1231-1781)</t>
  </si>
  <si>
    <t>49.8</t>
  </si>
  <si>
    <t xml:space="preserve">Karmelitinnenkloster Himmelspforten</t>
  </si>
  <si>
    <t>CVNT</t>
  </si>
  <si>
    <t xml:space="preserve">Kirchberg am Wechsel</t>
  </si>
  <si>
    <t xml:space="preserve">Augustiner-Chorfrauen (1272-1742)</t>
  </si>
  <si>
    <t>Kleinmariazell</t>
  </si>
  <si>
    <t>Klingenthal</t>
  </si>
  <si>
    <t xml:space="preserve">Dominikanerinnen (1482-1483)</t>
  </si>
  <si>
    <t>ADM4</t>
  </si>
  <si>
    <t>Saxony</t>
  </si>
  <si>
    <t>Arnsburg</t>
  </si>
  <si>
    <t xml:space="preserve">Kloster Arnsburg</t>
  </si>
  <si>
    <t>Langheim</t>
  </si>
  <si>
    <t xml:space="preserve">Kloster Langheim</t>
  </si>
  <si>
    <t>Mehrerau</t>
  </si>
  <si>
    <t xml:space="preserve">Kloster Mehrerau</t>
  </si>
  <si>
    <t>Pfäfers</t>
  </si>
  <si>
    <t xml:space="preserve">Kloster Pfäfers</t>
  </si>
  <si>
    <t xml:space="preserve">Saint Gallen</t>
  </si>
  <si>
    <t>(861-1500)</t>
  </si>
  <si>
    <t xml:space="preserve">St. Gerold</t>
  </si>
  <si>
    <t xml:space="preserve">Kloster Sankt Gerold</t>
  </si>
  <si>
    <t>Seitenstetten</t>
  </si>
  <si>
    <t xml:space="preserve">Benediktiner (1109-1738)</t>
  </si>
  <si>
    <t xml:space="preserve">Kloster Seitenstetten</t>
  </si>
  <si>
    <t>Seligenstadt</t>
  </si>
  <si>
    <t xml:space="preserve">Kloster (1139-1784)</t>
  </si>
  <si>
    <t xml:space="preserve">Kloster Seligenstadt</t>
  </si>
  <si>
    <t>Tegernsee</t>
  </si>
  <si>
    <t xml:space="preserve">Kloster Tegernsee</t>
  </si>
  <si>
    <t>Tulln</t>
  </si>
  <si>
    <t xml:space="preserve">Dominikanerinnen (1204-1742)</t>
  </si>
  <si>
    <t>Klosterneuburg</t>
  </si>
  <si>
    <t>(1002-1767)</t>
  </si>
  <si>
    <t>Korneuburg</t>
  </si>
  <si>
    <t xml:space="preserve">Augustiner-Eremiten (1305-1771)</t>
  </si>
  <si>
    <t>48.35</t>
  </si>
  <si>
    <t>Kühbach</t>
  </si>
  <si>
    <t xml:space="preserve">(Benediktinerinnen 1011-1773)</t>
  </si>
  <si>
    <t>Leoben</t>
  </si>
  <si>
    <t xml:space="preserve">Dominikaner (1288-1313)</t>
  </si>
  <si>
    <t>Lilienfeld</t>
  </si>
  <si>
    <t xml:space="preserve">Zisterzienser (1111-1892)</t>
  </si>
  <si>
    <t>Lindau</t>
  </si>
  <si>
    <t>Kanoniker</t>
  </si>
  <si>
    <t>Lorch</t>
  </si>
  <si>
    <t>Maiano</t>
  </si>
  <si>
    <t xml:space="preserve">S. Martino (benedettine)</t>
  </si>
  <si>
    <t>Laach</t>
  </si>
  <si>
    <t xml:space="preserve">Best. 128</t>
  </si>
  <si>
    <t xml:space="preserve">Maria Laach am Jauerling</t>
  </si>
  <si>
    <t>MKA</t>
  </si>
  <si>
    <t xml:space="preserve">Acta Paulinorum (Q 312)</t>
  </si>
  <si>
    <t xml:space="preserve">Mariánské Lázně Airport</t>
  </si>
  <si>
    <t>AIRP</t>
  </si>
  <si>
    <t>Mattighofen</t>
  </si>
  <si>
    <t xml:space="preserve">Kollegiat (1318-1393)</t>
  </si>
  <si>
    <t>Mauerbach</t>
  </si>
  <si>
    <t xml:space="preserve">Kartäuser (1266-1759)</t>
  </si>
  <si>
    <t>Maulbronn</t>
  </si>
  <si>
    <t>Zisterzienserkloster</t>
  </si>
  <si>
    <t>Mekinje</t>
  </si>
  <si>
    <t xml:space="preserve">Klarissen (1287-1545)</t>
  </si>
  <si>
    <t xml:space="preserve">(dt. Minkendorf)</t>
  </si>
  <si>
    <t>Kamnik</t>
  </si>
  <si>
    <t>Michaelbeuern</t>
  </si>
  <si>
    <t xml:space="preserve">Benediktiner (1072-1951)</t>
  </si>
  <si>
    <t>Salzburg</t>
  </si>
  <si>
    <t>Millstatt</t>
  </si>
  <si>
    <t xml:space="preserve">Benediktiner (1122-1588)</t>
  </si>
  <si>
    <t>Minoritski</t>
  </si>
  <si>
    <t>(1428-1762)</t>
  </si>
  <si>
    <t>Minoritenplatz</t>
  </si>
  <si>
    <t>SQR</t>
  </si>
  <si>
    <t>Mistelbach</t>
  </si>
  <si>
    <t xml:space="preserve">Karmeliter (1443-1474)</t>
  </si>
  <si>
    <t>48.57</t>
  </si>
  <si>
    <t>Mondsee</t>
  </si>
  <si>
    <t xml:space="preserve">Benediktiner (1104-1802)</t>
  </si>
  <si>
    <t>Montalcino</t>
  </si>
  <si>
    <t xml:space="preserve">Monte San Savino</t>
  </si>
  <si>
    <t>Montecatini</t>
  </si>
  <si>
    <t xml:space="preserve">S. Margherita (agostiniani)</t>
  </si>
  <si>
    <t xml:space="preserve">Montecatini Terme</t>
  </si>
  <si>
    <t>Montepulciano</t>
  </si>
  <si>
    <t xml:space="preserve">S. Agnese (domenicani e domenicane)</t>
  </si>
  <si>
    <t>Monticiano</t>
  </si>
  <si>
    <t xml:space="preserve">SS. Pietro e Paolo (agostiniani)</t>
  </si>
  <si>
    <t>11.1771</t>
  </si>
  <si>
    <t>Salzburg-Mülln</t>
  </si>
  <si>
    <t xml:space="preserve">Augustiner (1257-1799)</t>
  </si>
  <si>
    <t>Mülln</t>
  </si>
  <si>
    <t>Bistra</t>
  </si>
  <si>
    <t xml:space="preserve">Kartäuser (1255-1480)</t>
  </si>
  <si>
    <t xml:space="preserve">(dt. Freudenthal)</t>
  </si>
  <si>
    <t xml:space="preserve">Municipality of Bistra</t>
  </si>
  <si>
    <t>ADM2</t>
  </si>
  <si>
    <t xml:space="preserve">Neuberg an der Mürz</t>
  </si>
  <si>
    <t xml:space="preserve">Zisterzienser (1357-1457)</t>
  </si>
  <si>
    <t>Neukirchen</t>
  </si>
  <si>
    <t>(1368-1830)</t>
  </si>
  <si>
    <t xml:space="preserve">Neukirchen am Großvenediger</t>
  </si>
  <si>
    <t>Neumünster</t>
  </si>
  <si>
    <t xml:space="preserve">Kollegiatstift (1054-1801)</t>
  </si>
  <si>
    <t>Schleswig-Holstein</t>
  </si>
  <si>
    <t>Niederaltaich</t>
  </si>
  <si>
    <t>(790-1801)</t>
  </si>
  <si>
    <t>Niederalteich</t>
  </si>
  <si>
    <t>Niedernburg</t>
  </si>
  <si>
    <t>12.1547</t>
  </si>
  <si>
    <t>Niederranna</t>
  </si>
  <si>
    <t xml:space="preserve">Pauliner (1363-1685)</t>
  </si>
  <si>
    <t>Dominikanerkloster</t>
  </si>
  <si>
    <t>(1295-1773)Â </t>
  </si>
  <si>
    <t>11.0778</t>
  </si>
  <si>
    <t xml:space="preserve">Nürnberg Dominikanerkloster St. Marien</t>
  </si>
  <si>
    <t>Ludwigsburg</t>
  </si>
  <si>
    <t>Klarissenkloster</t>
  </si>
  <si>
    <t>11.0794</t>
  </si>
  <si>
    <t xml:space="preserve">Nürnberg Klarissenkloster St. Klara</t>
  </si>
  <si>
    <t>Opava</t>
  </si>
  <si>
    <t>(1430â€“1786)</t>
  </si>
  <si>
    <t>Großwardein</t>
  </si>
  <si>
    <t>Prämonstratenser</t>
  </si>
  <si>
    <t>Oradea</t>
  </si>
  <si>
    <t xml:space="preserve">Bihor County</t>
  </si>
  <si>
    <t>Ossiach</t>
  </si>
  <si>
    <t>Osterhofen</t>
  </si>
  <si>
    <t xml:space="preserve">(Prämonstratenser 1146-1783)</t>
  </si>
  <si>
    <t>48.7</t>
  </si>
  <si>
    <t>Pannonhalma</t>
  </si>
  <si>
    <t xml:space="preserve">Bences - Elenyészett apátságok (1230-1400)</t>
  </si>
  <si>
    <t>Győr-Moson-Sopron</t>
  </si>
  <si>
    <t xml:space="preserve">Bences - Acta Antiquiora (1201-1525)</t>
  </si>
  <si>
    <t xml:space="preserve">Bences - Capsarium (1000-1526)</t>
  </si>
  <si>
    <t>Passignano</t>
  </si>
  <si>
    <t xml:space="preserve">S. Michele (badia</t>
  </si>
  <si>
    <t xml:space="preserve">Passignano sul Trasimeno</t>
  </si>
  <si>
    <t>Umbria</t>
  </si>
  <si>
    <t>Pernegg</t>
  </si>
  <si>
    <t xml:space="preserve">Prämonstratenser (1343)</t>
  </si>
  <si>
    <t xml:space="preserve">Pernegg an der Mur</t>
  </si>
  <si>
    <t>Pescia</t>
  </si>
  <si>
    <t xml:space="preserve">S. Michele (benedettine)</t>
  </si>
  <si>
    <t>Pinelli</t>
  </si>
  <si>
    <t xml:space="preserve">relative allâ€™ospedale di S. Bartolomeo al Mugnone e al monastero di S. Martino alle Panche di Firenze)</t>
  </si>
  <si>
    <t>(acquisto</t>
  </si>
  <si>
    <t>Pisa</t>
  </si>
  <si>
    <t xml:space="preserve">S. Bernardo (benedettine cistercensi)</t>
  </si>
  <si>
    <t>Pistoia</t>
  </si>
  <si>
    <t xml:space="preserve">S. Michele e Niccolao (benedettine)</t>
  </si>
  <si>
    <t xml:space="preserve">S. Benedetto (olivetani)</t>
  </si>
  <si>
    <t xml:space="preserve">S. Mercuriale (benedettine)</t>
  </si>
  <si>
    <t xml:space="preserve">S. Lorenzo (agostiniani)</t>
  </si>
  <si>
    <t xml:space="preserve">S. Bartolomeo apostolo detto badia dei Rocchettini</t>
  </si>
  <si>
    <t xml:space="preserve">S. Maria degli Angioli monastero detto da Sala</t>
  </si>
  <si>
    <t>Plasy</t>
  </si>
  <si>
    <t xml:space="preserve">Zisterzienser (1344-1410)</t>
  </si>
  <si>
    <t xml:space="preserve">(dt. Plass)</t>
  </si>
  <si>
    <t xml:space="preserve">Plzeň Region</t>
  </si>
  <si>
    <t>Poggibonsi</t>
  </si>
  <si>
    <t>Wolfsberg</t>
  </si>
  <si>
    <t xml:space="preserve">Minoriten (1456-1624)</t>
  </si>
  <si>
    <t xml:space="preserve">Politischer Bezirk Wolfsberg</t>
  </si>
  <si>
    <t>Portico</t>
  </si>
  <si>
    <t xml:space="preserve">S. Maria della Disciplina (agostiniane)</t>
  </si>
  <si>
    <t xml:space="preserve">Portico di Caserta</t>
  </si>
  <si>
    <t>Praha</t>
  </si>
  <si>
    <t xml:space="preserve">Magdalenitinen (1398)</t>
  </si>
  <si>
    <t>Prague</t>
  </si>
  <si>
    <t>PPLC</t>
  </si>
  <si>
    <t xml:space="preserve">Praha </t>
  </si>
  <si>
    <t xml:space="preserve">Dominikáni-provincialát a konvent</t>
  </si>
  <si>
    <t xml:space="preserve">((1203) 1255-1861)</t>
  </si>
  <si>
    <t>Prato</t>
  </si>
  <si>
    <t xml:space="preserve">S. Vincenzo (domenicane)</t>
  </si>
  <si>
    <t xml:space="preserve">S. Bartolomeo (carmelitani)</t>
  </si>
  <si>
    <t xml:space="preserve">S. Niccolo (domenicane)</t>
  </si>
  <si>
    <t>Pratovecchio</t>
  </si>
  <si>
    <t xml:space="preserve">S. Giovanni Evangelista (camaldolesi)</t>
  </si>
  <si>
    <t>Ptuj</t>
  </si>
  <si>
    <t xml:space="preserve">Dominikaner (1243-1461)</t>
  </si>
  <si>
    <t xml:space="preserve">(dt. Pettau)</t>
  </si>
  <si>
    <t>Pulgarn</t>
  </si>
  <si>
    <t>Radicondoli</t>
  </si>
  <si>
    <t xml:space="preserve">S. Caterina delle Ruote (agostiniane)</t>
  </si>
  <si>
    <t>Radlje</t>
  </si>
  <si>
    <t xml:space="preserve">Dominikanerinnen (1268-1461)</t>
  </si>
  <si>
    <t xml:space="preserve">(dt. Mahrenberg)</t>
  </si>
  <si>
    <t xml:space="preserve">Radlje ob Dravi</t>
  </si>
  <si>
    <t>Raitenhaslach</t>
  </si>
  <si>
    <t xml:space="preserve">(Zisterzienser 1034-1798)</t>
  </si>
  <si>
    <t>Ranshofen</t>
  </si>
  <si>
    <t xml:space="preserve">(Augustiner-Chorherren 898-1813)</t>
  </si>
  <si>
    <t>Regensburg</t>
  </si>
  <si>
    <t>Karmeliter</t>
  </si>
  <si>
    <t xml:space="preserve">St. Emmeram Regensburg</t>
  </si>
  <si>
    <t>(0794-1800)</t>
  </si>
  <si>
    <t xml:space="preserve">Regensburg Benediktinerabtei St. Emmeram</t>
  </si>
  <si>
    <t>CH</t>
  </si>
  <si>
    <t>Reichenbach</t>
  </si>
  <si>
    <t>12.35</t>
  </si>
  <si>
    <t xml:space="preserve">Reichenbach am Regen</t>
  </si>
  <si>
    <t>Rohr</t>
  </si>
  <si>
    <t>(1133-1796)</t>
  </si>
  <si>
    <t xml:space="preserve">Rohr im Burgenland</t>
  </si>
  <si>
    <t>Rosano</t>
  </si>
  <si>
    <t xml:space="preserve">S.ma Annunziata (benedettine)</t>
  </si>
  <si>
    <t>Rossano</t>
  </si>
  <si>
    <t>ADM3H</t>
  </si>
  <si>
    <t>Calabria</t>
  </si>
  <si>
    <t xml:space="preserve">Saint Blasien</t>
  </si>
  <si>
    <t xml:space="preserve">St. Gallen</t>
  </si>
  <si>
    <t xml:space="preserve">Stiftsarchiv (1004-1500)</t>
  </si>
  <si>
    <t xml:space="preserve">San Gimignano</t>
  </si>
  <si>
    <t xml:space="preserve">S. Maria monastero detto le Romite di S. Caterina (benedettine)</t>
  </si>
  <si>
    <t xml:space="preserve">S. Girolamo (vallombrosane)</t>
  </si>
  <si>
    <t xml:space="preserve">S. Maria Maddalena (agostiniane)</t>
  </si>
  <si>
    <t xml:space="preserve">S.ma Annunziata (domenicani)</t>
  </si>
  <si>
    <t xml:space="preserve">S. Agostino (agostiniane)</t>
  </si>
  <si>
    <t xml:space="preserve">St. Paul</t>
  </si>
  <si>
    <t xml:space="preserve">Benediktiner (1099- 1499)</t>
  </si>
  <si>
    <t xml:space="preserve">San Pawl il-Baħar</t>
  </si>
  <si>
    <t xml:space="preserve">Saint Paul’s Bay</t>
  </si>
  <si>
    <t xml:space="preserve">St. Andrä</t>
  </si>
  <si>
    <t xml:space="preserve">Dominikanerinnen (1694-1755)</t>
  </si>
  <si>
    <t xml:space="preserve">Sankt Andrä am Zicksee</t>
  </si>
  <si>
    <t xml:space="preserve">St. Andrä an der Traisen</t>
  </si>
  <si>
    <t>(998-1776)</t>
  </si>
  <si>
    <t xml:space="preserve">Sankt Andrä an der Traisen</t>
  </si>
  <si>
    <t xml:space="preserve">St. Bernhard</t>
  </si>
  <si>
    <t xml:space="preserve">Zisterzienserinnen (1263-1571)</t>
  </si>
  <si>
    <t xml:space="preserve">Sankt Bernhard</t>
  </si>
  <si>
    <t xml:space="preserve">St. Lambrecht</t>
  </si>
  <si>
    <t xml:space="preserve">Benediktiner (1205-1580)</t>
  </si>
  <si>
    <t xml:space="preserve">Sankt Lambrecht</t>
  </si>
  <si>
    <t>Lambrecht</t>
  </si>
  <si>
    <t xml:space="preserve">Wahrscheinlich nicht</t>
  </si>
  <si>
    <t xml:space="preserve">St. Salvator</t>
  </si>
  <si>
    <t xml:space="preserve">(Prämonstratenser 1289-1756)</t>
  </si>
  <si>
    <t>46.97</t>
  </si>
  <si>
    <t xml:space="preserve">Sankt Salvator</t>
  </si>
  <si>
    <t>Suben</t>
  </si>
  <si>
    <t>(1142-1397)</t>
  </si>
  <si>
    <t xml:space="preserve">Schärding-Suben Airport</t>
  </si>
  <si>
    <t>Scrofiano</t>
  </si>
  <si>
    <t xml:space="preserve">S. Niccolo (serviti)</t>
  </si>
  <si>
    <t>Seckau</t>
  </si>
  <si>
    <t xml:space="preserve">Augustiner-Chorherren (1170-1489)</t>
  </si>
  <si>
    <t>Schnals</t>
  </si>
  <si>
    <t>Kartäuser</t>
  </si>
  <si>
    <t>Senales</t>
  </si>
  <si>
    <t xml:space="preserve">Trentino-Alto Adige</t>
  </si>
  <si>
    <t>Siena</t>
  </si>
  <si>
    <t xml:space="preserve">Trafisse (benedettine)</t>
  </si>
  <si>
    <t xml:space="preserve">S. Vigilio (pergamene del monastero di Montescalari</t>
  </si>
  <si>
    <t>Sonnenburg</t>
  </si>
  <si>
    <t>Słońsk</t>
  </si>
  <si>
    <t>Lubusz</t>
  </si>
  <si>
    <t xml:space="preserve">Spital am Pyhrn</t>
  </si>
  <si>
    <t>(1190-1798)</t>
  </si>
  <si>
    <t xml:space="preserve">Spital am Semmering</t>
  </si>
  <si>
    <t xml:space="preserve">St. Michael</t>
  </si>
  <si>
    <t>(1001-1801)</t>
  </si>
  <si>
    <t>47.1</t>
  </si>
  <si>
    <t xml:space="preserve">St Michael im Lungau</t>
  </si>
  <si>
    <t xml:space="preserve">Archiv der Erzabtei (1005-1981)</t>
  </si>
  <si>
    <t xml:space="preserve">St Peter Port</t>
  </si>
  <si>
    <t xml:space="preserve">St. Georgen am Längsee</t>
  </si>
  <si>
    <t xml:space="preserve">Benediktinerinnen (1257)</t>
  </si>
  <si>
    <t>ADM3</t>
  </si>
  <si>
    <t>Stainach</t>
  </si>
  <si>
    <t xml:space="preserve">Dominikanerinnen (1494-1500)</t>
  </si>
  <si>
    <t>Göttweig</t>
  </si>
  <si>
    <t xml:space="preserve">Stift Göttweig</t>
  </si>
  <si>
    <t>Viktring</t>
  </si>
  <si>
    <t xml:space="preserve">Zisterzienser (1143-1484)</t>
  </si>
  <si>
    <t xml:space="preserve">Stift Viktring</t>
  </si>
  <si>
    <t>Studenice</t>
  </si>
  <si>
    <t xml:space="preserve">Dominikanerinnen (1249-1297)</t>
  </si>
  <si>
    <t xml:space="preserve">(dt. Studenitz)</t>
  </si>
  <si>
    <t>Poljčane</t>
  </si>
  <si>
    <t>Teplá</t>
  </si>
  <si>
    <t xml:space="preserve">klaster OPraem (1197-1908)</t>
  </si>
  <si>
    <t>Thalbach</t>
  </si>
  <si>
    <t xml:space="preserve">Franziskanerinnen (1479-1780)</t>
  </si>
  <si>
    <t>(Hirschtal)</t>
  </si>
  <si>
    <t>Tihany</t>
  </si>
  <si>
    <t xml:space="preserve">Bences (PannH) (1055-1522)</t>
  </si>
  <si>
    <t>Traunkirchen</t>
  </si>
  <si>
    <t>(1181-1398)</t>
  </si>
  <si>
    <t>Traunsee</t>
  </si>
  <si>
    <t xml:space="preserve">Benediktinerinnen (909)</t>
  </si>
  <si>
    <t>47.85</t>
  </si>
  <si>
    <t>LK</t>
  </si>
  <si>
    <t>Trier</t>
  </si>
  <si>
    <t xml:space="preserve">Best. 210</t>
  </si>
  <si>
    <t xml:space="preserve">Uherský Brod</t>
  </si>
  <si>
    <t>(1338-1772)</t>
  </si>
  <si>
    <t>Zlín</t>
  </si>
  <si>
    <t>Valduna</t>
  </si>
  <si>
    <t>9.65</t>
  </si>
  <si>
    <t>Vallombrosa</t>
  </si>
  <si>
    <t xml:space="preserve">S. Maria d'Acquabella (badia vallombrosana)</t>
  </si>
  <si>
    <t>Velehrad</t>
  </si>
  <si>
    <t>Cisterciáci</t>
  </si>
  <si>
    <t>(1202-1777)</t>
  </si>
  <si>
    <t>Velesovo</t>
  </si>
  <si>
    <t xml:space="preserve">Dominikanerinnen (1238-1568)</t>
  </si>
  <si>
    <t xml:space="preserve">(dt. Michelstetten)</t>
  </si>
  <si>
    <t xml:space="preserve">Cerklje na Gorenjskem</t>
  </si>
  <si>
    <t>Wien</t>
  </si>
  <si>
    <t>(1243-1765)</t>
  </si>
  <si>
    <t xml:space="preserve">St. Laurenz - Augustiner-Chorfrauen</t>
  </si>
  <si>
    <t xml:space="preserve">St. Niklaskloster</t>
  </si>
  <si>
    <t xml:space="preserve">St. Clara - Klarissen (1302-1568)</t>
  </si>
  <si>
    <t xml:space="preserve">St. Maria Magdalena</t>
  </si>
  <si>
    <t>Königskloster</t>
  </si>
  <si>
    <t xml:space="preserve">St. Jakob auf der Hülben</t>
  </si>
  <si>
    <t xml:space="preserve">Karmeliter (1348-1666)</t>
  </si>
  <si>
    <t xml:space="preserve">Augustiner (1333-1467)</t>
  </si>
  <si>
    <t xml:space="preserve">Franziskaner (1545)</t>
  </si>
  <si>
    <t xml:space="preserve">Camaldulenser (1638-1718)</t>
  </si>
  <si>
    <t xml:space="preserve">St. Nikola</t>
  </si>
  <si>
    <t xml:space="preserve">Dominikaner (1278-1437)</t>
  </si>
  <si>
    <t xml:space="preserve">Minoriten (1476-1517)</t>
  </si>
  <si>
    <t>Paulaner</t>
  </si>
  <si>
    <t>AT-HHStA/fb68e4d210519e82b05b9e824d2d8225</t>
  </si>
  <si>
    <t>Viktorsberg</t>
  </si>
  <si>
    <t>Volterra</t>
  </si>
  <si>
    <t xml:space="preserve">S. Andrea (olivetani)</t>
  </si>
  <si>
    <t>Weißenohe</t>
  </si>
  <si>
    <t xml:space="preserve">Wr. Neustadt</t>
  </si>
  <si>
    <t xml:space="preserve">St. Peter in der Sperr</t>
  </si>
  <si>
    <t xml:space="preserve">Wiener Neustadt</t>
  </si>
  <si>
    <t xml:space="preserve">Pauliner (1265-1671)</t>
  </si>
  <si>
    <t xml:space="preserve">Minoriten (1344-1507)</t>
  </si>
  <si>
    <t xml:space="preserve">Karmeliterinnen (1667)</t>
  </si>
  <si>
    <t xml:space="preserve">Dominikaner (1358-1529)</t>
  </si>
  <si>
    <t>Wilten</t>
  </si>
  <si>
    <t xml:space="preserve">Prämonstratenser (1180-1488)</t>
  </si>
  <si>
    <t xml:space="preserve">Wilten Monastery</t>
  </si>
  <si>
    <t>Tyrol</t>
  </si>
  <si>
    <t xml:space="preserve">Stiftsarchiv </t>
  </si>
  <si>
    <t>Windberg</t>
  </si>
  <si>
    <t xml:space="preserve">(Prämonstratenser 1146-1777)</t>
  </si>
  <si>
    <t>HLL</t>
  </si>
  <si>
    <t>Thuringia</t>
  </si>
  <si>
    <t>Ybbs</t>
  </si>
  <si>
    <t xml:space="preserve">Zisterzienserinnen (1234-1656)</t>
  </si>
  <si>
    <t>Žatec</t>
  </si>
  <si>
    <t xml:space="preserve">Minoriten (1380)</t>
  </si>
  <si>
    <t xml:space="preserve">(dt. Saaz)</t>
  </si>
  <si>
    <t xml:space="preserve">Ústecký kraj</t>
  </si>
  <si>
    <t>Žďár</t>
  </si>
  <si>
    <t>(1222-1771)</t>
  </si>
  <si>
    <t>Zdar</t>
  </si>
  <si>
    <t>Vysočina</t>
  </si>
  <si>
    <t>Zell</t>
  </si>
  <si>
    <t>Stift</t>
  </si>
  <si>
    <t xml:space="preserve">Zell am See</t>
  </si>
  <si>
    <t>Žiče</t>
  </si>
  <si>
    <t xml:space="preserve">Kartäuser (1173-1366)</t>
  </si>
  <si>
    <t xml:space="preserve">(dt. Seiz)</t>
  </si>
  <si>
    <t>Domžale</t>
  </si>
  <si>
    <t xml:space="preserve">Tiroler Franziskanerprovinz</t>
  </si>
  <si>
    <t>(1229-1970)</t>
  </si>
  <si>
    <t>Strebnitz</t>
  </si>
  <si>
    <t>Pletrje</t>
  </si>
  <si>
    <t xml:space="preserve">Kartäuser (1450-1472)</t>
  </si>
  <si>
    <t xml:space="preserve">(dt. Pletriach)</t>
  </si>
  <si>
    <t xml:space="preserve">FrauenSt. Peter in Salzburg</t>
  </si>
  <si>
    <t>Smíchow</t>
  </si>
  <si>
    <t xml:space="preserve">Kartäuser (1352-1454)</t>
  </si>
  <si>
    <t xml:space="preserve">(dt. Mariengarten)</t>
  </si>
  <si>
    <t>Freudnitz</t>
  </si>
  <si>
    <t>Fuldepp</t>
  </si>
  <si>
    <t xml:space="preserve">Dominikanerinnen (1299-1484)</t>
  </si>
  <si>
    <t xml:space="preserve">St. Peter im Schwarzwald</t>
  </si>
  <si>
    <t xml:space="preserve">Benediktiner (1139)</t>
  </si>
  <si>
    <t>StiÄna</t>
  </si>
  <si>
    <t xml:space="preserve">Pauliner Ungarn</t>
  </si>
  <si>
    <t>(1364-1671)</t>
  </si>
  <si>
    <t>AT-HHStA/fbae618d0fab981f2d6276505a5172e0</t>
  </si>
  <si>
    <t xml:space="preserve">Wien St. Nikolaus</t>
  </si>
  <si>
    <t xml:space="preserve">Urkunden (~1272-1729)</t>
  </si>
  <si>
    <t xml:space="preserve">Wilhelmiter Orden</t>
  </si>
  <si>
    <t xml:space="preserve">St. Johann im Thurtal</t>
  </si>
  <si>
    <t xml:space="preserve">Cisterciačky Předklášteří u Tišnova</t>
  </si>
  <si>
    <t>(1234-1766)</t>
  </si>
  <si>
    <t xml:space="preserve">Pavlini Moravský Krumlov</t>
  </si>
  <si>
    <t>(1669-1741)</t>
  </si>
  <si>
    <t xml:space="preserve">Augustiniáni Olomouc</t>
  </si>
  <si>
    <t>(1332-1781)</t>
  </si>
  <si>
    <t>Znojmě</t>
  </si>
  <si>
    <t>(1392-1757)</t>
  </si>
  <si>
    <t xml:space="preserve">Augustiniáni v Brně</t>
  </si>
  <si>
    <t>(1233-1843)</t>
  </si>
  <si>
    <t>Olomouc</t>
  </si>
  <si>
    <t>Kartuziáni</t>
  </si>
  <si>
    <t>(1281-1781)</t>
  </si>
  <si>
    <t xml:space="preserve">Dominikánky Staré Brno</t>
  </si>
  <si>
    <t>(1312-1747)</t>
  </si>
  <si>
    <t>Zábrdovice</t>
  </si>
  <si>
    <t>Premonstráti</t>
  </si>
  <si>
    <t>(1209-1782)</t>
  </si>
  <si>
    <t>Å umperk</t>
  </si>
  <si>
    <t>(1531-1691)</t>
  </si>
  <si>
    <t>Leles</t>
  </si>
  <si>
    <t>(1407-1746)</t>
  </si>
  <si>
    <t xml:space="preserve">Dominikánky Olomouc</t>
  </si>
  <si>
    <t>(1287-1754)</t>
  </si>
  <si>
    <t xml:space="preserve">Klarisky ve Znojmě</t>
  </si>
  <si>
    <t>(1286-1780)</t>
  </si>
  <si>
    <t xml:space="preserve">Klarisky Olomouc</t>
  </si>
  <si>
    <t>(1289-1754)</t>
  </si>
  <si>
    <t xml:space="preserve">Benediktini Rajhrad</t>
  </si>
  <si>
    <t>(1045-1908)</t>
  </si>
  <si>
    <t xml:space="preserve">Augustiniáni Å ternberk</t>
  </si>
  <si>
    <t>(1296-1780)</t>
  </si>
  <si>
    <t xml:space="preserve">Klášterní­ Hradisko</t>
  </si>
  <si>
    <t>(1200-1782)</t>
  </si>
  <si>
    <t>Louka</t>
  </si>
  <si>
    <t xml:space="preserve">Minorité v Brné</t>
  </si>
  <si>
    <t>(1710-1744)</t>
  </si>
  <si>
    <t xml:space="preserve">Pavláni Brtnice</t>
  </si>
  <si>
    <t xml:space="preserve">v Nové Å˜í­ši</t>
  </si>
  <si>
    <t>(1258-1841)</t>
  </si>
  <si>
    <t xml:space="preserve">Královo Pole</t>
  </si>
  <si>
    <t>(1405-1735)</t>
  </si>
  <si>
    <t xml:space="preserve">Pavláni Vranov</t>
  </si>
  <si>
    <t>(1633-1643)</t>
  </si>
  <si>
    <t xml:space="preserve">Servité Jaroměřice nad Rokytnou</t>
  </si>
  <si>
    <t>(1679-1680)</t>
  </si>
  <si>
    <t xml:space="preserve">Augustiniáni Jevícko</t>
  </si>
  <si>
    <t>(1342-1597)</t>
  </si>
  <si>
    <t xml:space="preserve">Minorité Jihlava</t>
  </si>
  <si>
    <t>(1379-1756)</t>
  </si>
  <si>
    <t xml:space="preserve">CisterÄiacki Brno</t>
  </si>
  <si>
    <t>(1225-1748)</t>
  </si>
  <si>
    <t xml:space="preserve">Kapucíni-provincialát a konvent</t>
  </si>
  <si>
    <t xml:space="preserve">Praha (1364-1906)</t>
  </si>
  <si>
    <t xml:space="preserve">ŘA Václav</t>
  </si>
  <si>
    <t xml:space="preserve">ŘM Åýatec</t>
  </si>
  <si>
    <t xml:space="preserve">KřiÅ¾ovníci s Äervenou hvězdou - generalát a konvent</t>
  </si>
  <si>
    <t xml:space="preserve">Praha (1233-1872)</t>
  </si>
  <si>
    <t xml:space="preserve">Řm Stří­bro</t>
  </si>
  <si>
    <t xml:space="preserve">Benediktini-klášter Emauzy</t>
  </si>
  <si>
    <t xml:space="preserve">Praha (1400-1500)</t>
  </si>
  <si>
    <t xml:space="preserve">ŘP Litomyšl</t>
  </si>
  <si>
    <t xml:space="preserve">ŘB Kladruby</t>
  </si>
  <si>
    <t>Voršilky-konvent</t>
  </si>
  <si>
    <t xml:space="preserve">Praha (1660-1781)</t>
  </si>
  <si>
    <t xml:space="preserve">Augustiniáni obutí - provincialát a konvent</t>
  </si>
  <si>
    <t xml:space="preserve">Praha (1285-1510)</t>
  </si>
  <si>
    <t xml:space="preserve">ŘD Pí­sek</t>
  </si>
  <si>
    <t xml:space="preserve">ŘH sv. AmbroÅ¾</t>
  </si>
  <si>
    <t xml:space="preserve">ŘC Zl. Koruna</t>
  </si>
  <si>
    <t xml:space="preserve">ŘC Zbraslav</t>
  </si>
  <si>
    <t xml:space="preserve">ŘPa N. Bystřice</t>
  </si>
  <si>
    <t xml:space="preserve">ŘB sv. Jiří­</t>
  </si>
  <si>
    <t xml:space="preserve">(1115-1760) // Dodatky</t>
  </si>
  <si>
    <t xml:space="preserve">Benediktini-klášter Břevnov</t>
  </si>
  <si>
    <t xml:space="preserve">Praha Benediktinské arciopatství sv. Vojtěcha a sv. Markéty v Břevnově (0993-1948)</t>
  </si>
  <si>
    <t xml:space="preserve">ŘKřb Zderaz</t>
  </si>
  <si>
    <t xml:space="preserve">ŘA Borovany</t>
  </si>
  <si>
    <t xml:space="preserve">ŘKI Krumlov</t>
  </si>
  <si>
    <t xml:space="preserve">ŘD sv. Anna</t>
  </si>
  <si>
    <t xml:space="preserve">ŘA TřeboÅˆ</t>
  </si>
  <si>
    <t xml:space="preserve">ŘKr sv. Havel</t>
  </si>
  <si>
    <t xml:space="preserve">ŘKt Smí­chov</t>
  </si>
  <si>
    <t xml:space="preserve">ŘP Chotěšov</t>
  </si>
  <si>
    <t xml:space="preserve">ŘC Plasy</t>
  </si>
  <si>
    <t xml:space="preserve">ŘC Pohled</t>
  </si>
  <si>
    <t xml:space="preserve">ŘB Sázava</t>
  </si>
  <si>
    <t xml:space="preserve">ŘKI sv. AneÅ¾ky</t>
  </si>
  <si>
    <t xml:space="preserve">ŘA sv. Kateřina</t>
  </si>
  <si>
    <t xml:space="preserve">ŘKI Cheb</t>
  </si>
  <si>
    <t xml:space="preserve">ŘP Doksany</t>
  </si>
  <si>
    <t xml:space="preserve">Premonstráti-klášter Strahov</t>
  </si>
  <si>
    <t>(1192-1921)</t>
  </si>
  <si>
    <t xml:space="preserve">ŘB sv. Mikuláš</t>
  </si>
  <si>
    <t>Å½eliv</t>
  </si>
  <si>
    <t>(1233-1853)</t>
  </si>
  <si>
    <t xml:space="preserve">Augustiniáni kanovníci Fulnek</t>
  </si>
  <si>
    <t xml:space="preserve">((1293) 1389â€“1786)</t>
  </si>
  <si>
    <t xml:space="preserve">NěmeÄtí rytíři - konvent Opava</t>
  </si>
  <si>
    <t xml:space="preserve">((1465) 1866â€“1946)</t>
  </si>
  <si>
    <t>CZ-ZAO/2c850d1aaf22c21b40e411d09b41e22e</t>
  </si>
  <si>
    <t xml:space="preserve">Minorité Krnov</t>
  </si>
  <si>
    <t>(1533â€“1948)</t>
  </si>
  <si>
    <t xml:space="preserve">Klarisky Opava</t>
  </si>
  <si>
    <t xml:space="preserve">((1289) 1307â€“1782</t>
  </si>
  <si>
    <t xml:space="preserve">Minorité Opava</t>
  </si>
  <si>
    <t>(1669â€“1914)</t>
  </si>
  <si>
    <t xml:space="preserve">Kapucí­ni Fulnek</t>
  </si>
  <si>
    <t xml:space="preserve">((1661) 1684â€“1950</t>
  </si>
  <si>
    <t xml:space="preserve">St. Paulikirche und Dominikaner</t>
  </si>
  <si>
    <t xml:space="preserve">Kollegiatstift Schüsselkorb</t>
  </si>
  <si>
    <t>AngerMünchen</t>
  </si>
  <si>
    <t>(1268-1791)</t>
  </si>
  <si>
    <t xml:space="preserve">Kollegiatstift Vilshofen</t>
  </si>
  <si>
    <t>(1310-1787)</t>
  </si>
  <si>
    <t>Formbach</t>
  </si>
  <si>
    <t xml:space="preserve">(Benediktiner 1114-1792)</t>
  </si>
  <si>
    <t xml:space="preserve">St. Nikola Passau</t>
  </si>
  <si>
    <t xml:space="preserve">(Augustiner-Chorherren 1073-1802)</t>
  </si>
  <si>
    <t>Altötting</t>
  </si>
  <si>
    <t xml:space="preserve">Kollegiatstift </t>
  </si>
  <si>
    <t>(1228-1793)</t>
  </si>
  <si>
    <t>Neuburg</t>
  </si>
  <si>
    <t>Benediktinerinnen</t>
  </si>
  <si>
    <t>(1259-1584)</t>
  </si>
  <si>
    <t>Passau-Niedernburg</t>
  </si>
  <si>
    <t xml:space="preserve">(Benediktinerinnen 1010-1801)</t>
  </si>
  <si>
    <t>Pütrichhaus</t>
  </si>
  <si>
    <t>(1356-1716)</t>
  </si>
  <si>
    <t xml:space="preserve">Rupertsberg (Bingen)</t>
  </si>
  <si>
    <t xml:space="preserve">Best. 164</t>
  </si>
  <si>
    <t xml:space="preserve">Deutscher Orden</t>
  </si>
  <si>
    <t xml:space="preserve">Regierung Mergentheim: Stadt Mergentheim II (Johanniter- und Deutschhof</t>
  </si>
  <si>
    <t xml:space="preserve">Mainz St. Alban</t>
  </si>
  <si>
    <t xml:space="preserve">Stift (1007-1763)</t>
  </si>
  <si>
    <t>Weidas</t>
  </si>
  <si>
    <t xml:space="preserve">San Salvador de Lerez</t>
  </si>
  <si>
    <t xml:space="preserve">San Salvador de Sobrado de Trives (Ourense(</t>
  </si>
  <si>
    <t xml:space="preserve">(A Proboa de Trives</t>
  </si>
  <si>
    <t xml:space="preserve">Santa Maria de Xunqueira</t>
  </si>
  <si>
    <t xml:space="preserve">San Pedro de Vilanova de DozonÂ </t>
  </si>
  <si>
    <t xml:space="preserve">Santa María de Oseira</t>
  </si>
  <si>
    <t xml:space="preserve">Santa Maria Melon</t>
  </si>
  <si>
    <t xml:space="preserve">Santa Comba de Naves</t>
  </si>
  <si>
    <t>(Orense)</t>
  </si>
  <si>
    <t xml:space="preserve">Santo Estevo</t>
  </si>
  <si>
    <t xml:space="preserve">Santa Maria Ribeira</t>
  </si>
  <si>
    <t xml:space="preserve">Santa Maria San Clodio</t>
  </si>
  <si>
    <t xml:space="preserve">San Pedro Rocas</t>
  </si>
  <si>
    <t xml:space="preserve">Santa Maria Montederramo</t>
  </si>
  <si>
    <t xml:space="preserve">San Lorenzo de Carboeiro</t>
  </si>
  <si>
    <t xml:space="preserve">San Salvador de Celanova</t>
  </si>
  <si>
    <t xml:space="preserve">Benedicty család</t>
  </si>
  <si>
    <t xml:space="preserve">(Q 34)</t>
  </si>
  <si>
    <t>HU-MNL-DLCSLA/373e20119ea764065b4f45e97ea332ef</t>
  </si>
  <si>
    <t xml:space="preserve">Székesfehérvári keresztesek konventje</t>
  </si>
  <si>
    <t xml:space="preserve">(Q 398)</t>
  </si>
  <si>
    <t xml:space="preserve">Ferences rendtartomány</t>
  </si>
  <si>
    <t xml:space="preserve">(Q 5)</t>
  </si>
  <si>
    <t xml:space="preserve">Monastero San Giacomo di Bari: diplomi</t>
  </si>
  <si>
    <t xml:space="preserve">07 Pergamene Nitti: </t>
  </si>
  <si>
    <t xml:space="preserve">Monastero San Giacomo di Bari: strumenti notarili</t>
  </si>
  <si>
    <t xml:space="preserve">08 Pergamene Nitti: </t>
  </si>
  <si>
    <t xml:space="preserve">Borgo San Sepolcro</t>
  </si>
  <si>
    <t xml:space="preserve">Santa Croce Valdarno</t>
  </si>
  <si>
    <t xml:space="preserve">S. Cristiana (agostiniane)</t>
  </si>
  <si>
    <t>Gangalandi</t>
  </si>
  <si>
    <t xml:space="preserve">S. Maria delle Selve (carmelitani)</t>
  </si>
  <si>
    <t xml:space="preserve">Pian Castagnaio</t>
  </si>
  <si>
    <t xml:space="preserve">S. Bartolomeo (francescani)</t>
  </si>
  <si>
    <t>Cigoli</t>
  </si>
  <si>
    <t xml:space="preserve">S. Maria e S. Michele (propositura</t>
  </si>
  <si>
    <t>Montughi</t>
  </si>
  <si>
    <t xml:space="preserve">S. Marta (umiliate)</t>
  </si>
  <si>
    <t xml:space="preserve">Monte Varchi</t>
  </si>
  <si>
    <t xml:space="preserve">S. Ludovico (francescani)</t>
  </si>
  <si>
    <t xml:space="preserve">Badia Ardenghesca</t>
  </si>
  <si>
    <t xml:space="preserve">S. Salvatore e S. Lorenzo (badia benedettina)</t>
  </si>
  <si>
    <t xml:space="preserve">S. Gregorio Armeno</t>
  </si>
  <si>
    <t>(911-1675)</t>
  </si>
  <si>
    <t xml:space="preserve">S. Agostino Maggiore</t>
  </si>
  <si>
    <t>(1170-1550)</t>
  </si>
  <si>
    <t xml:space="preserve">S. Francesco di Senise</t>
  </si>
  <si>
    <t xml:space="preserve">S. Francesco di Potenza</t>
  </si>
  <si>
    <t xml:space="preserve">Monastero cistercense di S. Maria del Sagittario</t>
  </si>
  <si>
    <t xml:space="preserve">Napoli: Chiese e monasteri diversi</t>
  </si>
  <si>
    <t xml:space="preserve">(9 AA I)</t>
  </si>
  <si>
    <t xml:space="preserve">Napoli: monasteri di S. Gregorio</t>
  </si>
  <si>
    <t xml:space="preserve">S. Arcangelo a Baiano e S. Martino (9 BB IV)</t>
  </si>
  <si>
    <t xml:space="preserve">Monasteri diversi</t>
  </si>
  <si>
    <t xml:space="preserve">(9 AA III)</t>
  </si>
  <si>
    <t xml:space="preserve">Count bis 1500</t>
  </si>
  <si>
    <t xml:space="preserve">Gesamt Urkunden in Klöstern</t>
  </si>
  <si>
    <t xml:space="preserve">Anzahl Klöster</t>
  </si>
  <si>
    <t xml:space="preserve">Urkunden pro Kloster</t>
  </si>
  <si>
    <t>Total</t>
  </si>
  <si>
    <t>Jahrzehnt</t>
  </si>
  <si>
    <t xml:space="preserve">Urkunden in Klöstern</t>
  </si>
  <si>
    <t xml:space="preserve">Total Archive</t>
  </si>
  <si>
    <t xml:space="preserve">Gesamt in Klöstern</t>
  </si>
  <si>
    <t xml:space="preserve">Urkunden / Kloster</t>
  </si>
  <si>
    <t xml:space="preserve">Gesamt in Ganz MOM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</si>
</sst>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\.m"/>
    <numFmt numFmtId="166" formatCode="m\.yyyy"/>
  </numFmts>
  <fonts count="11">
    <font>
      <sz val="11.000000"/>
      <color theme="1"/>
      <name val="Calibri"/>
    </font>
    <font>
      <sz val="10.000000"/>
      <name val="Arial"/>
    </font>
    <font>
      <sz val="11.000000"/>
      <color indexed="65"/>
      <name val="Calibri"/>
    </font>
    <font>
      <sz val="11.000000"/>
      <name val="&quot;Aptos Narrow&quot;"/>
    </font>
    <font>
      <sz val="11.000000"/>
      <name val="Arial"/>
    </font>
    <font>
      <b/>
      <sz val="11.000000"/>
      <name val="Calibri"/>
    </font>
    <font>
      <b/>
      <sz val="11.000000"/>
      <color indexed="65"/>
      <name val="Calibri"/>
    </font>
    <font>
      <b/>
      <sz val="11.000000"/>
      <color theme="1"/>
      <name val="Calibri"/>
    </font>
    <font>
      <sz val="11.000000"/>
      <name val="Calibri"/>
    </font>
    <font>
      <b/>
      <sz val="11.000000"/>
      <name val="Arial"/>
    </font>
    <font>
      <b/>
      <sz val="11.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54"/>
      </patternFill>
    </fill>
    <fill>
      <patternFill patternType="solid">
        <fgColor rgb="FFD9E2F3"/>
        <bgColor rgb="FFD9D9D9"/>
      </patternFill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2" borderId="0" numFmtId="0" xfId="0" applyFont="1" applyFill="1" applyProtection="1">
      <protection hidden="0" locked="1"/>
    </xf>
    <xf fontId="0" fillId="3" borderId="0" numFmtId="0" xfId="0" applyFill="1" applyProtection="1">
      <protection hidden="0" locked="1"/>
    </xf>
    <xf fontId="0" fillId="4" borderId="0" numFmtId="0" xfId="0" applyFill="1" applyProtection="1">
      <protection hidden="0" locked="1"/>
    </xf>
    <xf fontId="0" fillId="0" borderId="0" numFmtId="164" xfId="0" applyNumberFormat="1" applyProtection="1">
      <protection hidden="0" locked="1"/>
    </xf>
    <xf fontId="3" fillId="0" borderId="0" numFmtId="0" xfId="0" applyFont="1" applyProtection="1">
      <protection hidden="0" locked="1"/>
    </xf>
    <xf fontId="4" fillId="0" borderId="0" numFmtId="0" xfId="0" applyFont="1" applyProtection="1">
      <protection hidden="0" locked="1"/>
    </xf>
    <xf fontId="3" fillId="5" borderId="0" numFmtId="0" xfId="0" applyFont="1" applyFill="1" applyAlignment="1" applyProtection="1">
      <alignment horizontal="right"/>
      <protection hidden="0" locked="1"/>
    </xf>
    <xf fontId="0" fillId="5" borderId="0" numFmtId="0" xfId="0" applyFill="1" applyProtection="1">
      <protection hidden="0" locked="1"/>
    </xf>
    <xf fontId="3" fillId="0" borderId="0" numFmtId="0" xfId="0" applyFont="1" applyAlignment="1" applyProtection="1">
      <alignment horizontal="right"/>
      <protection hidden="0" locked="1"/>
    </xf>
    <xf fontId="4" fillId="5" borderId="0" numFmtId="0" xfId="0" applyFont="1" applyFill="1" applyAlignment="1" applyProtection="1">
      <alignment horizontal="right"/>
      <protection hidden="0" locked="1"/>
    </xf>
    <xf fontId="5" fillId="0" borderId="0" numFmtId="0" xfId="0" applyFont="1" applyProtection="1">
      <protection hidden="0" locked="1"/>
    </xf>
    <xf fontId="6" fillId="2" borderId="0" numFmtId="0" xfId="0" applyFont="1" applyFill="1" applyProtection="1">
      <protection hidden="0" locked="1"/>
    </xf>
    <xf fontId="7" fillId="0" borderId="1" numFmtId="0" xfId="0" applyFont="1" applyBorder="1" applyAlignment="1" applyProtection="1">
      <alignment horizontal="center" vertical="top"/>
      <protection hidden="0" locked="1"/>
    </xf>
    <xf fontId="7" fillId="0" borderId="0" numFmtId="0" xfId="0" applyFont="1" applyProtection="1">
      <protection hidden="0" locked="1"/>
    </xf>
    <xf fontId="8" fillId="0" borderId="0" numFmtId="0" xfId="0" applyFont="1" applyProtection="1">
      <protection hidden="0" locked="1"/>
    </xf>
    <xf fontId="8" fillId="4" borderId="0" numFmtId="0" xfId="0" applyFont="1" applyFill="1" applyProtection="1">
      <protection hidden="0" locked="1"/>
    </xf>
    <xf fontId="8" fillId="0" borderId="0" numFmtId="0" xfId="0" applyFont="1" applyAlignment="1" applyProtection="1">
      <alignment horizontal="right"/>
      <protection hidden="0" locked="1"/>
    </xf>
    <xf fontId="8" fillId="0" borderId="0" numFmtId="3" xfId="0" applyNumberFormat="1" applyFont="1" applyProtection="1">
      <protection hidden="0" locked="1"/>
    </xf>
    <xf fontId="8" fillId="3" borderId="0" numFmtId="0" xfId="0" applyFont="1" applyFill="1" applyProtection="1">
      <protection hidden="0" locked="1"/>
    </xf>
    <xf fontId="9" fillId="4" borderId="0" numFmtId="3" xfId="0" applyNumberFormat="1" applyFont="1" applyFill="1" applyProtection="1">
      <protection hidden="0" locked="1"/>
    </xf>
    <xf fontId="8" fillId="0" borderId="0" numFmtId="165" xfId="0" applyNumberFormat="1" applyFont="1" applyProtection="1">
      <protection hidden="0" locked="1"/>
    </xf>
    <xf fontId="8" fillId="0" borderId="0" numFmtId="166" xfId="0" applyNumberFormat="1" applyFont="1" applyProtection="1">
      <protection hidden="0" locked="1"/>
    </xf>
    <xf fontId="7" fillId="0" borderId="0" numFmtId="3" xfId="0" applyNumberFormat="1" applyFont="1" applyProtection="1">
      <protection hidden="0" locked="1"/>
    </xf>
    <xf fontId="8" fillId="5" borderId="0" numFmtId="0" xfId="0" applyFont="1" applyFill="1" applyProtection="1">
      <protection hidden="0" locked="1"/>
    </xf>
    <xf fontId="8" fillId="5" borderId="0" numFmtId="0" xfId="0" applyFont="1" applyFill="1" applyAlignment="1" applyProtection="1">
      <alignment horizontal="right"/>
      <protection hidden="0" locked="1"/>
    </xf>
    <xf fontId="8" fillId="5" borderId="0" numFmtId="3" xfId="0" applyNumberFormat="1" applyFont="1" applyFill="1" applyProtection="1">
      <protection hidden="0" locked="1"/>
    </xf>
    <xf fontId="8" fillId="5" borderId="0" numFmtId="166" xfId="0" applyNumberFormat="1" applyFont="1" applyFill="1" applyProtection="1">
      <protection hidden="0" locked="1"/>
    </xf>
    <xf fontId="8" fillId="5" borderId="0" numFmtId="165" xfId="0" applyNumberFormat="1" applyFont="1" applyFill="1" applyProtection="1">
      <protection hidden="0" locked="1"/>
    </xf>
    <xf fontId="0" fillId="0" borderId="0" numFmtId="3" xfId="0" applyNumberFormat="1" applyProtection="1">
      <protection hidden="0" locked="1"/>
    </xf>
    <xf fontId="10" fillId="0" borderId="0" numFmtId="0" xfId="0" applyFont="1" applyProtection="1">
      <protection hidden="0" locked="1"/>
    </xf>
    <xf fontId="9" fillId="0" borderId="0" numFmtId="0" xfId="0" applyFont="1" applyAlignment="1" applyProtection="1">
      <alignment horizontal="right"/>
      <protection hidden="0" locked="1"/>
    </xf>
    <xf fontId="10" fillId="0" borderId="0" numFmtId="0" xfId="0" applyFont="1" applyAlignment="1" applyProtection="1">
      <alignment horizontal="right"/>
      <protection hidden="0" locked="1"/>
    </xf>
    <xf fontId="0" fillId="0" borderId="0" numFmtId="2" xfId="0" applyNumberForma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9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temporalBoundaries!$A$16:$A$470</c:f>
              <c:numCache>
                <c:formatCode>General</c:formatCode>
                <c:ptCount val="455"/>
              </c:numCache>
            </c:numRef>
          </c:xVal>
          <c:yVal>
            <c:numRef>
              <c:f>temporalBoundaries!$B$16:$B$470</c:f>
              <c:numCache>
                <c:formatCode>General</c:formatCode>
                <c:ptCount val="455"/>
                <c:pt idx="0">
                  <c:v>921</c:v>
                </c:pt>
                <c:pt idx="1">
                  <c:v>943</c:v>
                </c:pt>
                <c:pt idx="2">
                  <c:v>945</c:v>
                </c:pt>
                <c:pt idx="3">
                  <c:v>951</c:v>
                </c:pt>
                <c:pt idx="4">
                  <c:v>960</c:v>
                </c:pt>
                <c:pt idx="5">
                  <c:v>963</c:v>
                </c:pt>
                <c:pt idx="6">
                  <c:v>969</c:v>
                </c:pt>
                <c:pt idx="7">
                  <c:v>986</c:v>
                </c:pt>
                <c:pt idx="8">
                  <c:v>989</c:v>
                </c:pt>
                <c:pt idx="9">
                  <c:v>993</c:v>
                </c:pt>
                <c:pt idx="10">
                  <c:v>993</c:v>
                </c:pt>
                <c:pt idx="11">
                  <c:v>995</c:v>
                </c:pt>
                <c:pt idx="12">
                  <c:v>997</c:v>
                </c:pt>
                <c:pt idx="13">
                  <c:v>1001</c:v>
                </c:pt>
                <c:pt idx="14">
                  <c:v>1002</c:v>
                </c:pt>
                <c:pt idx="15">
                  <c:v>1002</c:v>
                </c:pt>
                <c:pt idx="16">
                  <c:v>1005</c:v>
                </c:pt>
                <c:pt idx="17">
                  <c:v>1006</c:v>
                </c:pt>
                <c:pt idx="18">
                  <c:v>1007</c:v>
                </c:pt>
                <c:pt idx="19">
                  <c:v>1007</c:v>
                </c:pt>
                <c:pt idx="20">
                  <c:v>1007</c:v>
                </c:pt>
                <c:pt idx="21">
                  <c:v>1010</c:v>
                </c:pt>
                <c:pt idx="22">
                  <c:v>1015</c:v>
                </c:pt>
                <c:pt idx="23">
                  <c:v>1015</c:v>
                </c:pt>
                <c:pt idx="24">
                  <c:v>1017</c:v>
                </c:pt>
                <c:pt idx="25">
                  <c:v>1019</c:v>
                </c:pt>
                <c:pt idx="26">
                  <c:v>1025</c:v>
                </c:pt>
                <c:pt idx="27">
                  <c:v>1030</c:v>
                </c:pt>
                <c:pt idx="28">
                  <c:v>1036</c:v>
                </c:pt>
                <c:pt idx="29">
                  <c:v>1040</c:v>
                </c:pt>
                <c:pt idx="30">
                  <c:v>1045</c:v>
                </c:pt>
                <c:pt idx="31">
                  <c:v>1047</c:v>
                </c:pt>
                <c:pt idx="32">
                  <c:v>1054</c:v>
                </c:pt>
                <c:pt idx="33">
                  <c:v>1055</c:v>
                </c:pt>
                <c:pt idx="34">
                  <c:v>1066</c:v>
                </c:pt>
                <c:pt idx="35">
                  <c:v>1066</c:v>
                </c:pt>
                <c:pt idx="36">
                  <c:v>1072</c:v>
                </c:pt>
                <c:pt idx="37">
                  <c:v>1073</c:v>
                </c:pt>
                <c:pt idx="38">
                  <c:v>1075</c:v>
                </c:pt>
                <c:pt idx="39">
                  <c:v>1075</c:v>
                </c:pt>
                <c:pt idx="40">
                  <c:v>1078</c:v>
                </c:pt>
                <c:pt idx="41">
                  <c:v>1082</c:v>
                </c:pt>
                <c:pt idx="42">
                  <c:v>1082</c:v>
                </c:pt>
                <c:pt idx="43">
                  <c:v>1093</c:v>
                </c:pt>
                <c:pt idx="44">
                  <c:v>1093</c:v>
                </c:pt>
                <c:pt idx="45">
                  <c:v>1094</c:v>
                </c:pt>
                <c:pt idx="46">
                  <c:v>1094</c:v>
                </c:pt>
                <c:pt idx="47">
                  <c:v>1095</c:v>
                </c:pt>
                <c:pt idx="48">
                  <c:v>1096</c:v>
                </c:pt>
                <c:pt idx="49">
                  <c:v>1099</c:v>
                </c:pt>
                <c:pt idx="50">
                  <c:v>1099</c:v>
                </c:pt>
                <c:pt idx="51">
                  <c:v>1099</c:v>
                </c:pt>
                <c:pt idx="52">
                  <c:v>1100</c:v>
                </c:pt>
                <c:pt idx="53">
                  <c:v>1101</c:v>
                </c:pt>
                <c:pt idx="54">
                  <c:v>1102</c:v>
                </c:pt>
                <c:pt idx="55">
                  <c:v>1104</c:v>
                </c:pt>
                <c:pt idx="56">
                  <c:v>1106</c:v>
                </c:pt>
                <c:pt idx="57">
                  <c:v>1106</c:v>
                </c:pt>
                <c:pt idx="58">
                  <c:v>1107</c:v>
                </c:pt>
                <c:pt idx="59">
                  <c:v>1109</c:v>
                </c:pt>
                <c:pt idx="60">
                  <c:v>1109</c:v>
                </c:pt>
                <c:pt idx="61">
                  <c:v>1112</c:v>
                </c:pt>
                <c:pt idx="62">
                  <c:v>1114</c:v>
                </c:pt>
                <c:pt idx="63">
                  <c:v>1115</c:v>
                </c:pt>
                <c:pt idx="64">
                  <c:v>1115</c:v>
                </c:pt>
                <c:pt idx="65">
                  <c:v>1122</c:v>
                </c:pt>
                <c:pt idx="66">
                  <c:v>1122</c:v>
                </c:pt>
                <c:pt idx="67">
                  <c:v>1124</c:v>
                </c:pt>
                <c:pt idx="68">
                  <c:v>1124</c:v>
                </c:pt>
                <c:pt idx="69">
                  <c:v>1125</c:v>
                </c:pt>
                <c:pt idx="70">
                  <c:v>1132</c:v>
                </c:pt>
                <c:pt idx="71">
                  <c:v>1133</c:v>
                </c:pt>
                <c:pt idx="72">
                  <c:v>1134</c:v>
                </c:pt>
                <c:pt idx="73">
                  <c:v>1137</c:v>
                </c:pt>
                <c:pt idx="74">
                  <c:v>1137</c:v>
                </c:pt>
                <c:pt idx="75">
                  <c:v>1138</c:v>
                </c:pt>
                <c:pt idx="76">
                  <c:v>1138</c:v>
                </c:pt>
                <c:pt idx="77">
                  <c:v>1139</c:v>
                </c:pt>
                <c:pt idx="78">
                  <c:v>1139</c:v>
                </c:pt>
                <c:pt idx="79">
                  <c:v>1139</c:v>
                </c:pt>
                <c:pt idx="80">
                  <c:v>1139</c:v>
                </c:pt>
                <c:pt idx="81">
                  <c:v>1139</c:v>
                </c:pt>
                <c:pt idx="82">
                  <c:v>1141</c:v>
                </c:pt>
                <c:pt idx="83">
                  <c:v>1142</c:v>
                </c:pt>
                <c:pt idx="84">
                  <c:v>1142</c:v>
                </c:pt>
                <c:pt idx="85">
                  <c:v>1143</c:v>
                </c:pt>
                <c:pt idx="86">
                  <c:v>1144</c:v>
                </c:pt>
                <c:pt idx="87">
                  <c:v>1145</c:v>
                </c:pt>
                <c:pt idx="88">
                  <c:v>1145</c:v>
                </c:pt>
                <c:pt idx="89">
                  <c:v>1147</c:v>
                </c:pt>
                <c:pt idx="90">
                  <c:v>1004</c:v>
                </c:pt>
                <c:pt idx="91">
                  <c:v>1151</c:v>
                </c:pt>
                <c:pt idx="92">
                  <c:v>1153</c:v>
                </c:pt>
                <c:pt idx="93">
                  <c:v>1155</c:v>
                </c:pt>
                <c:pt idx="94">
                  <c:v>1156</c:v>
                </c:pt>
                <c:pt idx="95">
                  <c:v>1158</c:v>
                </c:pt>
                <c:pt idx="96">
                  <c:v>1161</c:v>
                </c:pt>
                <c:pt idx="97">
                  <c:v>1164</c:v>
                </c:pt>
                <c:pt idx="98">
                  <c:v>1167</c:v>
                </c:pt>
                <c:pt idx="99">
                  <c:v>1168</c:v>
                </c:pt>
                <c:pt idx="100">
                  <c:v>1170</c:v>
                </c:pt>
                <c:pt idx="101">
                  <c:v>1171</c:v>
                </c:pt>
                <c:pt idx="102">
                  <c:v>1179</c:v>
                </c:pt>
                <c:pt idx="103">
                  <c:v>1181</c:v>
                </c:pt>
                <c:pt idx="104">
                  <c:v>1181</c:v>
                </c:pt>
                <c:pt idx="105">
                  <c:v>1182</c:v>
                </c:pt>
                <c:pt idx="106">
                  <c:v>1183</c:v>
                </c:pt>
                <c:pt idx="107">
                  <c:v>1183</c:v>
                </c:pt>
                <c:pt idx="108">
                  <c:v>1184</c:v>
                </c:pt>
                <c:pt idx="109">
                  <c:v>1187</c:v>
                </c:pt>
                <c:pt idx="110">
                  <c:v>1188</c:v>
                </c:pt>
                <c:pt idx="111">
                  <c:v>1188</c:v>
                </c:pt>
                <c:pt idx="112">
                  <c:v>1190</c:v>
                </c:pt>
                <c:pt idx="113">
                  <c:v>1191</c:v>
                </c:pt>
                <c:pt idx="114">
                  <c:v>1193</c:v>
                </c:pt>
                <c:pt idx="115">
                  <c:v>1194</c:v>
                </c:pt>
                <c:pt idx="116">
                  <c:v>1194</c:v>
                </c:pt>
                <c:pt idx="117">
                  <c:v>1197</c:v>
                </c:pt>
                <c:pt idx="118">
                  <c:v>1197</c:v>
                </c:pt>
                <c:pt idx="119">
                  <c:v>1198</c:v>
                </c:pt>
                <c:pt idx="120">
                  <c:v>1198</c:v>
                </c:pt>
                <c:pt idx="121">
                  <c:v>1198</c:v>
                </c:pt>
                <c:pt idx="122">
                  <c:v>1199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1201</c:v>
                </c:pt>
                <c:pt idx="128">
                  <c:v>1202</c:v>
                </c:pt>
                <c:pt idx="129">
                  <c:v>1203</c:v>
                </c:pt>
                <c:pt idx="130">
                  <c:v>1203</c:v>
                </c:pt>
                <c:pt idx="131">
                  <c:v>1204</c:v>
                </c:pt>
                <c:pt idx="132">
                  <c:v>1204</c:v>
                </c:pt>
                <c:pt idx="133">
                  <c:v>1205</c:v>
                </c:pt>
                <c:pt idx="134">
                  <c:v>1207</c:v>
                </c:pt>
                <c:pt idx="135">
                  <c:v>1207</c:v>
                </c:pt>
                <c:pt idx="136">
                  <c:v>1208</c:v>
                </c:pt>
                <c:pt idx="137">
                  <c:v>1209</c:v>
                </c:pt>
                <c:pt idx="138">
                  <c:v>1211</c:v>
                </c:pt>
                <c:pt idx="139">
                  <c:v>1212</c:v>
                </c:pt>
                <c:pt idx="140">
                  <c:v>1212</c:v>
                </c:pt>
                <c:pt idx="141">
                  <c:v>1213</c:v>
                </c:pt>
                <c:pt idx="142">
                  <c:v>1214</c:v>
                </c:pt>
                <c:pt idx="143">
                  <c:v>1216</c:v>
                </c:pt>
                <c:pt idx="144">
                  <c:v>1217</c:v>
                </c:pt>
                <c:pt idx="145">
                  <c:v>1218</c:v>
                </c:pt>
                <c:pt idx="146">
                  <c:v>1219</c:v>
                </c:pt>
                <c:pt idx="147">
                  <c:v>1220</c:v>
                </c:pt>
                <c:pt idx="148">
                  <c:v>1220</c:v>
                </c:pt>
                <c:pt idx="149">
                  <c:v>1221</c:v>
                </c:pt>
                <c:pt idx="150">
                  <c:v>1221</c:v>
                </c:pt>
                <c:pt idx="151">
                  <c:v>1222</c:v>
                </c:pt>
                <c:pt idx="152">
                  <c:v>1222</c:v>
                </c:pt>
                <c:pt idx="153">
                  <c:v>1223</c:v>
                </c:pt>
                <c:pt idx="154">
                  <c:v>1224</c:v>
                </c:pt>
                <c:pt idx="155">
                  <c:v>1226</c:v>
                </c:pt>
                <c:pt idx="156">
                  <c:v>1227</c:v>
                </c:pt>
                <c:pt idx="157">
                  <c:v>1227</c:v>
                </c:pt>
                <c:pt idx="158">
                  <c:v>1227</c:v>
                </c:pt>
                <c:pt idx="159">
                  <c:v>1227</c:v>
                </c:pt>
                <c:pt idx="160">
                  <c:v>1227</c:v>
                </c:pt>
                <c:pt idx="161">
                  <c:v>1228</c:v>
                </c:pt>
                <c:pt idx="162">
                  <c:v>1229</c:v>
                </c:pt>
                <c:pt idx="163">
                  <c:v>1232</c:v>
                </c:pt>
                <c:pt idx="164">
                  <c:v>1232</c:v>
                </c:pt>
                <c:pt idx="165">
                  <c:v>1233</c:v>
                </c:pt>
                <c:pt idx="166">
                  <c:v>1234</c:v>
                </c:pt>
                <c:pt idx="167">
                  <c:v>1234</c:v>
                </c:pt>
                <c:pt idx="168">
                  <c:v>1237</c:v>
                </c:pt>
                <c:pt idx="169">
                  <c:v>1237</c:v>
                </c:pt>
                <c:pt idx="170">
                  <c:v>1238</c:v>
                </c:pt>
                <c:pt idx="171">
                  <c:v>1238</c:v>
                </c:pt>
                <c:pt idx="172">
                  <c:v>1238</c:v>
                </c:pt>
                <c:pt idx="173">
                  <c:v>1239</c:v>
                </c:pt>
                <c:pt idx="174">
                  <c:v>1240</c:v>
                </c:pt>
                <c:pt idx="175">
                  <c:v>1242</c:v>
                </c:pt>
                <c:pt idx="176">
                  <c:v>1243</c:v>
                </c:pt>
                <c:pt idx="177">
                  <c:v>1243</c:v>
                </c:pt>
                <c:pt idx="178">
                  <c:v>1243</c:v>
                </c:pt>
                <c:pt idx="179">
                  <c:v>1243</c:v>
                </c:pt>
                <c:pt idx="180">
                  <c:v>1244</c:v>
                </c:pt>
                <c:pt idx="181">
                  <c:v>1245</c:v>
                </c:pt>
                <c:pt idx="182">
                  <c:v>1246</c:v>
                </c:pt>
                <c:pt idx="183">
                  <c:v>1246</c:v>
                </c:pt>
                <c:pt idx="184">
                  <c:v>1246</c:v>
                </c:pt>
                <c:pt idx="185">
                  <c:v>1246</c:v>
                </c:pt>
                <c:pt idx="186">
                  <c:v>1247</c:v>
                </c:pt>
                <c:pt idx="187">
                  <c:v>1249</c:v>
                </c:pt>
                <c:pt idx="188">
                  <c:v>1250</c:v>
                </c:pt>
                <c:pt idx="189">
                  <c:v>1251</c:v>
                </c:pt>
                <c:pt idx="190">
                  <c:v>1252</c:v>
                </c:pt>
                <c:pt idx="191">
                  <c:v>1252</c:v>
                </c:pt>
                <c:pt idx="192">
                  <c:v>1252</c:v>
                </c:pt>
                <c:pt idx="193">
                  <c:v>1252</c:v>
                </c:pt>
                <c:pt idx="194">
                  <c:v>1253</c:v>
                </c:pt>
                <c:pt idx="195">
                  <c:v>1255</c:v>
                </c:pt>
                <c:pt idx="196">
                  <c:v>1255</c:v>
                </c:pt>
                <c:pt idx="197">
                  <c:v>1255</c:v>
                </c:pt>
                <c:pt idx="198">
                  <c:v>1255</c:v>
                </c:pt>
                <c:pt idx="199">
                  <c:v>1255</c:v>
                </c:pt>
                <c:pt idx="200">
                  <c:v>1255</c:v>
                </c:pt>
                <c:pt idx="201">
                  <c:v>1255</c:v>
                </c:pt>
                <c:pt idx="202">
                  <c:v>1255</c:v>
                </c:pt>
                <c:pt idx="203">
                  <c:v>1256</c:v>
                </c:pt>
                <c:pt idx="204">
                  <c:v>1256</c:v>
                </c:pt>
                <c:pt idx="205">
                  <c:v>1256</c:v>
                </c:pt>
                <c:pt idx="206">
                  <c:v>1257</c:v>
                </c:pt>
                <c:pt idx="207">
                  <c:v>1257</c:v>
                </c:pt>
                <c:pt idx="208">
                  <c:v>1258</c:v>
                </c:pt>
                <c:pt idx="209">
                  <c:v>1258</c:v>
                </c:pt>
                <c:pt idx="210">
                  <c:v>1259</c:v>
                </c:pt>
                <c:pt idx="211">
                  <c:v>1260</c:v>
                </c:pt>
                <c:pt idx="212">
                  <c:v>1261</c:v>
                </c:pt>
                <c:pt idx="213">
                  <c:v>1263</c:v>
                </c:pt>
                <c:pt idx="214">
                  <c:v>1263</c:v>
                </c:pt>
                <c:pt idx="215">
                  <c:v>1263</c:v>
                </c:pt>
                <c:pt idx="216">
                  <c:v>1264</c:v>
                </c:pt>
                <c:pt idx="217">
                  <c:v>1265</c:v>
                </c:pt>
                <c:pt idx="218">
                  <c:v>1265</c:v>
                </c:pt>
                <c:pt idx="219">
                  <c:v>1268</c:v>
                </c:pt>
                <c:pt idx="220">
                  <c:v>1268</c:v>
                </c:pt>
                <c:pt idx="221">
                  <c:v>1270</c:v>
                </c:pt>
                <c:pt idx="222">
                  <c:v>1272</c:v>
                </c:pt>
                <c:pt idx="223">
                  <c:v>1273</c:v>
                </c:pt>
                <c:pt idx="224">
                  <c:v>1273</c:v>
                </c:pt>
                <c:pt idx="225">
                  <c:v>1273</c:v>
                </c:pt>
                <c:pt idx="226">
                  <c:v>1274</c:v>
                </c:pt>
                <c:pt idx="227">
                  <c:v>1275</c:v>
                </c:pt>
                <c:pt idx="228">
                  <c:v>1276</c:v>
                </c:pt>
                <c:pt idx="229">
                  <c:v>1276</c:v>
                </c:pt>
                <c:pt idx="230">
                  <c:v>1278</c:v>
                </c:pt>
                <c:pt idx="231">
                  <c:v>1278</c:v>
                </c:pt>
                <c:pt idx="232">
                  <c:v>1278</c:v>
                </c:pt>
                <c:pt idx="233">
                  <c:v>1280</c:v>
                </c:pt>
                <c:pt idx="234">
                  <c:v>1282</c:v>
                </c:pt>
                <c:pt idx="235">
                  <c:v>1282</c:v>
                </c:pt>
                <c:pt idx="236">
                  <c:v>1282</c:v>
                </c:pt>
                <c:pt idx="237">
                  <c:v>1283</c:v>
                </c:pt>
                <c:pt idx="238">
                  <c:v>1285</c:v>
                </c:pt>
                <c:pt idx="239">
                  <c:v>1285</c:v>
                </c:pt>
                <c:pt idx="240">
                  <c:v>1286</c:v>
                </c:pt>
                <c:pt idx="241">
                  <c:v>1287</c:v>
                </c:pt>
                <c:pt idx="242">
                  <c:v>1288</c:v>
                </c:pt>
                <c:pt idx="243">
                  <c:v>1288</c:v>
                </c:pt>
                <c:pt idx="244">
                  <c:v>1288</c:v>
                </c:pt>
                <c:pt idx="245">
                  <c:v>1289</c:v>
                </c:pt>
                <c:pt idx="246">
                  <c:v>1289</c:v>
                </c:pt>
                <c:pt idx="247">
                  <c:v>1289</c:v>
                </c:pt>
                <c:pt idx="248">
                  <c:v>1292</c:v>
                </c:pt>
                <c:pt idx="249">
                  <c:v>1293</c:v>
                </c:pt>
                <c:pt idx="250">
                  <c:v>1293</c:v>
                </c:pt>
                <c:pt idx="251">
                  <c:v>1293</c:v>
                </c:pt>
                <c:pt idx="252">
                  <c:v>1294</c:v>
                </c:pt>
                <c:pt idx="253">
                  <c:v>1295</c:v>
                </c:pt>
                <c:pt idx="254">
                  <c:v>1295</c:v>
                </c:pt>
                <c:pt idx="255">
                  <c:v>1295</c:v>
                </c:pt>
                <c:pt idx="256">
                  <c:v>1296</c:v>
                </c:pt>
                <c:pt idx="257">
                  <c:v>1296</c:v>
                </c:pt>
                <c:pt idx="258">
                  <c:v>1297</c:v>
                </c:pt>
                <c:pt idx="259">
                  <c:v>1298</c:v>
                </c:pt>
                <c:pt idx="260">
                  <c:v>1298</c:v>
                </c:pt>
                <c:pt idx="261">
                  <c:v>1299</c:v>
                </c:pt>
                <c:pt idx="262">
                  <c:v>1299</c:v>
                </c:pt>
                <c:pt idx="263">
                  <c:v>1299</c:v>
                </c:pt>
                <c:pt idx="264">
                  <c:v>1299</c:v>
                </c:pt>
                <c:pt idx="265">
                  <c:v>1300</c:v>
                </c:pt>
                <c:pt idx="266">
                  <c:v>1302</c:v>
                </c:pt>
                <c:pt idx="267">
                  <c:v>1302</c:v>
                </c:pt>
                <c:pt idx="268">
                  <c:v>1303</c:v>
                </c:pt>
                <c:pt idx="269">
                  <c:v>1304</c:v>
                </c:pt>
                <c:pt idx="270">
                  <c:v>1304</c:v>
                </c:pt>
                <c:pt idx="271">
                  <c:v>1304</c:v>
                </c:pt>
                <c:pt idx="272">
                  <c:v>1305</c:v>
                </c:pt>
                <c:pt idx="273">
                  <c:v>1305</c:v>
                </c:pt>
                <c:pt idx="274">
                  <c:v>1307</c:v>
                </c:pt>
                <c:pt idx="275">
                  <c:v>1307</c:v>
                </c:pt>
                <c:pt idx="276">
                  <c:v>1309</c:v>
                </c:pt>
                <c:pt idx="277">
                  <c:v>1310</c:v>
                </c:pt>
                <c:pt idx="278">
                  <c:v>1310</c:v>
                </c:pt>
                <c:pt idx="279">
                  <c:v>1312</c:v>
                </c:pt>
                <c:pt idx="280">
                  <c:v>1313</c:v>
                </c:pt>
                <c:pt idx="281">
                  <c:v>1315</c:v>
                </c:pt>
                <c:pt idx="282">
                  <c:v>1315</c:v>
                </c:pt>
                <c:pt idx="283">
                  <c:v>1315</c:v>
                </c:pt>
                <c:pt idx="284">
                  <c:v>1316</c:v>
                </c:pt>
                <c:pt idx="285">
                  <c:v>1316</c:v>
                </c:pt>
                <c:pt idx="286">
                  <c:v>1317</c:v>
                </c:pt>
                <c:pt idx="287">
                  <c:v>1317</c:v>
                </c:pt>
                <c:pt idx="288">
                  <c:v>1318</c:v>
                </c:pt>
                <c:pt idx="289">
                  <c:v>1321</c:v>
                </c:pt>
                <c:pt idx="290">
                  <c:v>1326</c:v>
                </c:pt>
                <c:pt idx="291">
                  <c:v>1326</c:v>
                </c:pt>
                <c:pt idx="292">
                  <c:v>1326</c:v>
                </c:pt>
                <c:pt idx="293">
                  <c:v>1328</c:v>
                </c:pt>
                <c:pt idx="294">
                  <c:v>1330</c:v>
                </c:pt>
                <c:pt idx="295">
                  <c:v>1332</c:v>
                </c:pt>
                <c:pt idx="296">
                  <c:v>1332</c:v>
                </c:pt>
                <c:pt idx="297">
                  <c:v>1333</c:v>
                </c:pt>
                <c:pt idx="298">
                  <c:v>1333</c:v>
                </c:pt>
                <c:pt idx="299">
                  <c:v>1333</c:v>
                </c:pt>
                <c:pt idx="300">
                  <c:v>1334</c:v>
                </c:pt>
                <c:pt idx="301">
                  <c:v>1334</c:v>
                </c:pt>
                <c:pt idx="302">
                  <c:v>1336</c:v>
                </c:pt>
                <c:pt idx="303">
                  <c:v>1338</c:v>
                </c:pt>
                <c:pt idx="304">
                  <c:v>1338</c:v>
                </c:pt>
                <c:pt idx="305">
                  <c:v>1338</c:v>
                </c:pt>
                <c:pt idx="306">
                  <c:v>1339</c:v>
                </c:pt>
                <c:pt idx="307">
                  <c:v>1340</c:v>
                </c:pt>
                <c:pt idx="308">
                  <c:v>1340</c:v>
                </c:pt>
                <c:pt idx="309">
                  <c:v>1342</c:v>
                </c:pt>
                <c:pt idx="310">
                  <c:v>1342</c:v>
                </c:pt>
                <c:pt idx="311">
                  <c:v>1342</c:v>
                </c:pt>
                <c:pt idx="312">
                  <c:v>1342</c:v>
                </c:pt>
                <c:pt idx="313">
                  <c:v>1342</c:v>
                </c:pt>
                <c:pt idx="314">
                  <c:v>1343</c:v>
                </c:pt>
                <c:pt idx="315">
                  <c:v>1344</c:v>
                </c:pt>
                <c:pt idx="316">
                  <c:v>1344</c:v>
                </c:pt>
                <c:pt idx="317">
                  <c:v>1344</c:v>
                </c:pt>
                <c:pt idx="318">
                  <c:v>1344</c:v>
                </c:pt>
                <c:pt idx="319">
                  <c:v>1345</c:v>
                </c:pt>
                <c:pt idx="320">
                  <c:v>1346</c:v>
                </c:pt>
                <c:pt idx="321">
                  <c:v>1348</c:v>
                </c:pt>
                <c:pt idx="322">
                  <c:v>1349</c:v>
                </c:pt>
                <c:pt idx="323">
                  <c:v>1349</c:v>
                </c:pt>
                <c:pt idx="324">
                  <c:v>1349</c:v>
                </c:pt>
                <c:pt idx="325">
                  <c:v>1349</c:v>
                </c:pt>
                <c:pt idx="326">
                  <c:v>1350</c:v>
                </c:pt>
                <c:pt idx="327">
                  <c:v>1350</c:v>
                </c:pt>
                <c:pt idx="328">
                  <c:v>1352</c:v>
                </c:pt>
                <c:pt idx="329">
                  <c:v>1356</c:v>
                </c:pt>
                <c:pt idx="330">
                  <c:v>1356</c:v>
                </c:pt>
                <c:pt idx="331">
                  <c:v>1357</c:v>
                </c:pt>
                <c:pt idx="332">
                  <c:v>1358</c:v>
                </c:pt>
                <c:pt idx="333">
                  <c:v>1358</c:v>
                </c:pt>
                <c:pt idx="334">
                  <c:v>1360</c:v>
                </c:pt>
                <c:pt idx="335">
                  <c:v>1362</c:v>
                </c:pt>
                <c:pt idx="336">
                  <c:v>1363</c:v>
                </c:pt>
                <c:pt idx="337">
                  <c:v>1364</c:v>
                </c:pt>
                <c:pt idx="338">
                  <c:v>1364</c:v>
                </c:pt>
                <c:pt idx="339">
                  <c:v>1367</c:v>
                </c:pt>
                <c:pt idx="340">
                  <c:v>1368</c:v>
                </c:pt>
                <c:pt idx="341">
                  <c:v>1368</c:v>
                </c:pt>
                <c:pt idx="342">
                  <c:v>1372</c:v>
                </c:pt>
                <c:pt idx="343">
                  <c:v>1372</c:v>
                </c:pt>
                <c:pt idx="344">
                  <c:v>1373</c:v>
                </c:pt>
                <c:pt idx="345">
                  <c:v>1374</c:v>
                </c:pt>
                <c:pt idx="346">
                  <c:v>1374</c:v>
                </c:pt>
                <c:pt idx="347">
                  <c:v>1377</c:v>
                </c:pt>
                <c:pt idx="348">
                  <c:v>1378</c:v>
                </c:pt>
                <c:pt idx="349">
                  <c:v>1379</c:v>
                </c:pt>
                <c:pt idx="350">
                  <c:v>1380</c:v>
                </c:pt>
                <c:pt idx="351">
                  <c:v>1380</c:v>
                </c:pt>
                <c:pt idx="352">
                  <c:v>1381</c:v>
                </c:pt>
                <c:pt idx="353">
                  <c:v>1381</c:v>
                </c:pt>
                <c:pt idx="354">
                  <c:v>1382</c:v>
                </c:pt>
                <c:pt idx="355">
                  <c:v>1383</c:v>
                </c:pt>
                <c:pt idx="356">
                  <c:v>1384</c:v>
                </c:pt>
                <c:pt idx="357">
                  <c:v>1385</c:v>
                </c:pt>
                <c:pt idx="358">
                  <c:v>1386</c:v>
                </c:pt>
                <c:pt idx="359">
                  <c:v>1390</c:v>
                </c:pt>
                <c:pt idx="360">
                  <c:v>1390</c:v>
                </c:pt>
                <c:pt idx="361">
                  <c:v>1391</c:v>
                </c:pt>
                <c:pt idx="362">
                  <c:v>1392</c:v>
                </c:pt>
                <c:pt idx="363">
                  <c:v>1393</c:v>
                </c:pt>
                <c:pt idx="364">
                  <c:v>1395</c:v>
                </c:pt>
                <c:pt idx="365">
                  <c:v>1395</c:v>
                </c:pt>
                <c:pt idx="366">
                  <c:v>1396</c:v>
                </c:pt>
                <c:pt idx="367">
                  <c:v>1398</c:v>
                </c:pt>
                <c:pt idx="368">
                  <c:v>1398</c:v>
                </c:pt>
                <c:pt idx="369">
                  <c:v>1399</c:v>
                </c:pt>
                <c:pt idx="370">
                  <c:v>1400</c:v>
                </c:pt>
                <c:pt idx="371">
                  <c:v>1401</c:v>
                </c:pt>
                <c:pt idx="372">
                  <c:v>1401</c:v>
                </c:pt>
                <c:pt idx="373">
                  <c:v>1403</c:v>
                </c:pt>
                <c:pt idx="374">
                  <c:v>1404</c:v>
                </c:pt>
                <c:pt idx="375">
                  <c:v>1405</c:v>
                </c:pt>
                <c:pt idx="376">
                  <c:v>1407</c:v>
                </c:pt>
                <c:pt idx="377">
                  <c:v>1408</c:v>
                </c:pt>
                <c:pt idx="378">
                  <c:v>1408</c:v>
                </c:pt>
                <c:pt idx="379">
                  <c:v>1410</c:v>
                </c:pt>
                <c:pt idx="380">
                  <c:v>1414</c:v>
                </c:pt>
                <c:pt idx="381">
                  <c:v>1416</c:v>
                </c:pt>
                <c:pt idx="382">
                  <c:v>1418</c:v>
                </c:pt>
                <c:pt idx="383">
                  <c:v>1422</c:v>
                </c:pt>
                <c:pt idx="384">
                  <c:v>1422</c:v>
                </c:pt>
                <c:pt idx="385">
                  <c:v>1422</c:v>
                </c:pt>
                <c:pt idx="386">
                  <c:v>1426</c:v>
                </c:pt>
                <c:pt idx="387">
                  <c:v>1430</c:v>
                </c:pt>
                <c:pt idx="388">
                  <c:v>1430</c:v>
                </c:pt>
                <c:pt idx="389">
                  <c:v>1433</c:v>
                </c:pt>
                <c:pt idx="390">
                  <c:v>1434</c:v>
                </c:pt>
                <c:pt idx="391">
                  <c:v>1434</c:v>
                </c:pt>
                <c:pt idx="392">
                  <c:v>1436</c:v>
                </c:pt>
                <c:pt idx="393">
                  <c:v>1442</c:v>
                </c:pt>
                <c:pt idx="394">
                  <c:v>1443</c:v>
                </c:pt>
                <c:pt idx="395">
                  <c:v>1444</c:v>
                </c:pt>
                <c:pt idx="396">
                  <c:v>1444</c:v>
                </c:pt>
                <c:pt idx="397">
                  <c:v>1448</c:v>
                </c:pt>
                <c:pt idx="398">
                  <c:v>1450</c:v>
                </c:pt>
                <c:pt idx="399">
                  <c:v>1451</c:v>
                </c:pt>
                <c:pt idx="400">
                  <c:v>1452</c:v>
                </c:pt>
                <c:pt idx="401">
                  <c:v>1456</c:v>
                </c:pt>
                <c:pt idx="402">
                  <c:v>1456</c:v>
                </c:pt>
                <c:pt idx="403">
                  <c:v>1456</c:v>
                </c:pt>
                <c:pt idx="404">
                  <c:v>1458</c:v>
                </c:pt>
                <c:pt idx="405">
                  <c:v>1467</c:v>
                </c:pt>
                <c:pt idx="406">
                  <c:v>1468</c:v>
                </c:pt>
                <c:pt idx="407">
                  <c:v>1471</c:v>
                </c:pt>
                <c:pt idx="408">
                  <c:v>1476</c:v>
                </c:pt>
                <c:pt idx="409">
                  <c:v>1476</c:v>
                </c:pt>
                <c:pt idx="410">
                  <c:v>1479</c:v>
                </c:pt>
                <c:pt idx="411">
                  <c:v>1482</c:v>
                </c:pt>
                <c:pt idx="412">
                  <c:v>1483</c:v>
                </c:pt>
                <c:pt idx="413">
                  <c:v>1493</c:v>
                </c:pt>
                <c:pt idx="414">
                  <c:v>1494</c:v>
                </c:pt>
                <c:pt idx="415">
                  <c:v>1499</c:v>
                </c:pt>
                <c:pt idx="416">
                  <c:v>1501</c:v>
                </c:pt>
                <c:pt idx="417">
                  <c:v>1511</c:v>
                </c:pt>
                <c:pt idx="418">
                  <c:v>1511</c:v>
                </c:pt>
                <c:pt idx="419">
                  <c:v>1531</c:v>
                </c:pt>
                <c:pt idx="420">
                  <c:v>1540</c:v>
                </c:pt>
                <c:pt idx="421">
                  <c:v>1542</c:v>
                </c:pt>
                <c:pt idx="422">
                  <c:v>1550</c:v>
                </c:pt>
                <c:pt idx="423">
                  <c:v>1561</c:v>
                </c:pt>
                <c:pt idx="424">
                  <c:v>1583</c:v>
                </c:pt>
                <c:pt idx="425">
                  <c:v>1596</c:v>
                </c:pt>
                <c:pt idx="426">
                  <c:v>1618</c:v>
                </c:pt>
                <c:pt idx="427">
                  <c:v>1633</c:v>
                </c:pt>
                <c:pt idx="428">
                  <c:v>1637</c:v>
                </c:pt>
                <c:pt idx="429">
                  <c:v>1638</c:v>
                </c:pt>
                <c:pt idx="430">
                  <c:v>1649</c:v>
                </c:pt>
                <c:pt idx="431">
                  <c:v>1657</c:v>
                </c:pt>
                <c:pt idx="432">
                  <c:v>1658</c:v>
                </c:pt>
                <c:pt idx="433">
                  <c:v>1660</c:v>
                </c:pt>
                <c:pt idx="434">
                  <c:v>1668</c:v>
                </c:pt>
                <c:pt idx="435">
                  <c:v>1669</c:v>
                </c:pt>
                <c:pt idx="436">
                  <c:v>1669</c:v>
                </c:pt>
                <c:pt idx="437">
                  <c:v>1679</c:v>
                </c:pt>
                <c:pt idx="438">
                  <c:v>1684</c:v>
                </c:pt>
                <c:pt idx="439">
                  <c:v>1684</c:v>
                </c:pt>
                <c:pt idx="440">
                  <c:v>1686</c:v>
                </c:pt>
                <c:pt idx="441">
                  <c:v>1710</c:v>
                </c:pt>
                <c:pt idx="442">
                  <c:v>1711</c:v>
                </c:pt>
                <c:pt idx="443">
                  <c:v>1724</c:v>
                </c:pt>
                <c:pt idx="444">
                  <c:v>1734</c:v>
                </c:pt>
                <c:pt idx="445">
                  <c:v>1853</c:v>
                </c:pt>
                <c:pt idx="446">
                  <c:v>1889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solidFill>
              <a:srgbClr val="ED7D31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temporalBoundaries!$A$16:$A$470</c:f>
              <c:numCache>
                <c:formatCode>General</c:formatCode>
                <c:ptCount val="455"/>
              </c:numCache>
            </c:numRef>
          </c:xVal>
          <c:yVal>
            <c:numRef>
              <c:f>temporalBoundaries!$C$16:$C$470</c:f>
              <c:numCache>
                <c:formatCode>General</c:formatCode>
                <c:ptCount val="455"/>
                <c:pt idx="0">
                  <c:v>1686</c:v>
                </c:pt>
                <c:pt idx="1">
                  <c:v>1398</c:v>
                </c:pt>
                <c:pt idx="2">
                  <c:v>1395</c:v>
                </c:pt>
                <c:pt idx="3">
                  <c:v>1631</c:v>
                </c:pt>
                <c:pt idx="4">
                  <c:v>1398</c:v>
                </c:pt>
                <c:pt idx="5">
                  <c:v>1717</c:v>
                </c:pt>
                <c:pt idx="6">
                  <c:v>1398</c:v>
                </c:pt>
                <c:pt idx="7">
                  <c:v>1377</c:v>
                </c:pt>
                <c:pt idx="8">
                  <c:v>1398</c:v>
                </c:pt>
                <c:pt idx="9">
                  <c:v>1948</c:v>
                </c:pt>
                <c:pt idx="10">
                  <c:v>1600</c:v>
                </c:pt>
                <c:pt idx="11">
                  <c:v>1784</c:v>
                </c:pt>
                <c:pt idx="12">
                  <c:v>1717</c:v>
                </c:pt>
                <c:pt idx="13">
                  <c:v>1801</c:v>
                </c:pt>
                <c:pt idx="14">
                  <c:v>1002</c:v>
                </c:pt>
                <c:pt idx="15">
                  <c:v>1730</c:v>
                </c:pt>
                <c:pt idx="16">
                  <c:v>1981</c:v>
                </c:pt>
                <c:pt idx="17">
                  <c:v>1908</c:v>
                </c:pt>
                <c:pt idx="18">
                  <c:v>1486</c:v>
                </c:pt>
                <c:pt idx="19">
                  <c:v>1761</c:v>
                </c:pt>
                <c:pt idx="20">
                  <c:v>1398</c:v>
                </c:pt>
                <c:pt idx="21">
                  <c:v>1801</c:v>
                </c:pt>
                <c:pt idx="22">
                  <c:v>1398</c:v>
                </c:pt>
                <c:pt idx="23">
                  <c:v>1717</c:v>
                </c:pt>
                <c:pt idx="24">
                  <c:v>1394</c:v>
                </c:pt>
                <c:pt idx="25">
                  <c:v>1398</c:v>
                </c:pt>
                <c:pt idx="26">
                  <c:v>1680</c:v>
                </c:pt>
                <c:pt idx="27">
                  <c:v>1397</c:v>
                </c:pt>
                <c:pt idx="28">
                  <c:v>1760</c:v>
                </c:pt>
                <c:pt idx="29">
                  <c:v>1397</c:v>
                </c:pt>
                <c:pt idx="30">
                  <c:v>1908</c:v>
                </c:pt>
                <c:pt idx="31">
                  <c:v>1398</c:v>
                </c:pt>
                <c:pt idx="32">
                  <c:v>1801</c:v>
                </c:pt>
                <c:pt idx="33">
                  <c:v>1522</c:v>
                </c:pt>
                <c:pt idx="34">
                  <c:v>1397</c:v>
                </c:pt>
                <c:pt idx="35">
                  <c:v>1398</c:v>
                </c:pt>
                <c:pt idx="36">
                  <c:v>1951</c:v>
                </c:pt>
                <c:pt idx="37">
                  <c:v>1802</c:v>
                </c:pt>
                <c:pt idx="38">
                  <c:v>1298</c:v>
                </c:pt>
                <c:pt idx="39">
                  <c:v>1390</c:v>
                </c:pt>
                <c:pt idx="40">
                  <c:v>1396</c:v>
                </c:pt>
                <c:pt idx="41">
                  <c:v>1526</c:v>
                </c:pt>
                <c:pt idx="42">
                  <c:v>1483</c:v>
                </c:pt>
                <c:pt idx="43">
                  <c:v>1801</c:v>
                </c:pt>
                <c:pt idx="44">
                  <c:v>1400</c:v>
                </c:pt>
                <c:pt idx="45">
                  <c:v>1478</c:v>
                </c:pt>
                <c:pt idx="46">
                  <c:v>1403</c:v>
                </c:pt>
                <c:pt idx="47">
                  <c:v>1516</c:v>
                </c:pt>
                <c:pt idx="48">
                  <c:v>1222</c:v>
                </c:pt>
                <c:pt idx="49">
                  <c:v>1658</c:v>
                </c:pt>
                <c:pt idx="50">
                  <c:v>1820</c:v>
                </c:pt>
                <c:pt idx="51">
                  <c:v>1666</c:v>
                </c:pt>
                <c:pt idx="52">
                  <c:v>1397</c:v>
                </c:pt>
                <c:pt idx="53">
                  <c:v>1699</c:v>
                </c:pt>
                <c:pt idx="54">
                  <c:v>1564</c:v>
                </c:pt>
                <c:pt idx="55">
                  <c:v>1802</c:v>
                </c:pt>
                <c:pt idx="56">
                  <c:v>1780</c:v>
                </c:pt>
                <c:pt idx="57">
                  <c:v>1601</c:v>
                </c:pt>
                <c:pt idx="58">
                  <c:v>1397</c:v>
                </c:pt>
                <c:pt idx="59">
                  <c:v>1612</c:v>
                </c:pt>
                <c:pt idx="60">
                  <c:v>1959</c:v>
                </c:pt>
                <c:pt idx="61">
                  <c:v>1852</c:v>
                </c:pt>
                <c:pt idx="62">
                  <c:v>1792</c:v>
                </c:pt>
                <c:pt idx="63">
                  <c:v>1797</c:v>
                </c:pt>
                <c:pt idx="64">
                  <c:v>1526</c:v>
                </c:pt>
                <c:pt idx="65">
                  <c:v>1650</c:v>
                </c:pt>
                <c:pt idx="66">
                  <c:v>1588</c:v>
                </c:pt>
                <c:pt idx="67">
                  <c:v>1556</c:v>
                </c:pt>
                <c:pt idx="68">
                  <c:v>1398</c:v>
                </c:pt>
                <c:pt idx="69">
                  <c:v>1641</c:v>
                </c:pt>
                <c:pt idx="70">
                  <c:v>1378</c:v>
                </c:pt>
                <c:pt idx="71">
                  <c:v>1796</c:v>
                </c:pt>
                <c:pt idx="72">
                  <c:v>1457</c:v>
                </c:pt>
                <c:pt idx="73">
                  <c:v>1800</c:v>
                </c:pt>
                <c:pt idx="74">
                  <c:v>1857</c:v>
                </c:pt>
                <c:pt idx="75">
                  <c:v>1396</c:v>
                </c:pt>
                <c:pt idx="76">
                  <c:v>1797</c:v>
                </c:pt>
                <c:pt idx="77">
                  <c:v>1389</c:v>
                </c:pt>
                <c:pt idx="78">
                  <c:v>1806</c:v>
                </c:pt>
                <c:pt idx="79">
                  <c:v>1139</c:v>
                </c:pt>
                <c:pt idx="80">
                  <c:v>1791</c:v>
                </c:pt>
                <c:pt idx="81">
                  <c:v>1774</c:v>
                </c:pt>
                <c:pt idx="82">
                  <c:v>1397</c:v>
                </c:pt>
                <c:pt idx="83">
                  <c:v>1398</c:v>
                </c:pt>
                <c:pt idx="84">
                  <c:v>1397</c:v>
                </c:pt>
                <c:pt idx="85">
                  <c:v>1484</c:v>
                </c:pt>
                <c:pt idx="86">
                  <c:v>1788</c:v>
                </c:pt>
                <c:pt idx="87">
                  <c:v>1397</c:v>
                </c:pt>
                <c:pt idx="88">
                  <c:v>1523</c:v>
                </c:pt>
                <c:pt idx="89">
                  <c:v>1785</c:v>
                </c:pt>
                <c:pt idx="90">
                  <c:v>1597</c:v>
                </c:pt>
                <c:pt idx="91">
                  <c:v>1795</c:v>
                </c:pt>
                <c:pt idx="92">
                  <c:v>1398</c:v>
                </c:pt>
                <c:pt idx="93">
                  <c:v>1436</c:v>
                </c:pt>
                <c:pt idx="94">
                  <c:v>1488</c:v>
                </c:pt>
                <c:pt idx="95">
                  <c:v>1794</c:v>
                </c:pt>
                <c:pt idx="96">
                  <c:v>1600</c:v>
                </c:pt>
                <c:pt idx="97">
                  <c:v>1731</c:v>
                </c:pt>
                <c:pt idx="98">
                  <c:v>1501</c:v>
                </c:pt>
                <c:pt idx="99">
                  <c:v>1783</c:v>
                </c:pt>
                <c:pt idx="100">
                  <c:v>1550</c:v>
                </c:pt>
                <c:pt idx="101">
                  <c:v>1489</c:v>
                </c:pt>
                <c:pt idx="102">
                  <c:v>1600</c:v>
                </c:pt>
                <c:pt idx="103">
                  <c:v>1398</c:v>
                </c:pt>
                <c:pt idx="104">
                  <c:v>1453</c:v>
                </c:pt>
                <c:pt idx="105">
                  <c:v>1368</c:v>
                </c:pt>
                <c:pt idx="106">
                  <c:v>1394</c:v>
                </c:pt>
                <c:pt idx="107">
                  <c:v>1869</c:v>
                </c:pt>
                <c:pt idx="108">
                  <c:v>1392</c:v>
                </c:pt>
                <c:pt idx="109">
                  <c:v>1496</c:v>
                </c:pt>
                <c:pt idx="110">
                  <c:v>1992</c:v>
                </c:pt>
                <c:pt idx="111">
                  <c:v>1488</c:v>
                </c:pt>
                <c:pt idx="112">
                  <c:v>1798</c:v>
                </c:pt>
                <c:pt idx="113">
                  <c:v>1397</c:v>
                </c:pt>
                <c:pt idx="114">
                  <c:v>1550</c:v>
                </c:pt>
                <c:pt idx="115">
                  <c:v>1803</c:v>
                </c:pt>
                <c:pt idx="116">
                  <c:v>1395</c:v>
                </c:pt>
                <c:pt idx="117">
                  <c:v>1394</c:v>
                </c:pt>
                <c:pt idx="118">
                  <c:v>1908</c:v>
                </c:pt>
                <c:pt idx="119">
                  <c:v>1398</c:v>
                </c:pt>
                <c:pt idx="120">
                  <c:v>1819</c:v>
                </c:pt>
                <c:pt idx="121">
                  <c:v>1198</c:v>
                </c:pt>
                <c:pt idx="122">
                  <c:v>1393</c:v>
                </c:pt>
                <c:pt idx="123">
                  <c:v>1796</c:v>
                </c:pt>
                <c:pt idx="124">
                  <c:v>1782</c:v>
                </c:pt>
                <c:pt idx="125">
                  <c:v>1398</c:v>
                </c:pt>
                <c:pt idx="126">
                  <c:v>1397</c:v>
                </c:pt>
                <c:pt idx="127">
                  <c:v>1523</c:v>
                </c:pt>
                <c:pt idx="128">
                  <c:v>1460</c:v>
                </c:pt>
                <c:pt idx="129">
                  <c:v>1396</c:v>
                </c:pt>
                <c:pt idx="130">
                  <c:v>1520</c:v>
                </c:pt>
                <c:pt idx="131">
                  <c:v>1600</c:v>
                </c:pt>
                <c:pt idx="132">
                  <c:v>1398</c:v>
                </c:pt>
                <c:pt idx="133">
                  <c:v>1580</c:v>
                </c:pt>
                <c:pt idx="134">
                  <c:v>1486</c:v>
                </c:pt>
                <c:pt idx="135">
                  <c:v>1393</c:v>
                </c:pt>
                <c:pt idx="136">
                  <c:v>1398</c:v>
                </c:pt>
                <c:pt idx="137">
                  <c:v>1782</c:v>
                </c:pt>
                <c:pt idx="138">
                  <c:v>1393</c:v>
                </c:pt>
                <c:pt idx="139">
                  <c:v>1704</c:v>
                </c:pt>
                <c:pt idx="140">
                  <c:v>1392</c:v>
                </c:pt>
                <c:pt idx="141">
                  <c:v>1526</c:v>
                </c:pt>
                <c:pt idx="142">
                  <c:v>1800</c:v>
                </c:pt>
                <c:pt idx="143">
                  <c:v>1394</c:v>
                </c:pt>
                <c:pt idx="144">
                  <c:v>1516</c:v>
                </c:pt>
                <c:pt idx="145">
                  <c:v>1398</c:v>
                </c:pt>
                <c:pt idx="146">
                  <c:v>1797</c:v>
                </c:pt>
                <c:pt idx="147">
                  <c:v>1325</c:v>
                </c:pt>
                <c:pt idx="148">
                  <c:v>1372</c:v>
                </c:pt>
                <c:pt idx="149">
                  <c:v>1395</c:v>
                </c:pt>
                <c:pt idx="150">
                  <c:v>1396</c:v>
                </c:pt>
                <c:pt idx="151">
                  <c:v>1466</c:v>
                </c:pt>
                <c:pt idx="152">
                  <c:v>1502</c:v>
                </c:pt>
                <c:pt idx="153">
                  <c:v>1223</c:v>
                </c:pt>
                <c:pt idx="154">
                  <c:v>1396</c:v>
                </c:pt>
                <c:pt idx="155">
                  <c:v>1521</c:v>
                </c:pt>
                <c:pt idx="156">
                  <c:v>1380</c:v>
                </c:pt>
                <c:pt idx="157">
                  <c:v>1526</c:v>
                </c:pt>
                <c:pt idx="158">
                  <c:v>1719</c:v>
                </c:pt>
                <c:pt idx="159">
                  <c:v>1391</c:v>
                </c:pt>
                <c:pt idx="160">
                  <c:v>1394</c:v>
                </c:pt>
                <c:pt idx="161">
                  <c:v>1793</c:v>
                </c:pt>
                <c:pt idx="162">
                  <c:v>1970</c:v>
                </c:pt>
                <c:pt idx="163">
                  <c:v>1256</c:v>
                </c:pt>
                <c:pt idx="164">
                  <c:v>1781</c:v>
                </c:pt>
                <c:pt idx="165">
                  <c:v>1853</c:v>
                </c:pt>
                <c:pt idx="166">
                  <c:v>1528</c:v>
                </c:pt>
                <c:pt idx="167">
                  <c:v>1417</c:v>
                </c:pt>
                <c:pt idx="168">
                  <c:v>1387</c:v>
                </c:pt>
                <c:pt idx="169">
                  <c:v>1799</c:v>
                </c:pt>
                <c:pt idx="170">
                  <c:v>1393</c:v>
                </c:pt>
                <c:pt idx="171">
                  <c:v>1392</c:v>
                </c:pt>
                <c:pt idx="172">
                  <c:v>1514</c:v>
                </c:pt>
                <c:pt idx="173">
                  <c:v>1697</c:v>
                </c:pt>
                <c:pt idx="174">
                  <c:v>1240</c:v>
                </c:pt>
                <c:pt idx="175">
                  <c:v>1394</c:v>
                </c:pt>
                <c:pt idx="176">
                  <c:v>1765</c:v>
                </c:pt>
                <c:pt idx="177">
                  <c:v>1398</c:v>
                </c:pt>
                <c:pt idx="178">
                  <c:v>1461</c:v>
                </c:pt>
                <c:pt idx="179">
                  <c:v>1398</c:v>
                </c:pt>
                <c:pt idx="180">
                  <c:v>1552</c:v>
                </c:pt>
                <c:pt idx="181">
                  <c:v>1245</c:v>
                </c:pt>
                <c:pt idx="182">
                  <c:v>1394</c:v>
                </c:pt>
                <c:pt idx="183">
                  <c:v>1786</c:v>
                </c:pt>
                <c:pt idx="184">
                  <c:v>1525</c:v>
                </c:pt>
                <c:pt idx="185">
                  <c:v>1526</c:v>
                </c:pt>
                <c:pt idx="186">
                  <c:v>1418</c:v>
                </c:pt>
                <c:pt idx="187">
                  <c:v>1297</c:v>
                </c:pt>
                <c:pt idx="188">
                  <c:v>1670</c:v>
                </c:pt>
                <c:pt idx="189">
                  <c:v>1396</c:v>
                </c:pt>
                <c:pt idx="190">
                  <c:v>1252</c:v>
                </c:pt>
                <c:pt idx="191">
                  <c:v>1260</c:v>
                </c:pt>
                <c:pt idx="192">
                  <c:v>1317</c:v>
                </c:pt>
                <c:pt idx="193">
                  <c:v>1629</c:v>
                </c:pt>
                <c:pt idx="194">
                  <c:v>1568</c:v>
                </c:pt>
                <c:pt idx="195">
                  <c:v>1392</c:v>
                </c:pt>
                <c:pt idx="196">
                  <c:v>1372</c:v>
                </c:pt>
                <c:pt idx="197">
                  <c:v>1397</c:v>
                </c:pt>
                <c:pt idx="198">
                  <c:v>1480</c:v>
                </c:pt>
                <c:pt idx="199">
                  <c:v>1861</c:v>
                </c:pt>
                <c:pt idx="200">
                  <c:v>1397</c:v>
                </c:pt>
                <c:pt idx="201">
                  <c:v>1398</c:v>
                </c:pt>
                <c:pt idx="202">
                  <c:v>1735</c:v>
                </c:pt>
                <c:pt idx="203">
                  <c:v>1760</c:v>
                </c:pt>
                <c:pt idx="204">
                  <c:v>1523</c:v>
                </c:pt>
                <c:pt idx="205">
                  <c:v>1752</c:v>
                </c:pt>
                <c:pt idx="206">
                  <c:v>1257</c:v>
                </c:pt>
                <c:pt idx="207">
                  <c:v>1799</c:v>
                </c:pt>
                <c:pt idx="208">
                  <c:v>1289</c:v>
                </c:pt>
                <c:pt idx="209">
                  <c:v>1841</c:v>
                </c:pt>
                <c:pt idx="210">
                  <c:v>1631</c:v>
                </c:pt>
                <c:pt idx="211">
                  <c:v>1379</c:v>
                </c:pt>
                <c:pt idx="212">
                  <c:v>1398</c:v>
                </c:pt>
                <c:pt idx="213">
                  <c:v>1397</c:v>
                </c:pt>
                <c:pt idx="214">
                  <c:v>1488</c:v>
                </c:pt>
                <c:pt idx="215">
                  <c:v>1840</c:v>
                </c:pt>
                <c:pt idx="216">
                  <c:v>1776</c:v>
                </c:pt>
                <c:pt idx="217">
                  <c:v>1640</c:v>
                </c:pt>
                <c:pt idx="218">
                  <c:v>1398</c:v>
                </c:pt>
                <c:pt idx="219">
                  <c:v>1791</c:v>
                </c:pt>
                <c:pt idx="220">
                  <c:v>1461</c:v>
                </c:pt>
                <c:pt idx="221">
                  <c:v>1795</c:v>
                </c:pt>
                <c:pt idx="222">
                  <c:v>1424</c:v>
                </c:pt>
                <c:pt idx="223">
                  <c:v>1524</c:v>
                </c:pt>
                <c:pt idx="224">
                  <c:v>1273</c:v>
                </c:pt>
                <c:pt idx="225">
                  <c:v>1568</c:v>
                </c:pt>
                <c:pt idx="226">
                  <c:v>1578</c:v>
                </c:pt>
                <c:pt idx="227">
                  <c:v>1398</c:v>
                </c:pt>
                <c:pt idx="228">
                  <c:v>1399</c:v>
                </c:pt>
                <c:pt idx="229">
                  <c:v>1729</c:v>
                </c:pt>
                <c:pt idx="230">
                  <c:v>1489</c:v>
                </c:pt>
                <c:pt idx="231">
                  <c:v>1407</c:v>
                </c:pt>
                <c:pt idx="232">
                  <c:v>1398</c:v>
                </c:pt>
                <c:pt idx="233">
                  <c:v>1387</c:v>
                </c:pt>
                <c:pt idx="234">
                  <c:v>1340</c:v>
                </c:pt>
                <c:pt idx="235">
                  <c:v>1385</c:v>
                </c:pt>
                <c:pt idx="236">
                  <c:v>1391</c:v>
                </c:pt>
                <c:pt idx="237">
                  <c:v>1523</c:v>
                </c:pt>
                <c:pt idx="238">
                  <c:v>1510</c:v>
                </c:pt>
                <c:pt idx="239">
                  <c:v>1390</c:v>
                </c:pt>
                <c:pt idx="240">
                  <c:v>1780</c:v>
                </c:pt>
                <c:pt idx="241">
                  <c:v>1754</c:v>
                </c:pt>
                <c:pt idx="242">
                  <c:v>1390</c:v>
                </c:pt>
                <c:pt idx="243">
                  <c:v>1313</c:v>
                </c:pt>
                <c:pt idx="244">
                  <c:v>1451</c:v>
                </c:pt>
                <c:pt idx="245">
                  <c:v>1904</c:v>
                </c:pt>
                <c:pt idx="246">
                  <c:v>1754</c:v>
                </c:pt>
                <c:pt idx="247">
                  <c:v>1704</c:v>
                </c:pt>
                <c:pt idx="248">
                  <c:v>1392</c:v>
                </c:pt>
                <c:pt idx="249">
                  <c:v>1397</c:v>
                </c:pt>
                <c:pt idx="250">
                  <c:v>1697</c:v>
                </c:pt>
                <c:pt idx="251">
                  <c:v>1522</c:v>
                </c:pt>
                <c:pt idx="252">
                  <c:v>1785</c:v>
                </c:pt>
                <c:pt idx="253">
                  <c:v>1773</c:v>
                </c:pt>
                <c:pt idx="254">
                  <c:v>1398</c:v>
                </c:pt>
                <c:pt idx="255">
                  <c:v>1397</c:v>
                </c:pt>
                <c:pt idx="256">
                  <c:v>1917</c:v>
                </c:pt>
                <c:pt idx="257">
                  <c:v>1780</c:v>
                </c:pt>
                <c:pt idx="258">
                  <c:v>1523</c:v>
                </c:pt>
                <c:pt idx="259">
                  <c:v>1779</c:v>
                </c:pt>
                <c:pt idx="260">
                  <c:v>1530</c:v>
                </c:pt>
                <c:pt idx="261">
                  <c:v>1484</c:v>
                </c:pt>
                <c:pt idx="262">
                  <c:v>1361</c:v>
                </c:pt>
                <c:pt idx="263">
                  <c:v>1373</c:v>
                </c:pt>
                <c:pt idx="264">
                  <c:v>1299</c:v>
                </c:pt>
                <c:pt idx="265">
                  <c:v>1755</c:v>
                </c:pt>
                <c:pt idx="266">
                  <c:v>1568</c:v>
                </c:pt>
                <c:pt idx="267">
                  <c:v>1302</c:v>
                </c:pt>
                <c:pt idx="268">
                  <c:v>1389</c:v>
                </c:pt>
                <c:pt idx="269">
                  <c:v>1392</c:v>
                </c:pt>
                <c:pt idx="270">
                  <c:v>1815</c:v>
                </c:pt>
                <c:pt idx="271">
                  <c:v>1392</c:v>
                </c:pt>
                <c:pt idx="272">
                  <c:v>1328</c:v>
                </c:pt>
                <c:pt idx="273">
                  <c:v>1771</c:v>
                </c:pt>
                <c:pt idx="274">
                  <c:v>1398</c:v>
                </c:pt>
                <c:pt idx="275">
                  <c:v>1386</c:v>
                </c:pt>
                <c:pt idx="276">
                  <c:v>1398</c:v>
                </c:pt>
                <c:pt idx="277">
                  <c:v>1383</c:v>
                </c:pt>
                <c:pt idx="278">
                  <c:v>1787</c:v>
                </c:pt>
                <c:pt idx="279">
                  <c:v>1747</c:v>
                </c:pt>
                <c:pt idx="280">
                  <c:v>1394</c:v>
                </c:pt>
                <c:pt idx="281">
                  <c:v>1395</c:v>
                </c:pt>
                <c:pt idx="282">
                  <c:v>1742</c:v>
                </c:pt>
                <c:pt idx="283">
                  <c:v>1522</c:v>
                </c:pt>
                <c:pt idx="284">
                  <c:v>1782</c:v>
                </c:pt>
                <c:pt idx="285">
                  <c:v>1682</c:v>
                </c:pt>
                <c:pt idx="286">
                  <c:v>1790</c:v>
                </c:pt>
                <c:pt idx="287">
                  <c:v>1317</c:v>
                </c:pt>
                <c:pt idx="288">
                  <c:v>1393</c:v>
                </c:pt>
                <c:pt idx="289">
                  <c:v>1444</c:v>
                </c:pt>
                <c:pt idx="290">
                  <c:v>1553</c:v>
                </c:pt>
                <c:pt idx="291">
                  <c:v>1720</c:v>
                </c:pt>
                <c:pt idx="292">
                  <c:v>1751</c:v>
                </c:pt>
                <c:pt idx="293">
                  <c:v>1398</c:v>
                </c:pt>
                <c:pt idx="294">
                  <c:v>1396</c:v>
                </c:pt>
                <c:pt idx="295">
                  <c:v>1332</c:v>
                </c:pt>
                <c:pt idx="296">
                  <c:v>1781</c:v>
                </c:pt>
                <c:pt idx="297">
                  <c:v>1680</c:v>
                </c:pt>
                <c:pt idx="298">
                  <c:v>1333</c:v>
                </c:pt>
                <c:pt idx="299">
                  <c:v>1467</c:v>
                </c:pt>
                <c:pt idx="300">
                  <c:v>1388</c:v>
                </c:pt>
                <c:pt idx="301">
                  <c:v>1735</c:v>
                </c:pt>
                <c:pt idx="302">
                  <c:v>1336</c:v>
                </c:pt>
                <c:pt idx="303">
                  <c:v>1772</c:v>
                </c:pt>
                <c:pt idx="304">
                  <c:v>1393</c:v>
                </c:pt>
                <c:pt idx="305">
                  <c:v>1338</c:v>
                </c:pt>
                <c:pt idx="306">
                  <c:v>1508</c:v>
                </c:pt>
                <c:pt idx="307">
                  <c:v>1419</c:v>
                </c:pt>
                <c:pt idx="308">
                  <c:v>1388</c:v>
                </c:pt>
                <c:pt idx="309">
                  <c:v>1455</c:v>
                </c:pt>
                <c:pt idx="310">
                  <c:v>1597</c:v>
                </c:pt>
                <c:pt idx="311">
                  <c:v>1742</c:v>
                </c:pt>
                <c:pt idx="312">
                  <c:v>1412</c:v>
                </c:pt>
                <c:pt idx="313">
                  <c:v>1523</c:v>
                </c:pt>
                <c:pt idx="314">
                  <c:v>1343</c:v>
                </c:pt>
                <c:pt idx="315">
                  <c:v>1410</c:v>
                </c:pt>
                <c:pt idx="316">
                  <c:v>1529</c:v>
                </c:pt>
                <c:pt idx="317">
                  <c:v>1507</c:v>
                </c:pt>
                <c:pt idx="318">
                  <c:v>1397</c:v>
                </c:pt>
                <c:pt idx="319">
                  <c:v>1345</c:v>
                </c:pt>
                <c:pt idx="320">
                  <c:v>1506</c:v>
                </c:pt>
                <c:pt idx="321">
                  <c:v>1397</c:v>
                </c:pt>
                <c:pt idx="322">
                  <c:v>1572</c:v>
                </c:pt>
                <c:pt idx="323">
                  <c:v>1701</c:v>
                </c:pt>
                <c:pt idx="324">
                  <c:v>1396</c:v>
                </c:pt>
                <c:pt idx="325">
                  <c:v>1406</c:v>
                </c:pt>
                <c:pt idx="326">
                  <c:v>1574</c:v>
                </c:pt>
                <c:pt idx="327">
                  <c:v>1545</c:v>
                </c:pt>
                <c:pt idx="328">
                  <c:v>1454</c:v>
                </c:pt>
                <c:pt idx="329">
                  <c:v>1802</c:v>
                </c:pt>
                <c:pt idx="330">
                  <c:v>1356</c:v>
                </c:pt>
                <c:pt idx="331">
                  <c:v>1394</c:v>
                </c:pt>
                <c:pt idx="332">
                  <c:v>1521</c:v>
                </c:pt>
                <c:pt idx="333">
                  <c:v>1358</c:v>
                </c:pt>
                <c:pt idx="334">
                  <c:v>1532</c:v>
                </c:pt>
                <c:pt idx="335">
                  <c:v>1362</c:v>
                </c:pt>
                <c:pt idx="336">
                  <c:v>1363</c:v>
                </c:pt>
                <c:pt idx="337">
                  <c:v>1379</c:v>
                </c:pt>
                <c:pt idx="338">
                  <c:v>1671</c:v>
                </c:pt>
                <c:pt idx="339">
                  <c:v>1524</c:v>
                </c:pt>
                <c:pt idx="340">
                  <c:v>1742</c:v>
                </c:pt>
                <c:pt idx="341">
                  <c:v>1830</c:v>
                </c:pt>
                <c:pt idx="342">
                  <c:v>1755</c:v>
                </c:pt>
                <c:pt idx="343">
                  <c:v>1372</c:v>
                </c:pt>
                <c:pt idx="344">
                  <c:v>1390</c:v>
                </c:pt>
                <c:pt idx="345">
                  <c:v>1391</c:v>
                </c:pt>
                <c:pt idx="346">
                  <c:v>1475</c:v>
                </c:pt>
                <c:pt idx="347">
                  <c:v>1551</c:v>
                </c:pt>
                <c:pt idx="348">
                  <c:v>1378</c:v>
                </c:pt>
                <c:pt idx="349">
                  <c:v>1756</c:v>
                </c:pt>
                <c:pt idx="350">
                  <c:v>1380</c:v>
                </c:pt>
                <c:pt idx="351">
                  <c:v>1380</c:v>
                </c:pt>
                <c:pt idx="352">
                  <c:v>1507</c:v>
                </c:pt>
                <c:pt idx="353">
                  <c:v>1777</c:v>
                </c:pt>
                <c:pt idx="354">
                  <c:v>1396</c:v>
                </c:pt>
                <c:pt idx="355">
                  <c:v>1639</c:v>
                </c:pt>
                <c:pt idx="356">
                  <c:v>1524</c:v>
                </c:pt>
                <c:pt idx="357">
                  <c:v>1385</c:v>
                </c:pt>
                <c:pt idx="358">
                  <c:v>1508</c:v>
                </c:pt>
                <c:pt idx="359">
                  <c:v>1701</c:v>
                </c:pt>
                <c:pt idx="360">
                  <c:v>1398</c:v>
                </c:pt>
                <c:pt idx="361">
                  <c:v>1391</c:v>
                </c:pt>
                <c:pt idx="362">
                  <c:v>1757</c:v>
                </c:pt>
                <c:pt idx="363">
                  <c:v>1551</c:v>
                </c:pt>
                <c:pt idx="364">
                  <c:v>1715</c:v>
                </c:pt>
                <c:pt idx="365">
                  <c:v>1503</c:v>
                </c:pt>
                <c:pt idx="366">
                  <c:v>1607</c:v>
                </c:pt>
                <c:pt idx="367">
                  <c:v>1512</c:v>
                </c:pt>
                <c:pt idx="368">
                  <c:v>1398</c:v>
                </c:pt>
                <c:pt idx="369">
                  <c:v>1424</c:v>
                </c:pt>
                <c:pt idx="370">
                  <c:v>1500</c:v>
                </c:pt>
                <c:pt idx="371">
                  <c:v>1666</c:v>
                </c:pt>
                <c:pt idx="372">
                  <c:v>1666</c:v>
                </c:pt>
                <c:pt idx="373">
                  <c:v>1459</c:v>
                </c:pt>
                <c:pt idx="374">
                  <c:v>1635</c:v>
                </c:pt>
                <c:pt idx="375">
                  <c:v>1735</c:v>
                </c:pt>
                <c:pt idx="376">
                  <c:v>1746</c:v>
                </c:pt>
                <c:pt idx="377">
                  <c:v>1715</c:v>
                </c:pt>
                <c:pt idx="378">
                  <c:v>1408</c:v>
                </c:pt>
                <c:pt idx="379">
                  <c:v>1410</c:v>
                </c:pt>
                <c:pt idx="380">
                  <c:v>1414</c:v>
                </c:pt>
                <c:pt idx="381">
                  <c:v>1416</c:v>
                </c:pt>
                <c:pt idx="382">
                  <c:v>1418</c:v>
                </c:pt>
                <c:pt idx="383">
                  <c:v>1761</c:v>
                </c:pt>
                <c:pt idx="384">
                  <c:v>1547</c:v>
                </c:pt>
                <c:pt idx="385">
                  <c:v>1704</c:v>
                </c:pt>
                <c:pt idx="386">
                  <c:v>1426</c:v>
                </c:pt>
                <c:pt idx="387">
                  <c:v>1571</c:v>
                </c:pt>
                <c:pt idx="388">
                  <c:v>1635</c:v>
                </c:pt>
                <c:pt idx="389">
                  <c:v>1433</c:v>
                </c:pt>
                <c:pt idx="390">
                  <c:v>1434</c:v>
                </c:pt>
                <c:pt idx="391">
                  <c:v>1434</c:v>
                </c:pt>
                <c:pt idx="392">
                  <c:v>1685</c:v>
                </c:pt>
                <c:pt idx="393">
                  <c:v>1482</c:v>
                </c:pt>
                <c:pt idx="394">
                  <c:v>1474</c:v>
                </c:pt>
                <c:pt idx="395">
                  <c:v>1523</c:v>
                </c:pt>
                <c:pt idx="396">
                  <c:v>1545</c:v>
                </c:pt>
                <c:pt idx="397">
                  <c:v>1646</c:v>
                </c:pt>
                <c:pt idx="398">
                  <c:v>1472</c:v>
                </c:pt>
                <c:pt idx="399">
                  <c:v>1451</c:v>
                </c:pt>
                <c:pt idx="400">
                  <c:v>1521</c:v>
                </c:pt>
                <c:pt idx="401">
                  <c:v>1456</c:v>
                </c:pt>
                <c:pt idx="402">
                  <c:v>1624</c:v>
                </c:pt>
                <c:pt idx="403">
                  <c:v>1456</c:v>
                </c:pt>
                <c:pt idx="404">
                  <c:v>1458</c:v>
                </c:pt>
                <c:pt idx="405">
                  <c:v>1467</c:v>
                </c:pt>
                <c:pt idx="406">
                  <c:v>1468</c:v>
                </c:pt>
                <c:pt idx="407">
                  <c:v>1767</c:v>
                </c:pt>
                <c:pt idx="408">
                  <c:v>1476</c:v>
                </c:pt>
                <c:pt idx="409">
                  <c:v>1517</c:v>
                </c:pt>
                <c:pt idx="410">
                  <c:v>1780</c:v>
                </c:pt>
                <c:pt idx="411">
                  <c:v>1483</c:v>
                </c:pt>
                <c:pt idx="412">
                  <c:v>1483</c:v>
                </c:pt>
                <c:pt idx="413">
                  <c:v>1493</c:v>
                </c:pt>
                <c:pt idx="414">
                  <c:v>1500</c:v>
                </c:pt>
                <c:pt idx="415">
                  <c:v>1499</c:v>
                </c:pt>
                <c:pt idx="416">
                  <c:v>1501</c:v>
                </c:pt>
                <c:pt idx="417">
                  <c:v>1526</c:v>
                </c:pt>
                <c:pt idx="418">
                  <c:v>1524</c:v>
                </c:pt>
                <c:pt idx="419">
                  <c:v>1691</c:v>
                </c:pt>
                <c:pt idx="420">
                  <c:v>1680</c:v>
                </c:pt>
                <c:pt idx="421">
                  <c:v>1797</c:v>
                </c:pt>
                <c:pt idx="422">
                  <c:v>1680</c:v>
                </c:pt>
                <c:pt idx="423">
                  <c:v>1561</c:v>
                </c:pt>
                <c:pt idx="424">
                  <c:v>1779</c:v>
                </c:pt>
                <c:pt idx="425">
                  <c:v>1612</c:v>
                </c:pt>
                <c:pt idx="426">
                  <c:v>1618</c:v>
                </c:pt>
                <c:pt idx="427">
                  <c:v>1643</c:v>
                </c:pt>
                <c:pt idx="428">
                  <c:v>1703</c:v>
                </c:pt>
                <c:pt idx="429">
                  <c:v>1718</c:v>
                </c:pt>
                <c:pt idx="430">
                  <c:v>1873</c:v>
                </c:pt>
                <c:pt idx="431">
                  <c:v>1657</c:v>
                </c:pt>
                <c:pt idx="432">
                  <c:v>1658</c:v>
                </c:pt>
                <c:pt idx="433">
                  <c:v>1781</c:v>
                </c:pt>
                <c:pt idx="434">
                  <c:v>1834</c:v>
                </c:pt>
                <c:pt idx="435">
                  <c:v>1741</c:v>
                </c:pt>
                <c:pt idx="436">
                  <c:v>1669</c:v>
                </c:pt>
                <c:pt idx="437">
                  <c:v>1680</c:v>
                </c:pt>
                <c:pt idx="438">
                  <c:v>1684</c:v>
                </c:pt>
                <c:pt idx="439">
                  <c:v>1684</c:v>
                </c:pt>
                <c:pt idx="440">
                  <c:v>1686</c:v>
                </c:pt>
                <c:pt idx="441">
                  <c:v>1753</c:v>
                </c:pt>
                <c:pt idx="442">
                  <c:v>1921</c:v>
                </c:pt>
                <c:pt idx="443">
                  <c:v>1735</c:v>
                </c:pt>
                <c:pt idx="444">
                  <c:v>1734</c:v>
                </c:pt>
                <c:pt idx="445">
                  <c:v>1853</c:v>
                </c:pt>
                <c:pt idx="446">
                  <c:v>1906</c:v>
                </c:pt>
              </c:numCache>
            </c:numRef>
          </c:yVal>
          <c:smooth val="1"/>
        </c:ser>
        <c:ser>
          <c:idx val="2"/>
          <c:order val="2"/>
          <c:spPr bwMode="auto">
            <a:prstGeom prst="rect">
              <a:avLst/>
            </a:prstGeom>
            <a:solidFill>
              <a:srgbClr val="A5A5A5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temporalBoundaries!$A$16:$A$470</c:f>
              <c:numCache>
                <c:formatCode>General</c:formatCode>
                <c:ptCount val="455"/>
              </c:numCache>
            </c:numRef>
          </c:xVal>
          <c:yVal>
            <c:numRef>
              <c:f>temporalBoundaries!$D$16:$D$470</c:f>
              <c:numCache>
                <c:formatCode>General</c:formatCode>
                <c:ptCount val="455"/>
                <c:pt idx="0">
                  <c:v>9211012</c:v>
                </c:pt>
                <c:pt idx="1">
                  <c:v>9431231</c:v>
                </c:pt>
                <c:pt idx="2">
                  <c:v>9451115</c:v>
                </c:pt>
                <c:pt idx="3">
                  <c:v>9510825</c:v>
                </c:pt>
                <c:pt idx="4">
                  <c:v>9600424</c:v>
                </c:pt>
                <c:pt idx="5">
                  <c:v>9630624</c:v>
                </c:pt>
                <c:pt idx="6">
                  <c:v>9690708</c:v>
                </c:pt>
                <c:pt idx="7">
                  <c:v>9861219</c:v>
                </c:pt>
                <c:pt idx="8">
                  <c:v>9890331</c:v>
                </c:pt>
                <c:pt idx="9">
                  <c:v>9930114</c:v>
                </c:pt>
                <c:pt idx="10">
                  <c:v>9931231</c:v>
                </c:pt>
                <c:pt idx="11">
                  <c:v>9959999</c:v>
                </c:pt>
                <c:pt idx="12">
                  <c:v>9970112</c:v>
                </c:pt>
                <c:pt idx="13">
                  <c:v>10019999</c:v>
                </c:pt>
                <c:pt idx="14">
                  <c:v>10020720</c:v>
                </c:pt>
                <c:pt idx="15">
                  <c:v>10021101</c:v>
                </c:pt>
                <c:pt idx="16">
                  <c:v>10051207</c:v>
                </c:pt>
                <c:pt idx="17">
                  <c:v>10061207</c:v>
                </c:pt>
                <c:pt idx="18">
                  <c:v>10070423</c:v>
                </c:pt>
                <c:pt idx="19">
                  <c:v>10070527</c:v>
                </c:pt>
                <c:pt idx="20">
                  <c:v>10070930</c:v>
                </c:pt>
                <c:pt idx="21">
                  <c:v>10100419</c:v>
                </c:pt>
                <c:pt idx="22">
                  <c:v>10150531</c:v>
                </c:pt>
                <c:pt idx="23">
                  <c:v>10150601</c:v>
                </c:pt>
                <c:pt idx="24">
                  <c:v>10170630</c:v>
                </c:pt>
                <c:pt idx="25">
                  <c:v>10191213</c:v>
                </c:pt>
                <c:pt idx="26">
                  <c:v>10250831</c:v>
                </c:pt>
                <c:pt idx="27">
                  <c:v>10300331</c:v>
                </c:pt>
                <c:pt idx="28">
                  <c:v>10361112</c:v>
                </c:pt>
                <c:pt idx="29">
                  <c:v>10401104</c:v>
                </c:pt>
                <c:pt idx="30">
                  <c:v>10451017</c:v>
                </c:pt>
                <c:pt idx="31">
                  <c:v>10470103</c:v>
                </c:pt>
                <c:pt idx="32">
                  <c:v>10540710</c:v>
                </c:pt>
                <c:pt idx="33">
                  <c:v>10551231</c:v>
                </c:pt>
                <c:pt idx="34">
                  <c:v>10660227</c:v>
                </c:pt>
                <c:pt idx="35">
                  <c:v>10661231</c:v>
                </c:pt>
                <c:pt idx="36">
                  <c:v>10720819</c:v>
                </c:pt>
                <c:pt idx="37">
                  <c:v>10730303</c:v>
                </c:pt>
                <c:pt idx="38">
                  <c:v>10750212</c:v>
                </c:pt>
                <c:pt idx="39">
                  <c:v>10751001</c:v>
                </c:pt>
                <c:pt idx="40">
                  <c:v>10780827</c:v>
                </c:pt>
                <c:pt idx="41">
                  <c:v>10820429</c:v>
                </c:pt>
                <c:pt idx="42">
                  <c:v>10821218</c:v>
                </c:pt>
                <c:pt idx="43">
                  <c:v>10930101</c:v>
                </c:pt>
                <c:pt idx="44">
                  <c:v>10930606</c:v>
                </c:pt>
                <c:pt idx="45">
                  <c:v>10940729</c:v>
                </c:pt>
                <c:pt idx="46">
                  <c:v>10941030</c:v>
                </c:pt>
                <c:pt idx="47">
                  <c:v>10950308</c:v>
                </c:pt>
                <c:pt idx="48">
                  <c:v>10960408</c:v>
                </c:pt>
                <c:pt idx="49">
                  <c:v>10990125</c:v>
                </c:pt>
                <c:pt idx="50">
                  <c:v>10990326</c:v>
                </c:pt>
                <c:pt idx="51">
                  <c:v>10990326</c:v>
                </c:pt>
                <c:pt idx="52">
                  <c:v>11001130</c:v>
                </c:pt>
                <c:pt idx="53">
                  <c:v>11010401</c:v>
                </c:pt>
                <c:pt idx="54">
                  <c:v>11020503</c:v>
                </c:pt>
                <c:pt idx="55">
                  <c:v>11040227</c:v>
                </c:pt>
                <c:pt idx="56">
                  <c:v>11069999</c:v>
                </c:pt>
                <c:pt idx="57">
                  <c:v>11069999</c:v>
                </c:pt>
                <c:pt idx="58">
                  <c:v>11070921</c:v>
                </c:pt>
                <c:pt idx="59">
                  <c:v>11090414</c:v>
                </c:pt>
                <c:pt idx="60">
                  <c:v>11090424</c:v>
                </c:pt>
                <c:pt idx="61">
                  <c:v>11121231</c:v>
                </c:pt>
                <c:pt idx="62">
                  <c:v>11141231</c:v>
                </c:pt>
                <c:pt idx="63">
                  <c:v>11151101</c:v>
                </c:pt>
                <c:pt idx="64">
                  <c:v>11151231</c:v>
                </c:pt>
                <c:pt idx="65">
                  <c:v>11220123</c:v>
                </c:pt>
                <c:pt idx="66">
                  <c:v>11220327</c:v>
                </c:pt>
                <c:pt idx="67">
                  <c:v>11240113</c:v>
                </c:pt>
                <c:pt idx="68">
                  <c:v>11241031</c:v>
                </c:pt>
                <c:pt idx="69">
                  <c:v>11250799</c:v>
                </c:pt>
                <c:pt idx="70">
                  <c:v>11320626</c:v>
                </c:pt>
                <c:pt idx="71">
                  <c:v>11331010</c:v>
                </c:pt>
                <c:pt idx="72">
                  <c:v>11340428</c:v>
                </c:pt>
                <c:pt idx="73">
                  <c:v>11370101</c:v>
                </c:pt>
                <c:pt idx="74">
                  <c:v>11371231</c:v>
                </c:pt>
                <c:pt idx="75">
                  <c:v>11380131</c:v>
                </c:pt>
                <c:pt idx="76">
                  <c:v>11380430</c:v>
                </c:pt>
                <c:pt idx="77">
                  <c:v>11390109</c:v>
                </c:pt>
                <c:pt idx="78">
                  <c:v>11390409</c:v>
                </c:pt>
                <c:pt idx="79">
                  <c:v>11391231</c:v>
                </c:pt>
                <c:pt idx="80">
                  <c:v>11399999</c:v>
                </c:pt>
                <c:pt idx="81">
                  <c:v>11399999</c:v>
                </c:pt>
                <c:pt idx="82">
                  <c:v>11410504</c:v>
                </c:pt>
                <c:pt idx="83">
                  <c:v>11420131</c:v>
                </c:pt>
                <c:pt idx="84">
                  <c:v>11421231</c:v>
                </c:pt>
                <c:pt idx="85">
                  <c:v>11439999</c:v>
                </c:pt>
                <c:pt idx="86">
                  <c:v>11440725</c:v>
                </c:pt>
                <c:pt idx="87">
                  <c:v>11450317</c:v>
                </c:pt>
                <c:pt idx="88">
                  <c:v>11450428</c:v>
                </c:pt>
                <c:pt idx="89">
                  <c:v>11470101</c:v>
                </c:pt>
                <c:pt idx="90">
                  <c:v>10040617</c:v>
                </c:pt>
                <c:pt idx="91">
                  <c:v>11510202</c:v>
                </c:pt>
                <c:pt idx="92">
                  <c:v>11530124</c:v>
                </c:pt>
                <c:pt idx="93">
                  <c:v>11550204</c:v>
                </c:pt>
                <c:pt idx="94">
                  <c:v>11560108</c:v>
                </c:pt>
                <c:pt idx="95">
                  <c:v>11580522</c:v>
                </c:pt>
                <c:pt idx="96">
                  <c:v>11619999</c:v>
                </c:pt>
                <c:pt idx="97">
                  <c:v>11640499</c:v>
                </c:pt>
                <c:pt idx="98">
                  <c:v>11670120</c:v>
                </c:pt>
                <c:pt idx="99">
                  <c:v>11681221</c:v>
                </c:pt>
                <c:pt idx="100">
                  <c:v>11700899</c:v>
                </c:pt>
                <c:pt idx="101">
                  <c:v>11711231</c:v>
                </c:pt>
                <c:pt idx="102">
                  <c:v>11791231</c:v>
                </c:pt>
                <c:pt idx="103">
                  <c:v>11810630</c:v>
                </c:pt>
                <c:pt idx="104">
                  <c:v>11811231</c:v>
                </c:pt>
                <c:pt idx="105">
                  <c:v>11820124</c:v>
                </c:pt>
                <c:pt idx="106">
                  <c:v>11830703</c:v>
                </c:pt>
                <c:pt idx="107">
                  <c:v>11839999</c:v>
                </c:pt>
                <c:pt idx="108">
                  <c:v>11841104</c:v>
                </c:pt>
                <c:pt idx="109">
                  <c:v>11871001</c:v>
                </c:pt>
                <c:pt idx="110">
                  <c:v>11880101</c:v>
                </c:pt>
                <c:pt idx="111">
                  <c:v>11881214</c:v>
                </c:pt>
                <c:pt idx="112">
                  <c:v>11901231</c:v>
                </c:pt>
                <c:pt idx="113">
                  <c:v>11910609</c:v>
                </c:pt>
                <c:pt idx="114">
                  <c:v>11930629</c:v>
                </c:pt>
                <c:pt idx="115">
                  <c:v>11940102</c:v>
                </c:pt>
                <c:pt idx="116">
                  <c:v>11940925</c:v>
                </c:pt>
                <c:pt idx="117">
                  <c:v>11970325</c:v>
                </c:pt>
                <c:pt idx="118">
                  <c:v>11970399</c:v>
                </c:pt>
                <c:pt idx="119">
                  <c:v>11980309</c:v>
                </c:pt>
                <c:pt idx="120">
                  <c:v>11980727</c:v>
                </c:pt>
                <c:pt idx="121">
                  <c:v>11981231</c:v>
                </c:pt>
                <c:pt idx="122">
                  <c:v>11990331</c:v>
                </c:pt>
                <c:pt idx="123">
                  <c:v>12000409</c:v>
                </c:pt>
                <c:pt idx="124">
                  <c:v>12000901</c:v>
                </c:pt>
                <c:pt idx="125">
                  <c:v>12001231</c:v>
                </c:pt>
                <c:pt idx="126">
                  <c:v>12001231</c:v>
                </c:pt>
                <c:pt idx="127">
                  <c:v>12010118</c:v>
                </c:pt>
                <c:pt idx="128">
                  <c:v>12020608</c:v>
                </c:pt>
                <c:pt idx="129">
                  <c:v>12030228</c:v>
                </c:pt>
                <c:pt idx="130">
                  <c:v>12030327</c:v>
                </c:pt>
                <c:pt idx="131">
                  <c:v>12040404</c:v>
                </c:pt>
                <c:pt idx="132">
                  <c:v>12040430</c:v>
                </c:pt>
                <c:pt idx="133">
                  <c:v>12051110</c:v>
                </c:pt>
                <c:pt idx="134">
                  <c:v>12070226</c:v>
                </c:pt>
                <c:pt idx="135">
                  <c:v>12070403</c:v>
                </c:pt>
                <c:pt idx="136">
                  <c:v>12080826</c:v>
                </c:pt>
                <c:pt idx="137">
                  <c:v>12090403</c:v>
                </c:pt>
                <c:pt idx="138">
                  <c:v>12110413</c:v>
                </c:pt>
                <c:pt idx="139">
                  <c:v>12120111</c:v>
                </c:pt>
                <c:pt idx="140">
                  <c:v>12121208</c:v>
                </c:pt>
                <c:pt idx="141">
                  <c:v>12131231</c:v>
                </c:pt>
                <c:pt idx="142">
                  <c:v>12140906</c:v>
                </c:pt>
                <c:pt idx="143">
                  <c:v>12160419</c:v>
                </c:pt>
                <c:pt idx="144">
                  <c:v>12170708</c:v>
                </c:pt>
                <c:pt idx="145">
                  <c:v>12180513</c:v>
                </c:pt>
                <c:pt idx="146">
                  <c:v>12191206</c:v>
                </c:pt>
                <c:pt idx="147">
                  <c:v>12200101</c:v>
                </c:pt>
                <c:pt idx="148">
                  <c:v>12200108</c:v>
                </c:pt>
                <c:pt idx="149">
                  <c:v>12210924</c:v>
                </c:pt>
                <c:pt idx="150">
                  <c:v>12211120</c:v>
                </c:pt>
                <c:pt idx="151">
                  <c:v>12220119</c:v>
                </c:pt>
                <c:pt idx="152">
                  <c:v>12220220</c:v>
                </c:pt>
                <c:pt idx="153">
                  <c:v>12230201</c:v>
                </c:pt>
                <c:pt idx="154">
                  <c:v>12240513</c:v>
                </c:pt>
                <c:pt idx="155">
                  <c:v>12261231</c:v>
                </c:pt>
                <c:pt idx="156">
                  <c:v>12270319</c:v>
                </c:pt>
                <c:pt idx="157">
                  <c:v>12270430</c:v>
                </c:pt>
                <c:pt idx="158">
                  <c:v>12270801</c:v>
                </c:pt>
                <c:pt idx="159">
                  <c:v>12270902</c:v>
                </c:pt>
                <c:pt idx="160">
                  <c:v>12270914</c:v>
                </c:pt>
                <c:pt idx="161">
                  <c:v>12280711</c:v>
                </c:pt>
                <c:pt idx="162">
                  <c:v>12290220</c:v>
                </c:pt>
                <c:pt idx="163">
                  <c:v>12320609</c:v>
                </c:pt>
                <c:pt idx="164">
                  <c:v>12320711</c:v>
                </c:pt>
                <c:pt idx="165">
                  <c:v>12330825</c:v>
                </c:pt>
                <c:pt idx="166">
                  <c:v>12340219</c:v>
                </c:pt>
                <c:pt idx="167">
                  <c:v>12341207</c:v>
                </c:pt>
                <c:pt idx="168">
                  <c:v>12370210</c:v>
                </c:pt>
                <c:pt idx="169">
                  <c:v>12370725</c:v>
                </c:pt>
                <c:pt idx="170">
                  <c:v>12380312</c:v>
                </c:pt>
                <c:pt idx="171">
                  <c:v>12380725</c:v>
                </c:pt>
                <c:pt idx="172">
                  <c:v>12381015</c:v>
                </c:pt>
                <c:pt idx="173">
                  <c:v>12391126</c:v>
                </c:pt>
                <c:pt idx="174">
                  <c:v>12409999</c:v>
                </c:pt>
                <c:pt idx="175">
                  <c:v>12420430</c:v>
                </c:pt>
                <c:pt idx="176">
                  <c:v>12430629</c:v>
                </c:pt>
                <c:pt idx="177">
                  <c:v>12430829</c:v>
                </c:pt>
                <c:pt idx="178">
                  <c:v>12431014</c:v>
                </c:pt>
                <c:pt idx="179">
                  <c:v>12431117</c:v>
                </c:pt>
                <c:pt idx="180">
                  <c:v>12440415</c:v>
                </c:pt>
                <c:pt idx="181">
                  <c:v>12450129</c:v>
                </c:pt>
                <c:pt idx="182">
                  <c:v>12460125</c:v>
                </c:pt>
                <c:pt idx="183">
                  <c:v>12460920</c:v>
                </c:pt>
                <c:pt idx="184">
                  <c:v>12461112</c:v>
                </c:pt>
                <c:pt idx="185">
                  <c:v>12461126</c:v>
                </c:pt>
                <c:pt idx="186">
                  <c:v>12479999</c:v>
                </c:pt>
                <c:pt idx="187">
                  <c:v>12491231</c:v>
                </c:pt>
                <c:pt idx="188">
                  <c:v>12501006</c:v>
                </c:pt>
                <c:pt idx="189">
                  <c:v>12510128</c:v>
                </c:pt>
                <c:pt idx="190">
                  <c:v>12520201</c:v>
                </c:pt>
                <c:pt idx="191">
                  <c:v>12520312</c:v>
                </c:pt>
                <c:pt idx="192">
                  <c:v>12520430</c:v>
                </c:pt>
                <c:pt idx="193">
                  <c:v>12529999</c:v>
                </c:pt>
                <c:pt idx="194">
                  <c:v>12530602</c:v>
                </c:pt>
                <c:pt idx="195">
                  <c:v>12550204</c:v>
                </c:pt>
                <c:pt idx="196">
                  <c:v>12550320</c:v>
                </c:pt>
                <c:pt idx="197">
                  <c:v>12550323</c:v>
                </c:pt>
                <c:pt idx="198">
                  <c:v>12550330</c:v>
                </c:pt>
                <c:pt idx="199">
                  <c:v>12550409</c:v>
                </c:pt>
                <c:pt idx="200">
                  <c:v>12551031</c:v>
                </c:pt>
                <c:pt idx="201">
                  <c:v>12551212</c:v>
                </c:pt>
                <c:pt idx="202">
                  <c:v>12559999</c:v>
                </c:pt>
                <c:pt idx="203">
                  <c:v>12560126</c:v>
                </c:pt>
                <c:pt idx="204">
                  <c:v>12561223</c:v>
                </c:pt>
                <c:pt idx="205">
                  <c:v>12569999</c:v>
                </c:pt>
                <c:pt idx="206">
                  <c:v>12570730</c:v>
                </c:pt>
                <c:pt idx="207">
                  <c:v>12570808</c:v>
                </c:pt>
                <c:pt idx="208">
                  <c:v>12580107</c:v>
                </c:pt>
                <c:pt idx="209">
                  <c:v>12580223</c:v>
                </c:pt>
                <c:pt idx="210">
                  <c:v>12590713</c:v>
                </c:pt>
                <c:pt idx="211">
                  <c:v>12600105</c:v>
                </c:pt>
                <c:pt idx="212">
                  <c:v>12611020</c:v>
                </c:pt>
                <c:pt idx="213">
                  <c:v>12630324</c:v>
                </c:pt>
                <c:pt idx="214">
                  <c:v>12630507</c:v>
                </c:pt>
                <c:pt idx="215">
                  <c:v>12631231</c:v>
                </c:pt>
                <c:pt idx="216">
                  <c:v>12640418</c:v>
                </c:pt>
                <c:pt idx="217">
                  <c:v>12650504</c:v>
                </c:pt>
                <c:pt idx="218">
                  <c:v>12650509</c:v>
                </c:pt>
                <c:pt idx="219">
                  <c:v>12680207</c:v>
                </c:pt>
                <c:pt idx="220">
                  <c:v>12681231</c:v>
                </c:pt>
                <c:pt idx="221">
                  <c:v>12700408</c:v>
                </c:pt>
                <c:pt idx="222">
                  <c:v>12720521</c:v>
                </c:pt>
                <c:pt idx="223">
                  <c:v>12730114</c:v>
                </c:pt>
                <c:pt idx="224">
                  <c:v>12731122</c:v>
                </c:pt>
                <c:pt idx="225">
                  <c:v>12731219</c:v>
                </c:pt>
                <c:pt idx="226">
                  <c:v>12740310</c:v>
                </c:pt>
                <c:pt idx="227">
                  <c:v>12750120</c:v>
                </c:pt>
                <c:pt idx="228">
                  <c:v>12760828</c:v>
                </c:pt>
                <c:pt idx="229">
                  <c:v>12761231</c:v>
                </c:pt>
                <c:pt idx="230">
                  <c:v>12780211</c:v>
                </c:pt>
                <c:pt idx="231">
                  <c:v>12780727</c:v>
                </c:pt>
                <c:pt idx="232">
                  <c:v>12781228</c:v>
                </c:pt>
                <c:pt idx="233">
                  <c:v>12800703</c:v>
                </c:pt>
                <c:pt idx="234">
                  <c:v>12820905</c:v>
                </c:pt>
                <c:pt idx="235">
                  <c:v>12820926</c:v>
                </c:pt>
                <c:pt idx="236">
                  <c:v>12821019</c:v>
                </c:pt>
                <c:pt idx="237">
                  <c:v>12831121</c:v>
                </c:pt>
                <c:pt idx="238">
                  <c:v>12850701</c:v>
                </c:pt>
                <c:pt idx="239">
                  <c:v>12851208</c:v>
                </c:pt>
                <c:pt idx="240">
                  <c:v>12860226</c:v>
                </c:pt>
                <c:pt idx="241">
                  <c:v>12870226</c:v>
                </c:pt>
                <c:pt idx="242">
                  <c:v>12880202</c:v>
                </c:pt>
                <c:pt idx="243">
                  <c:v>12880728</c:v>
                </c:pt>
                <c:pt idx="244">
                  <c:v>12881125</c:v>
                </c:pt>
                <c:pt idx="245">
                  <c:v>12890106</c:v>
                </c:pt>
                <c:pt idx="246">
                  <c:v>12890503</c:v>
                </c:pt>
                <c:pt idx="247">
                  <c:v>12899999</c:v>
                </c:pt>
                <c:pt idx="248">
                  <c:v>12921124</c:v>
                </c:pt>
                <c:pt idx="249">
                  <c:v>12930131</c:v>
                </c:pt>
                <c:pt idx="250">
                  <c:v>12930226</c:v>
                </c:pt>
                <c:pt idx="251">
                  <c:v>12931229</c:v>
                </c:pt>
                <c:pt idx="252">
                  <c:v>12940524</c:v>
                </c:pt>
                <c:pt idx="253">
                  <c:v>12950921</c:v>
                </c:pt>
                <c:pt idx="254">
                  <c:v>12951006</c:v>
                </c:pt>
                <c:pt idx="255">
                  <c:v>12951006</c:v>
                </c:pt>
                <c:pt idx="256">
                  <c:v>12960121</c:v>
                </c:pt>
                <c:pt idx="257">
                  <c:v>12961018</c:v>
                </c:pt>
                <c:pt idx="258">
                  <c:v>12970718</c:v>
                </c:pt>
                <c:pt idx="259">
                  <c:v>12980110</c:v>
                </c:pt>
                <c:pt idx="260">
                  <c:v>12981211</c:v>
                </c:pt>
                <c:pt idx="261">
                  <c:v>12990224</c:v>
                </c:pt>
                <c:pt idx="262">
                  <c:v>12990521</c:v>
                </c:pt>
                <c:pt idx="263">
                  <c:v>12990824</c:v>
                </c:pt>
                <c:pt idx="264">
                  <c:v>12991222</c:v>
                </c:pt>
                <c:pt idx="265">
                  <c:v>13000312</c:v>
                </c:pt>
                <c:pt idx="266">
                  <c:v>13020329</c:v>
                </c:pt>
                <c:pt idx="267">
                  <c:v>13020616</c:v>
                </c:pt>
                <c:pt idx="268">
                  <c:v>13030217</c:v>
                </c:pt>
                <c:pt idx="269">
                  <c:v>13040131</c:v>
                </c:pt>
                <c:pt idx="270">
                  <c:v>13040228</c:v>
                </c:pt>
                <c:pt idx="271">
                  <c:v>13040318</c:v>
                </c:pt>
                <c:pt idx="272">
                  <c:v>13050325</c:v>
                </c:pt>
                <c:pt idx="273">
                  <c:v>13051217</c:v>
                </c:pt>
                <c:pt idx="274">
                  <c:v>13070202</c:v>
                </c:pt>
                <c:pt idx="275">
                  <c:v>13071113</c:v>
                </c:pt>
                <c:pt idx="276">
                  <c:v>13090105</c:v>
                </c:pt>
                <c:pt idx="277">
                  <c:v>13100927</c:v>
                </c:pt>
                <c:pt idx="278">
                  <c:v>13101206</c:v>
                </c:pt>
                <c:pt idx="279">
                  <c:v>13120617</c:v>
                </c:pt>
                <c:pt idx="280">
                  <c:v>13131201</c:v>
                </c:pt>
                <c:pt idx="281">
                  <c:v>13150228</c:v>
                </c:pt>
                <c:pt idx="282">
                  <c:v>13150499</c:v>
                </c:pt>
                <c:pt idx="283">
                  <c:v>13151007</c:v>
                </c:pt>
                <c:pt idx="284">
                  <c:v>13161021</c:v>
                </c:pt>
                <c:pt idx="285">
                  <c:v>13161021</c:v>
                </c:pt>
                <c:pt idx="286">
                  <c:v>13170609</c:v>
                </c:pt>
                <c:pt idx="287">
                  <c:v>13170829</c:v>
                </c:pt>
                <c:pt idx="288">
                  <c:v>13180911</c:v>
                </c:pt>
                <c:pt idx="289">
                  <c:v>13211214</c:v>
                </c:pt>
                <c:pt idx="290">
                  <c:v>13260215</c:v>
                </c:pt>
                <c:pt idx="291">
                  <c:v>13260425</c:v>
                </c:pt>
                <c:pt idx="292">
                  <c:v>13260929</c:v>
                </c:pt>
                <c:pt idx="293">
                  <c:v>13280201</c:v>
                </c:pt>
                <c:pt idx="294">
                  <c:v>13300423</c:v>
                </c:pt>
                <c:pt idx="295">
                  <c:v>13320325</c:v>
                </c:pt>
                <c:pt idx="296">
                  <c:v>13320713</c:v>
                </c:pt>
                <c:pt idx="297">
                  <c:v>13330315</c:v>
                </c:pt>
                <c:pt idx="298">
                  <c:v>13330616</c:v>
                </c:pt>
                <c:pt idx="299">
                  <c:v>13331126</c:v>
                </c:pt>
                <c:pt idx="300">
                  <c:v>13340205</c:v>
                </c:pt>
                <c:pt idx="301">
                  <c:v>13340601</c:v>
                </c:pt>
                <c:pt idx="302">
                  <c:v>13360312</c:v>
                </c:pt>
                <c:pt idx="303">
                  <c:v>13380325</c:v>
                </c:pt>
                <c:pt idx="304">
                  <c:v>13380503</c:v>
                </c:pt>
                <c:pt idx="305">
                  <c:v>13380826</c:v>
                </c:pt>
                <c:pt idx="306">
                  <c:v>13390304</c:v>
                </c:pt>
                <c:pt idx="307">
                  <c:v>13400831</c:v>
                </c:pt>
                <c:pt idx="308">
                  <c:v>13401008</c:v>
                </c:pt>
                <c:pt idx="309">
                  <c:v>13420207</c:v>
                </c:pt>
                <c:pt idx="310">
                  <c:v>13420419</c:v>
                </c:pt>
                <c:pt idx="311">
                  <c:v>13420509</c:v>
                </c:pt>
                <c:pt idx="312">
                  <c:v>13420805</c:v>
                </c:pt>
                <c:pt idx="313">
                  <c:v>13420824</c:v>
                </c:pt>
                <c:pt idx="314">
                  <c:v>13430108</c:v>
                </c:pt>
                <c:pt idx="315">
                  <c:v>13440121</c:v>
                </c:pt>
                <c:pt idx="316">
                  <c:v>13440912</c:v>
                </c:pt>
                <c:pt idx="317">
                  <c:v>13440912</c:v>
                </c:pt>
                <c:pt idx="318">
                  <c:v>13441009</c:v>
                </c:pt>
                <c:pt idx="319">
                  <c:v>13450821</c:v>
                </c:pt>
                <c:pt idx="320">
                  <c:v>13460509</c:v>
                </c:pt>
                <c:pt idx="321">
                  <c:v>13480107</c:v>
                </c:pt>
                <c:pt idx="322">
                  <c:v>13490312</c:v>
                </c:pt>
                <c:pt idx="323">
                  <c:v>13490529</c:v>
                </c:pt>
                <c:pt idx="324">
                  <c:v>13490723</c:v>
                </c:pt>
                <c:pt idx="325">
                  <c:v>13490829</c:v>
                </c:pt>
                <c:pt idx="326">
                  <c:v>13500202</c:v>
                </c:pt>
                <c:pt idx="327">
                  <c:v>13501123</c:v>
                </c:pt>
                <c:pt idx="328">
                  <c:v>13520329</c:v>
                </c:pt>
                <c:pt idx="329">
                  <c:v>13560305</c:v>
                </c:pt>
                <c:pt idx="330">
                  <c:v>13560601</c:v>
                </c:pt>
                <c:pt idx="331">
                  <c:v>13570518</c:v>
                </c:pt>
                <c:pt idx="332">
                  <c:v>13580406</c:v>
                </c:pt>
                <c:pt idx="333">
                  <c:v>13581202</c:v>
                </c:pt>
                <c:pt idx="334">
                  <c:v>13600106</c:v>
                </c:pt>
                <c:pt idx="335">
                  <c:v>13620202</c:v>
                </c:pt>
                <c:pt idx="336">
                  <c:v>13630301</c:v>
                </c:pt>
                <c:pt idx="337">
                  <c:v>13640215</c:v>
                </c:pt>
                <c:pt idx="339">
                  <c:v>13670512</c:v>
                </c:pt>
                <c:pt idx="340">
                  <c:v>13681111</c:v>
                </c:pt>
                <c:pt idx="341">
                  <c:v>13681213</c:v>
                </c:pt>
                <c:pt idx="342">
                  <c:v>13721111</c:v>
                </c:pt>
                <c:pt idx="343">
                  <c:v>13721111</c:v>
                </c:pt>
                <c:pt idx="344">
                  <c:v>13730926</c:v>
                </c:pt>
                <c:pt idx="345">
                  <c:v>13740314</c:v>
                </c:pt>
                <c:pt idx="346">
                  <c:v>13740917</c:v>
                </c:pt>
                <c:pt idx="347">
                  <c:v>13779999</c:v>
                </c:pt>
                <c:pt idx="348">
                  <c:v>13780922</c:v>
                </c:pt>
                <c:pt idx="349">
                  <c:v>13790107</c:v>
                </c:pt>
                <c:pt idx="350">
                  <c:v>13800228</c:v>
                </c:pt>
                <c:pt idx="351">
                  <c:v>13800228</c:v>
                </c:pt>
                <c:pt idx="352">
                  <c:v>13810530</c:v>
                </c:pt>
                <c:pt idx="353">
                  <c:v>13810827</c:v>
                </c:pt>
                <c:pt idx="354">
                  <c:v>13820226</c:v>
                </c:pt>
                <c:pt idx="355">
                  <c:v>13830913</c:v>
                </c:pt>
                <c:pt idx="356">
                  <c:v>13849999</c:v>
                </c:pt>
                <c:pt idx="357">
                  <c:v>13851210</c:v>
                </c:pt>
                <c:pt idx="358">
                  <c:v>13860212</c:v>
                </c:pt>
                <c:pt idx="359">
                  <c:v>13900110</c:v>
                </c:pt>
                <c:pt idx="360">
                  <c:v>13901224</c:v>
                </c:pt>
                <c:pt idx="361">
                  <c:v>13910926</c:v>
                </c:pt>
                <c:pt idx="362">
                  <c:v>13921114</c:v>
                </c:pt>
                <c:pt idx="363">
                  <c:v>13930615</c:v>
                </c:pt>
                <c:pt idx="364">
                  <c:v>13950529</c:v>
                </c:pt>
                <c:pt idx="365">
                  <c:v>13950605</c:v>
                </c:pt>
                <c:pt idx="366">
                  <c:v>13960000</c:v>
                </c:pt>
                <c:pt idx="367">
                  <c:v>13980525</c:v>
                </c:pt>
                <c:pt idx="368">
                  <c:v>13980525</c:v>
                </c:pt>
                <c:pt idx="369">
                  <c:v>13990602</c:v>
                </c:pt>
                <c:pt idx="370">
                  <c:v>14000719</c:v>
                </c:pt>
                <c:pt idx="371">
                  <c:v>14010825</c:v>
                </c:pt>
                <c:pt idx="372">
                  <c:v>14010825</c:v>
                </c:pt>
                <c:pt idx="373">
                  <c:v>14031214</c:v>
                </c:pt>
                <c:pt idx="374">
                  <c:v>14040217</c:v>
                </c:pt>
                <c:pt idx="375">
                  <c:v>14050807</c:v>
                </c:pt>
                <c:pt idx="376">
                  <c:v>14070511</c:v>
                </c:pt>
                <c:pt idx="377">
                  <c:v>14080214</c:v>
                </c:pt>
                <c:pt idx="378">
                  <c:v>14080506</c:v>
                </c:pt>
                <c:pt idx="379">
                  <c:v>14100510</c:v>
                </c:pt>
                <c:pt idx="380">
                  <c:v>14140806</c:v>
                </c:pt>
                <c:pt idx="381">
                  <c:v>14160424</c:v>
                </c:pt>
                <c:pt idx="382">
                  <c:v>14181231</c:v>
                </c:pt>
                <c:pt idx="383">
                  <c:v>14220503</c:v>
                </c:pt>
                <c:pt idx="384">
                  <c:v>14220805</c:v>
                </c:pt>
                <c:pt idx="385">
                  <c:v>14221126</c:v>
                </c:pt>
                <c:pt idx="386">
                  <c:v>14261112</c:v>
                </c:pt>
                <c:pt idx="387">
                  <c:v>14300107</c:v>
                </c:pt>
                <c:pt idx="388">
                  <c:v>14301130</c:v>
                </c:pt>
                <c:pt idx="389">
                  <c:v>14330810</c:v>
                </c:pt>
                <c:pt idx="390">
                  <c:v>14340531</c:v>
                </c:pt>
                <c:pt idx="391">
                  <c:v>14340929</c:v>
                </c:pt>
                <c:pt idx="392">
                  <c:v>14360801</c:v>
                </c:pt>
                <c:pt idx="393">
                  <c:v>14420331</c:v>
                </c:pt>
                <c:pt idx="394">
                  <c:v>14430522</c:v>
                </c:pt>
                <c:pt idx="395">
                  <c:v>14440418</c:v>
                </c:pt>
                <c:pt idx="396">
                  <c:v>14441121</c:v>
                </c:pt>
                <c:pt idx="397">
                  <c:v>14480309</c:v>
                </c:pt>
                <c:pt idx="398">
                  <c:v>14500601</c:v>
                </c:pt>
                <c:pt idx="399">
                  <c:v>14510820</c:v>
                </c:pt>
                <c:pt idx="400">
                  <c:v>14520720</c:v>
                </c:pt>
                <c:pt idx="401">
                  <c:v>14560122</c:v>
                </c:pt>
                <c:pt idx="402">
                  <c:v>14560305</c:v>
                </c:pt>
                <c:pt idx="403">
                  <c:v>14561107</c:v>
                </c:pt>
                <c:pt idx="404">
                  <c:v>14580312</c:v>
                </c:pt>
                <c:pt idx="405">
                  <c:v>14670714</c:v>
                </c:pt>
                <c:pt idx="406">
                  <c:v>14680325</c:v>
                </c:pt>
                <c:pt idx="407">
                  <c:v>14711127</c:v>
                </c:pt>
                <c:pt idx="408">
                  <c:v>14760406</c:v>
                </c:pt>
                <c:pt idx="409">
                  <c:v>14761011</c:v>
                </c:pt>
                <c:pt idx="410">
                  <c:v>14790124</c:v>
                </c:pt>
                <c:pt idx="411">
                  <c:v>14820312</c:v>
                </c:pt>
                <c:pt idx="412">
                  <c:v>14830404</c:v>
                </c:pt>
                <c:pt idx="413">
                  <c:v>14930926</c:v>
                </c:pt>
                <c:pt idx="414">
                  <c:v>14940119</c:v>
                </c:pt>
                <c:pt idx="415">
                  <c:v>14990913</c:v>
                </c:pt>
                <c:pt idx="416">
                  <c:v>15010624</c:v>
                </c:pt>
                <c:pt idx="418">
                  <c:v>15111007</c:v>
                </c:pt>
                <c:pt idx="419">
                  <c:v>15310623</c:v>
                </c:pt>
                <c:pt idx="422">
                  <c:v>15500922</c:v>
                </c:pt>
                <c:pt idx="423">
                  <c:v>15610602</c:v>
                </c:pt>
                <c:pt idx="424">
                  <c:v>15830507</c:v>
                </c:pt>
                <c:pt idx="425">
                  <c:v>15961231</c:v>
                </c:pt>
                <c:pt idx="426">
                  <c:v>16180916</c:v>
                </c:pt>
                <c:pt idx="427">
                  <c:v>16330904</c:v>
                </c:pt>
                <c:pt idx="428">
                  <c:v>16370929</c:v>
                </c:pt>
                <c:pt idx="429">
                  <c:v>16381120</c:v>
                </c:pt>
                <c:pt idx="430">
                  <c:v>16490302</c:v>
                </c:pt>
                <c:pt idx="432">
                  <c:v>16580408</c:v>
                </c:pt>
                <c:pt idx="433">
                  <c:v>16600417</c:v>
                </c:pt>
                <c:pt idx="434">
                  <c:v>16680415</c:v>
                </c:pt>
                <c:pt idx="435">
                  <c:v>16690327</c:v>
                </c:pt>
                <c:pt idx="436">
                  <c:v>16691004</c:v>
                </c:pt>
                <c:pt idx="437">
                  <c:v>16790622</c:v>
                </c:pt>
                <c:pt idx="438">
                  <c:v>16840302</c:v>
                </c:pt>
                <c:pt idx="439">
                  <c:v>16840513</c:v>
                </c:pt>
                <c:pt idx="440">
                  <c:v>16860713</c:v>
                </c:pt>
                <c:pt idx="441">
                  <c:v>17100403</c:v>
                </c:pt>
                <c:pt idx="442">
                  <c:v>17110820</c:v>
                </c:pt>
                <c:pt idx="443">
                  <c:v>17240309</c:v>
                </c:pt>
                <c:pt idx="444">
                  <c:v>17341027</c:v>
                </c:pt>
                <c:pt idx="445">
                  <c:v>18530304</c:v>
                </c:pt>
              </c:numCache>
            </c:numRef>
          </c:yVal>
          <c:smooth val="1"/>
        </c:ser>
        <c:ser>
          <c:idx val="3"/>
          <c:order val="3"/>
          <c:spPr bwMode="auto">
            <a:prstGeom prst="rect">
              <a:avLst/>
            </a:prstGeom>
            <a:solidFill>
              <a:srgbClr val="FFC000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FFC000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temporalBoundaries!$A$16:$A$470</c:f>
              <c:numCache>
                <c:formatCode>General</c:formatCode>
                <c:ptCount val="455"/>
              </c:numCache>
            </c:numRef>
          </c:xVal>
          <c:yVal>
            <c:numRef>
              <c:f>temporalBoundaries!$E$16:$E$470</c:f>
              <c:numCache>
                <c:formatCode>General</c:formatCode>
                <c:ptCount val="455"/>
                <c:pt idx="0">
                  <c:v>16860820</c:v>
                </c:pt>
                <c:pt idx="1">
                  <c:v>13980809</c:v>
                </c:pt>
                <c:pt idx="2">
                  <c:v>13950108</c:v>
                </c:pt>
                <c:pt idx="3">
                  <c:v>16310717</c:v>
                </c:pt>
                <c:pt idx="4">
                  <c:v>13981017</c:v>
                </c:pt>
                <c:pt idx="5">
                  <c:v>17170605</c:v>
                </c:pt>
                <c:pt idx="6">
                  <c:v>13981227</c:v>
                </c:pt>
                <c:pt idx="7">
                  <c:v>13770510</c:v>
                </c:pt>
                <c:pt idx="8">
                  <c:v>13981016</c:v>
                </c:pt>
                <c:pt idx="9">
                  <c:v>19480408</c:v>
                </c:pt>
                <c:pt idx="10">
                  <c:v>16001211</c:v>
                </c:pt>
                <c:pt idx="11">
                  <c:v>17840321</c:v>
                </c:pt>
                <c:pt idx="12">
                  <c:v>17170507</c:v>
                </c:pt>
                <c:pt idx="13">
                  <c:v>18010602</c:v>
                </c:pt>
                <c:pt idx="14">
                  <c:v>10020720</c:v>
                </c:pt>
                <c:pt idx="15">
                  <c:v>17300613</c:v>
                </c:pt>
                <c:pt idx="16">
                  <c:v>19810403</c:v>
                </c:pt>
                <c:pt idx="17">
                  <c:v>19080724</c:v>
                </c:pt>
                <c:pt idx="18">
                  <c:v>14860109</c:v>
                </c:pt>
                <c:pt idx="19">
                  <c:v>17610530</c:v>
                </c:pt>
                <c:pt idx="20">
                  <c:v>13981206</c:v>
                </c:pt>
                <c:pt idx="21">
                  <c:v>18010521</c:v>
                </c:pt>
                <c:pt idx="22">
                  <c:v>13980413</c:v>
                </c:pt>
                <c:pt idx="23">
                  <c:v>17170320</c:v>
                </c:pt>
                <c:pt idx="24">
                  <c:v>13941227</c:v>
                </c:pt>
                <c:pt idx="25">
                  <c:v>13981223</c:v>
                </c:pt>
                <c:pt idx="26">
                  <c:v>16800415</c:v>
                </c:pt>
                <c:pt idx="27">
                  <c:v>13970130</c:v>
                </c:pt>
                <c:pt idx="28">
                  <c:v>17601010</c:v>
                </c:pt>
                <c:pt idx="29">
                  <c:v>13970112</c:v>
                </c:pt>
                <c:pt idx="30">
                  <c:v>19081126</c:v>
                </c:pt>
                <c:pt idx="31">
                  <c:v>13981128</c:v>
                </c:pt>
                <c:pt idx="32">
                  <c:v>18010917</c:v>
                </c:pt>
                <c:pt idx="33">
                  <c:v>15220916</c:v>
                </c:pt>
                <c:pt idx="34">
                  <c:v>13971211</c:v>
                </c:pt>
                <c:pt idx="35">
                  <c:v>13980130</c:v>
                </c:pt>
                <c:pt idx="36">
                  <c:v>19510922</c:v>
                </c:pt>
                <c:pt idx="37">
                  <c:v>18020131</c:v>
                </c:pt>
                <c:pt idx="38">
                  <c:v>12980810</c:v>
                </c:pt>
                <c:pt idx="39">
                  <c:v>13900412</c:v>
                </c:pt>
                <c:pt idx="40">
                  <c:v>13960221</c:v>
                </c:pt>
                <c:pt idx="41">
                  <c:v>15260201</c:v>
                </c:pt>
                <c:pt idx="42">
                  <c:v>14831026</c:v>
                </c:pt>
                <c:pt idx="43">
                  <c:v>18010827</c:v>
                </c:pt>
                <c:pt idx="44">
                  <c:v>14000414</c:v>
                </c:pt>
                <c:pt idx="45">
                  <c:v>14780523</c:v>
                </c:pt>
                <c:pt idx="46">
                  <c:v>14030310</c:v>
                </c:pt>
                <c:pt idx="47">
                  <c:v>15160915</c:v>
                </c:pt>
                <c:pt idx="48">
                  <c:v>12220401</c:v>
                </c:pt>
                <c:pt idx="49">
                  <c:v>16580920</c:v>
                </c:pt>
                <c:pt idx="50">
                  <c:v>18200703</c:v>
                </c:pt>
                <c:pt idx="51">
                  <c:v>16661018</c:v>
                </c:pt>
                <c:pt idx="52">
                  <c:v>13970925</c:v>
                </c:pt>
                <c:pt idx="53">
                  <c:v>16990101</c:v>
                </c:pt>
                <c:pt idx="54">
                  <c:v>15640718</c:v>
                </c:pt>
                <c:pt idx="55">
                  <c:v>18020520</c:v>
                </c:pt>
                <c:pt idx="56">
                  <c:v>17800603</c:v>
                </c:pt>
                <c:pt idx="57">
                  <c:v>16010102</c:v>
                </c:pt>
                <c:pt idx="58">
                  <c:v>13970913</c:v>
                </c:pt>
                <c:pt idx="59">
                  <c:v>16121124</c:v>
                </c:pt>
                <c:pt idx="60">
                  <c:v>19590510</c:v>
                </c:pt>
                <c:pt idx="61">
                  <c:v>18521231</c:v>
                </c:pt>
                <c:pt idx="62">
                  <c:v>17920522</c:v>
                </c:pt>
                <c:pt idx="63">
                  <c:v>17970127</c:v>
                </c:pt>
                <c:pt idx="64">
                  <c:v>15261123</c:v>
                </c:pt>
                <c:pt idx="65">
                  <c:v>16500601</c:v>
                </c:pt>
                <c:pt idx="66">
                  <c:v>15880503</c:v>
                </c:pt>
                <c:pt idx="67">
                  <c:v>15569999</c:v>
                </c:pt>
                <c:pt idx="68">
                  <c:v>13981110</c:v>
                </c:pt>
                <c:pt idx="69">
                  <c:v>16410703</c:v>
                </c:pt>
                <c:pt idx="70">
                  <c:v>13781114</c:v>
                </c:pt>
                <c:pt idx="71">
                  <c:v>17960609</c:v>
                </c:pt>
                <c:pt idx="72">
                  <c:v>14570502</c:v>
                </c:pt>
                <c:pt idx="73">
                  <c:v>18000501</c:v>
                </c:pt>
                <c:pt idx="74">
                  <c:v>18571216</c:v>
                </c:pt>
                <c:pt idx="75">
                  <c:v>13960410</c:v>
                </c:pt>
                <c:pt idx="76">
                  <c:v>17971118</c:v>
                </c:pt>
                <c:pt idx="77">
                  <c:v>13890721</c:v>
                </c:pt>
                <c:pt idx="78">
                  <c:v>18060131</c:v>
                </c:pt>
                <c:pt idx="79">
                  <c:v>11391231</c:v>
                </c:pt>
                <c:pt idx="80">
                  <c:v>17910928</c:v>
                </c:pt>
                <c:pt idx="81">
                  <c:v>17740601</c:v>
                </c:pt>
                <c:pt idx="82">
                  <c:v>13970511</c:v>
                </c:pt>
                <c:pt idx="83">
                  <c:v>13980319</c:v>
                </c:pt>
                <c:pt idx="84">
                  <c:v>13970627</c:v>
                </c:pt>
                <c:pt idx="85">
                  <c:v>14840914</c:v>
                </c:pt>
                <c:pt idx="86">
                  <c:v>17880616</c:v>
                </c:pt>
                <c:pt idx="87">
                  <c:v>13970508</c:v>
                </c:pt>
                <c:pt idx="88">
                  <c:v>15230220</c:v>
                </c:pt>
                <c:pt idx="89">
                  <c:v>17850503</c:v>
                </c:pt>
                <c:pt idx="90">
                  <c:v>15970713</c:v>
                </c:pt>
                <c:pt idx="91">
                  <c:v>17951030</c:v>
                </c:pt>
                <c:pt idx="92">
                  <c:v>13981028</c:v>
                </c:pt>
                <c:pt idx="93">
                  <c:v>14360901</c:v>
                </c:pt>
                <c:pt idx="94">
                  <c:v>14881202</c:v>
                </c:pt>
                <c:pt idx="95">
                  <c:v>17940225</c:v>
                </c:pt>
                <c:pt idx="96">
                  <c:v>16001205</c:v>
                </c:pt>
                <c:pt idx="97">
                  <c:v>17310519</c:v>
                </c:pt>
                <c:pt idx="98">
                  <c:v>15010710</c:v>
                </c:pt>
                <c:pt idx="99">
                  <c:v>17831129</c:v>
                </c:pt>
                <c:pt idx="100">
                  <c:v>15501105</c:v>
                </c:pt>
                <c:pt idx="101">
                  <c:v>14890721</c:v>
                </c:pt>
                <c:pt idx="102">
                  <c:v>16001231</c:v>
                </c:pt>
                <c:pt idx="103">
                  <c:v>13981122</c:v>
                </c:pt>
                <c:pt idx="104">
                  <c:v>14530117</c:v>
                </c:pt>
                <c:pt idx="105">
                  <c:v>13680327</c:v>
                </c:pt>
                <c:pt idx="106">
                  <c:v>13941123</c:v>
                </c:pt>
                <c:pt idx="107">
                  <c:v>18691101</c:v>
                </c:pt>
                <c:pt idx="108">
                  <c:v>13920716</c:v>
                </c:pt>
                <c:pt idx="109">
                  <c:v>14961125</c:v>
                </c:pt>
                <c:pt idx="110">
                  <c:v>19920914</c:v>
                </c:pt>
                <c:pt idx="111">
                  <c:v>14880117</c:v>
                </c:pt>
                <c:pt idx="112">
                  <c:v>17980805</c:v>
                </c:pt>
                <c:pt idx="113">
                  <c:v>13970829</c:v>
                </c:pt>
                <c:pt idx="114">
                  <c:v>15500423</c:v>
                </c:pt>
                <c:pt idx="115">
                  <c:v>18030120</c:v>
                </c:pt>
                <c:pt idx="116">
                  <c:v>13950125</c:v>
                </c:pt>
                <c:pt idx="117">
                  <c:v>13940429</c:v>
                </c:pt>
                <c:pt idx="118">
                  <c:v>19080820</c:v>
                </c:pt>
                <c:pt idx="119">
                  <c:v>13981006</c:v>
                </c:pt>
                <c:pt idx="120">
                  <c:v>18190622</c:v>
                </c:pt>
                <c:pt idx="121">
                  <c:v>11981231</c:v>
                </c:pt>
                <c:pt idx="122">
                  <c:v>13930608</c:v>
                </c:pt>
                <c:pt idx="123">
                  <c:v>17960807</c:v>
                </c:pt>
                <c:pt idx="124">
                  <c:v>17820604</c:v>
                </c:pt>
                <c:pt idx="125">
                  <c:v>13980128</c:v>
                </c:pt>
                <c:pt idx="126">
                  <c:v>13970830</c:v>
                </c:pt>
                <c:pt idx="127">
                  <c:v>15230723</c:v>
                </c:pt>
                <c:pt idx="128">
                  <c:v>14600329</c:v>
                </c:pt>
                <c:pt idx="129">
                  <c:v>13961018</c:v>
                </c:pt>
                <c:pt idx="130">
                  <c:v>15200821</c:v>
                </c:pt>
                <c:pt idx="131">
                  <c:v>16001210</c:v>
                </c:pt>
                <c:pt idx="132">
                  <c:v>13980425</c:v>
                </c:pt>
                <c:pt idx="133">
                  <c:v>15800128</c:v>
                </c:pt>
                <c:pt idx="134">
                  <c:v>14861017</c:v>
                </c:pt>
                <c:pt idx="135">
                  <c:v>13930727</c:v>
                </c:pt>
                <c:pt idx="136">
                  <c:v>13980728</c:v>
                </c:pt>
                <c:pt idx="137">
                  <c:v>17820426</c:v>
                </c:pt>
                <c:pt idx="138">
                  <c:v>13931119</c:v>
                </c:pt>
                <c:pt idx="139">
                  <c:v>17040412</c:v>
                </c:pt>
                <c:pt idx="140">
                  <c:v>13921130</c:v>
                </c:pt>
                <c:pt idx="141">
                  <c:v>15260307</c:v>
                </c:pt>
                <c:pt idx="142">
                  <c:v>18000526</c:v>
                </c:pt>
                <c:pt idx="143">
                  <c:v>13940625</c:v>
                </c:pt>
                <c:pt idx="144">
                  <c:v>15161205</c:v>
                </c:pt>
                <c:pt idx="145">
                  <c:v>13981006</c:v>
                </c:pt>
                <c:pt idx="146">
                  <c:v>17971212</c:v>
                </c:pt>
                <c:pt idx="147">
                  <c:v>13251206</c:v>
                </c:pt>
                <c:pt idx="148">
                  <c:v>13720930</c:v>
                </c:pt>
                <c:pt idx="149">
                  <c:v>13950710</c:v>
                </c:pt>
                <c:pt idx="150">
                  <c:v>13960425</c:v>
                </c:pt>
                <c:pt idx="151">
                  <c:v>14661221</c:v>
                </c:pt>
                <c:pt idx="152">
                  <c:v>15020504</c:v>
                </c:pt>
                <c:pt idx="153">
                  <c:v>12230201</c:v>
                </c:pt>
                <c:pt idx="154">
                  <c:v>13960428</c:v>
                </c:pt>
                <c:pt idx="155">
                  <c:v>15210209</c:v>
                </c:pt>
                <c:pt idx="156">
                  <c:v>13800930</c:v>
                </c:pt>
                <c:pt idx="157">
                  <c:v>15260626</c:v>
                </c:pt>
                <c:pt idx="158">
                  <c:v>17190217</c:v>
                </c:pt>
                <c:pt idx="159">
                  <c:v>13910413</c:v>
                </c:pt>
                <c:pt idx="160">
                  <c:v>13940425</c:v>
                </c:pt>
                <c:pt idx="161">
                  <c:v>17930623</c:v>
                </c:pt>
                <c:pt idx="162">
                  <c:v>19700409</c:v>
                </c:pt>
                <c:pt idx="163">
                  <c:v>12560711</c:v>
                </c:pt>
                <c:pt idx="164">
                  <c:v>17811111</c:v>
                </c:pt>
                <c:pt idx="165">
                  <c:v>18530412</c:v>
                </c:pt>
                <c:pt idx="166">
                  <c:v>15280303</c:v>
                </c:pt>
                <c:pt idx="167">
                  <c:v>14171122</c:v>
                </c:pt>
                <c:pt idx="168">
                  <c:v>13870708</c:v>
                </c:pt>
                <c:pt idx="169">
                  <c:v>17991016</c:v>
                </c:pt>
                <c:pt idx="170">
                  <c:v>13931003</c:v>
                </c:pt>
                <c:pt idx="171">
                  <c:v>13920222</c:v>
                </c:pt>
                <c:pt idx="172">
                  <c:v>15140918</c:v>
                </c:pt>
                <c:pt idx="173">
                  <c:v>16970627</c:v>
                </c:pt>
                <c:pt idx="174">
                  <c:v>12409999</c:v>
                </c:pt>
                <c:pt idx="175">
                  <c:v>13940825</c:v>
                </c:pt>
                <c:pt idx="176">
                  <c:v>17650422</c:v>
                </c:pt>
                <c:pt idx="177">
                  <c:v>13980831</c:v>
                </c:pt>
                <c:pt idx="178">
                  <c:v>14610903</c:v>
                </c:pt>
                <c:pt idx="179">
                  <c:v>13981117</c:v>
                </c:pt>
                <c:pt idx="180">
                  <c:v>15520114</c:v>
                </c:pt>
                <c:pt idx="181">
                  <c:v>12450129</c:v>
                </c:pt>
                <c:pt idx="182">
                  <c:v>13941106</c:v>
                </c:pt>
                <c:pt idx="183">
                  <c:v>17861226</c:v>
                </c:pt>
                <c:pt idx="184">
                  <c:v>15250811</c:v>
                </c:pt>
                <c:pt idx="185">
                  <c:v>15260719</c:v>
                </c:pt>
                <c:pt idx="186">
                  <c:v>14181011</c:v>
                </c:pt>
                <c:pt idx="187">
                  <c:v>12971231</c:v>
                </c:pt>
                <c:pt idx="188">
                  <c:v>16700711</c:v>
                </c:pt>
                <c:pt idx="189">
                  <c:v>13960212</c:v>
                </c:pt>
                <c:pt idx="190">
                  <c:v>12520201</c:v>
                </c:pt>
                <c:pt idx="191">
                  <c:v>12601226</c:v>
                </c:pt>
                <c:pt idx="192">
                  <c:v>13170214</c:v>
                </c:pt>
                <c:pt idx="193">
                  <c:v>16290917</c:v>
                </c:pt>
                <c:pt idx="194">
                  <c:v>15680225</c:v>
                </c:pt>
                <c:pt idx="195">
                  <c:v>13921209</c:v>
                </c:pt>
                <c:pt idx="196">
                  <c:v>13721205</c:v>
                </c:pt>
                <c:pt idx="197">
                  <c:v>13971104</c:v>
                </c:pt>
                <c:pt idx="198">
                  <c:v>14801231</c:v>
                </c:pt>
                <c:pt idx="199">
                  <c:v>18610322</c:v>
                </c:pt>
                <c:pt idx="200">
                  <c:v>13970825</c:v>
                </c:pt>
                <c:pt idx="201">
                  <c:v>13981219</c:v>
                </c:pt>
                <c:pt idx="202">
                  <c:v>17350814</c:v>
                </c:pt>
                <c:pt idx="203">
                  <c:v>17601224</c:v>
                </c:pt>
                <c:pt idx="204">
                  <c:v>15231004</c:v>
                </c:pt>
                <c:pt idx="205">
                  <c:v>17520612</c:v>
                </c:pt>
                <c:pt idx="206">
                  <c:v>12570730</c:v>
                </c:pt>
                <c:pt idx="207">
                  <c:v>17990930</c:v>
                </c:pt>
                <c:pt idx="208">
                  <c:v>12890101</c:v>
                </c:pt>
                <c:pt idx="209">
                  <c:v>18411228</c:v>
                </c:pt>
                <c:pt idx="210">
                  <c:v>16310321</c:v>
                </c:pt>
                <c:pt idx="211">
                  <c:v>13791226</c:v>
                </c:pt>
                <c:pt idx="212">
                  <c:v>13980409</c:v>
                </c:pt>
                <c:pt idx="213">
                  <c:v>13970729</c:v>
                </c:pt>
                <c:pt idx="214">
                  <c:v>14880417</c:v>
                </c:pt>
                <c:pt idx="215">
                  <c:v>18401124</c:v>
                </c:pt>
                <c:pt idx="216">
                  <c:v>17761128</c:v>
                </c:pt>
                <c:pt idx="217">
                  <c:v>16400409</c:v>
                </c:pt>
                <c:pt idx="218">
                  <c:v>13980715</c:v>
                </c:pt>
                <c:pt idx="219">
                  <c:v>17910724</c:v>
                </c:pt>
                <c:pt idx="220">
                  <c:v>14610527</c:v>
                </c:pt>
                <c:pt idx="221">
                  <c:v>17950721</c:v>
                </c:pt>
                <c:pt idx="222">
                  <c:v>14240214</c:v>
                </c:pt>
                <c:pt idx="223">
                  <c:v>15240403</c:v>
                </c:pt>
                <c:pt idx="224">
                  <c:v>12731122</c:v>
                </c:pt>
                <c:pt idx="225">
                  <c:v>15680401</c:v>
                </c:pt>
                <c:pt idx="226">
                  <c:v>15780229</c:v>
                </c:pt>
                <c:pt idx="227">
                  <c:v>13980205</c:v>
                </c:pt>
                <c:pt idx="228">
                  <c:v>13990127</c:v>
                </c:pt>
                <c:pt idx="229">
                  <c:v>17290712</c:v>
                </c:pt>
                <c:pt idx="230">
                  <c:v>14890926</c:v>
                </c:pt>
                <c:pt idx="231">
                  <c:v>14070611</c:v>
                </c:pt>
                <c:pt idx="232">
                  <c:v>13980815</c:v>
                </c:pt>
                <c:pt idx="233">
                  <c:v>13870426</c:v>
                </c:pt>
                <c:pt idx="234">
                  <c:v>13400424</c:v>
                </c:pt>
                <c:pt idx="235">
                  <c:v>13850429</c:v>
                </c:pt>
                <c:pt idx="236">
                  <c:v>13910630</c:v>
                </c:pt>
                <c:pt idx="237">
                  <c:v>15230128</c:v>
                </c:pt>
                <c:pt idx="238">
                  <c:v>15100125</c:v>
                </c:pt>
                <c:pt idx="239">
                  <c:v>13900326</c:v>
                </c:pt>
                <c:pt idx="240">
                  <c:v>17800110</c:v>
                </c:pt>
                <c:pt idx="241">
                  <c:v>17540220</c:v>
                </c:pt>
                <c:pt idx="242">
                  <c:v>13900817</c:v>
                </c:pt>
                <c:pt idx="243">
                  <c:v>13130202</c:v>
                </c:pt>
                <c:pt idx="244">
                  <c:v>14510227</c:v>
                </c:pt>
                <c:pt idx="245">
                  <c:v>19040605</c:v>
                </c:pt>
                <c:pt idx="246">
                  <c:v>17541101</c:v>
                </c:pt>
                <c:pt idx="247">
                  <c:v>17040910</c:v>
                </c:pt>
                <c:pt idx="248">
                  <c:v>13921026</c:v>
                </c:pt>
                <c:pt idx="249">
                  <c:v>13970427</c:v>
                </c:pt>
                <c:pt idx="250">
                  <c:v>16970705</c:v>
                </c:pt>
                <c:pt idx="251">
                  <c:v>15221104</c:v>
                </c:pt>
                <c:pt idx="252">
                  <c:v>17850104</c:v>
                </c:pt>
                <c:pt idx="253">
                  <c:v>17731231</c:v>
                </c:pt>
                <c:pt idx="254">
                  <c:v>13980114</c:v>
                </c:pt>
                <c:pt idx="255">
                  <c:v>13971212</c:v>
                </c:pt>
                <c:pt idx="256">
                  <c:v>19171109</c:v>
                </c:pt>
                <c:pt idx="257">
                  <c:v>17801018</c:v>
                </c:pt>
                <c:pt idx="258">
                  <c:v>15230530</c:v>
                </c:pt>
                <c:pt idx="259">
                  <c:v>17790507</c:v>
                </c:pt>
                <c:pt idx="260">
                  <c:v>15301002</c:v>
                </c:pt>
                <c:pt idx="261">
                  <c:v>14840927</c:v>
                </c:pt>
                <c:pt idx="262">
                  <c:v>13610816</c:v>
                </c:pt>
                <c:pt idx="263">
                  <c:v>13730209</c:v>
                </c:pt>
                <c:pt idx="264">
                  <c:v>12991222</c:v>
                </c:pt>
                <c:pt idx="265">
                  <c:v>17550503</c:v>
                </c:pt>
                <c:pt idx="266">
                  <c:v>15680227</c:v>
                </c:pt>
                <c:pt idx="267">
                  <c:v>13020616</c:v>
                </c:pt>
                <c:pt idx="268">
                  <c:v>13890624</c:v>
                </c:pt>
                <c:pt idx="269">
                  <c:v>13920111</c:v>
                </c:pt>
                <c:pt idx="270">
                  <c:v>18150808</c:v>
                </c:pt>
                <c:pt idx="271">
                  <c:v>13920314</c:v>
                </c:pt>
                <c:pt idx="272">
                  <c:v>13281221</c:v>
                </c:pt>
                <c:pt idx="273">
                  <c:v>17710828</c:v>
                </c:pt>
                <c:pt idx="274">
                  <c:v>13980724</c:v>
                </c:pt>
                <c:pt idx="275">
                  <c:v>13861105</c:v>
                </c:pt>
                <c:pt idx="276">
                  <c:v>13980406</c:v>
                </c:pt>
                <c:pt idx="277">
                  <c:v>13830806</c:v>
                </c:pt>
                <c:pt idx="278">
                  <c:v>17870509</c:v>
                </c:pt>
                <c:pt idx="279">
                  <c:v>17471107</c:v>
                </c:pt>
                <c:pt idx="280">
                  <c:v>13941220</c:v>
                </c:pt>
                <c:pt idx="281">
                  <c:v>13950606</c:v>
                </c:pt>
                <c:pt idx="282">
                  <c:v>17420517</c:v>
                </c:pt>
                <c:pt idx="283">
                  <c:v>15220603</c:v>
                </c:pt>
                <c:pt idx="284">
                  <c:v>17820622</c:v>
                </c:pt>
                <c:pt idx="285">
                  <c:v>16820226</c:v>
                </c:pt>
                <c:pt idx="286">
                  <c:v>17900299</c:v>
                </c:pt>
                <c:pt idx="287">
                  <c:v>13170829</c:v>
                </c:pt>
                <c:pt idx="288">
                  <c:v>13930205</c:v>
                </c:pt>
                <c:pt idx="289">
                  <c:v>14440605</c:v>
                </c:pt>
                <c:pt idx="290">
                  <c:v>15530501</c:v>
                </c:pt>
                <c:pt idx="291">
                  <c:v>17200225</c:v>
                </c:pt>
                <c:pt idx="292">
                  <c:v>17511001</c:v>
                </c:pt>
                <c:pt idx="293">
                  <c:v>13981215</c:v>
                </c:pt>
                <c:pt idx="294">
                  <c:v>13960920</c:v>
                </c:pt>
                <c:pt idx="295">
                  <c:v>13320325</c:v>
                </c:pt>
                <c:pt idx="296">
                  <c:v>17811115</c:v>
                </c:pt>
                <c:pt idx="297">
                  <c:v>16800221</c:v>
                </c:pt>
                <c:pt idx="298">
                  <c:v>13330616</c:v>
                </c:pt>
                <c:pt idx="299">
                  <c:v>14670907</c:v>
                </c:pt>
                <c:pt idx="300">
                  <c:v>13880920</c:v>
                </c:pt>
                <c:pt idx="301">
                  <c:v>17350527</c:v>
                </c:pt>
                <c:pt idx="302">
                  <c:v>13360312</c:v>
                </c:pt>
                <c:pt idx="303">
                  <c:v>17720309</c:v>
                </c:pt>
                <c:pt idx="304">
                  <c:v>13930120</c:v>
                </c:pt>
                <c:pt idx="305">
                  <c:v>13380826</c:v>
                </c:pt>
                <c:pt idx="306">
                  <c:v>15080626</c:v>
                </c:pt>
                <c:pt idx="307">
                  <c:v>14190302</c:v>
                </c:pt>
                <c:pt idx="308">
                  <c:v>13881021</c:v>
                </c:pt>
                <c:pt idx="309">
                  <c:v>14550827</c:v>
                </c:pt>
                <c:pt idx="310">
                  <c:v>15970106</c:v>
                </c:pt>
                <c:pt idx="311">
                  <c:v>17420601</c:v>
                </c:pt>
                <c:pt idx="312">
                  <c:v>14121118</c:v>
                </c:pt>
                <c:pt idx="313">
                  <c:v>15230312</c:v>
                </c:pt>
                <c:pt idx="314">
                  <c:v>13430108</c:v>
                </c:pt>
                <c:pt idx="315">
                  <c:v>14100408</c:v>
                </c:pt>
                <c:pt idx="316">
                  <c:v>15290706</c:v>
                </c:pt>
                <c:pt idx="317">
                  <c:v>15070322</c:v>
                </c:pt>
                <c:pt idx="318">
                  <c:v>13970511</c:v>
                </c:pt>
                <c:pt idx="319">
                  <c:v>13451110</c:v>
                </c:pt>
                <c:pt idx="320">
                  <c:v>15061104</c:v>
                </c:pt>
                <c:pt idx="321">
                  <c:v>13971229</c:v>
                </c:pt>
                <c:pt idx="322">
                  <c:v>15720815</c:v>
                </c:pt>
                <c:pt idx="323">
                  <c:v>17010523</c:v>
                </c:pt>
                <c:pt idx="324">
                  <c:v>13960619</c:v>
                </c:pt>
                <c:pt idx="325">
                  <c:v>14060211</c:v>
                </c:pt>
                <c:pt idx="326">
                  <c:v>15740412</c:v>
                </c:pt>
                <c:pt idx="327">
                  <c:v>15450424</c:v>
                </c:pt>
                <c:pt idx="328">
                  <c:v>14541125</c:v>
                </c:pt>
                <c:pt idx="329">
                  <c:v>18020603</c:v>
                </c:pt>
                <c:pt idx="330">
                  <c:v>13560601</c:v>
                </c:pt>
                <c:pt idx="331">
                  <c:v>13940807</c:v>
                </c:pt>
                <c:pt idx="332">
                  <c:v>15210617</c:v>
                </c:pt>
                <c:pt idx="333">
                  <c:v>13581202</c:v>
                </c:pt>
                <c:pt idx="334">
                  <c:v>15320209</c:v>
                </c:pt>
                <c:pt idx="335">
                  <c:v>13620202</c:v>
                </c:pt>
                <c:pt idx="336">
                  <c:v>13630301</c:v>
                </c:pt>
                <c:pt idx="337">
                  <c:v>13790815</c:v>
                </c:pt>
                <c:pt idx="339">
                  <c:v>15240826</c:v>
                </c:pt>
                <c:pt idx="340">
                  <c:v>17421231</c:v>
                </c:pt>
                <c:pt idx="341">
                  <c:v>18309999</c:v>
                </c:pt>
                <c:pt idx="342">
                  <c:v>17550108</c:v>
                </c:pt>
                <c:pt idx="343">
                  <c:v>13721111</c:v>
                </c:pt>
                <c:pt idx="344">
                  <c:v>13900408</c:v>
                </c:pt>
                <c:pt idx="345">
                  <c:v>13910429</c:v>
                </c:pt>
                <c:pt idx="346">
                  <c:v>14750706</c:v>
                </c:pt>
                <c:pt idx="347">
                  <c:v>15510709</c:v>
                </c:pt>
                <c:pt idx="348">
                  <c:v>13780922</c:v>
                </c:pt>
                <c:pt idx="349">
                  <c:v>17560221</c:v>
                </c:pt>
                <c:pt idx="350">
                  <c:v>13800228</c:v>
                </c:pt>
                <c:pt idx="351">
                  <c:v>13800228</c:v>
                </c:pt>
                <c:pt idx="352">
                  <c:v>15070322</c:v>
                </c:pt>
                <c:pt idx="353">
                  <c:v>17770808</c:v>
                </c:pt>
                <c:pt idx="354">
                  <c:v>13960125</c:v>
                </c:pt>
                <c:pt idx="355">
                  <c:v>16391218</c:v>
                </c:pt>
                <c:pt idx="356">
                  <c:v>15240505</c:v>
                </c:pt>
                <c:pt idx="357">
                  <c:v>13851210</c:v>
                </c:pt>
                <c:pt idx="358">
                  <c:v>15080125</c:v>
                </c:pt>
                <c:pt idx="359">
                  <c:v>17019999</c:v>
                </c:pt>
                <c:pt idx="360">
                  <c:v>13980930</c:v>
                </c:pt>
                <c:pt idx="361">
                  <c:v>13910926</c:v>
                </c:pt>
                <c:pt idx="362">
                  <c:v>17570209</c:v>
                </c:pt>
                <c:pt idx="363">
                  <c:v>15510218</c:v>
                </c:pt>
                <c:pt idx="364">
                  <c:v>17151101</c:v>
                </c:pt>
                <c:pt idx="365">
                  <c:v>15031231</c:v>
                </c:pt>
                <c:pt idx="366">
                  <c:v>16070228</c:v>
                </c:pt>
                <c:pt idx="367">
                  <c:v>15120211</c:v>
                </c:pt>
                <c:pt idx="368">
                  <c:v>13980525</c:v>
                </c:pt>
                <c:pt idx="369">
                  <c:v>14240802</c:v>
                </c:pt>
                <c:pt idx="370">
                  <c:v>15000401</c:v>
                </c:pt>
                <c:pt idx="371">
                  <c:v>16660410</c:v>
                </c:pt>
                <c:pt idx="372">
                  <c:v>16660410</c:v>
                </c:pt>
                <c:pt idx="373">
                  <c:v>14590108</c:v>
                </c:pt>
                <c:pt idx="374">
                  <c:v>16350817</c:v>
                </c:pt>
                <c:pt idx="375">
                  <c:v>17350307</c:v>
                </c:pt>
                <c:pt idx="376">
                  <c:v>17460525</c:v>
                </c:pt>
                <c:pt idx="377">
                  <c:v>17150425</c:v>
                </c:pt>
                <c:pt idx="378">
                  <c:v>14080506</c:v>
                </c:pt>
                <c:pt idx="379">
                  <c:v>14100510</c:v>
                </c:pt>
                <c:pt idx="380">
                  <c:v>14140806</c:v>
                </c:pt>
                <c:pt idx="381">
                  <c:v>14160424</c:v>
                </c:pt>
                <c:pt idx="382">
                  <c:v>14181231</c:v>
                </c:pt>
                <c:pt idx="383">
                  <c:v>17610922</c:v>
                </c:pt>
                <c:pt idx="384">
                  <c:v>15470929</c:v>
                </c:pt>
                <c:pt idx="385">
                  <c:v>17040505</c:v>
                </c:pt>
                <c:pt idx="386">
                  <c:v>14261112</c:v>
                </c:pt>
                <c:pt idx="387">
                  <c:v>15710526</c:v>
                </c:pt>
                <c:pt idx="388">
                  <c:v>16350928</c:v>
                </c:pt>
                <c:pt idx="389">
                  <c:v>14330810</c:v>
                </c:pt>
                <c:pt idx="390">
                  <c:v>14340531</c:v>
                </c:pt>
                <c:pt idx="391">
                  <c:v>14340929</c:v>
                </c:pt>
                <c:pt idx="392">
                  <c:v>16851218</c:v>
                </c:pt>
                <c:pt idx="393">
                  <c:v>14820708</c:v>
                </c:pt>
                <c:pt idx="394">
                  <c:v>14740328</c:v>
                </c:pt>
                <c:pt idx="395">
                  <c:v>15230122</c:v>
                </c:pt>
                <c:pt idx="396">
                  <c:v>15450811</c:v>
                </c:pt>
                <c:pt idx="397">
                  <c:v>16461208</c:v>
                </c:pt>
                <c:pt idx="398">
                  <c:v>14721224</c:v>
                </c:pt>
                <c:pt idx="399">
                  <c:v>14510820</c:v>
                </c:pt>
                <c:pt idx="400">
                  <c:v>15211226</c:v>
                </c:pt>
                <c:pt idx="401">
                  <c:v>14560122</c:v>
                </c:pt>
                <c:pt idx="402">
                  <c:v>16240121</c:v>
                </c:pt>
                <c:pt idx="403">
                  <c:v>14561107</c:v>
                </c:pt>
                <c:pt idx="404">
                  <c:v>14580312</c:v>
                </c:pt>
                <c:pt idx="405">
                  <c:v>14670714</c:v>
                </c:pt>
                <c:pt idx="406">
                  <c:v>14680325</c:v>
                </c:pt>
                <c:pt idx="407">
                  <c:v>17670520</c:v>
                </c:pt>
                <c:pt idx="408">
                  <c:v>14760406</c:v>
                </c:pt>
                <c:pt idx="409">
                  <c:v>15171217</c:v>
                </c:pt>
                <c:pt idx="410">
                  <c:v>17800115</c:v>
                </c:pt>
                <c:pt idx="411">
                  <c:v>14830311</c:v>
                </c:pt>
                <c:pt idx="412">
                  <c:v>14830404</c:v>
                </c:pt>
                <c:pt idx="413">
                  <c:v>14930926</c:v>
                </c:pt>
                <c:pt idx="414">
                  <c:v>15009999</c:v>
                </c:pt>
                <c:pt idx="415">
                  <c:v>14990913</c:v>
                </c:pt>
                <c:pt idx="416">
                  <c:v>15010624</c:v>
                </c:pt>
                <c:pt idx="418">
                  <c:v>15240624</c:v>
                </c:pt>
                <c:pt idx="419">
                  <c:v>16911020</c:v>
                </c:pt>
                <c:pt idx="422">
                  <c:v>16800301</c:v>
                </c:pt>
                <c:pt idx="423">
                  <c:v>15610602</c:v>
                </c:pt>
                <c:pt idx="424">
                  <c:v>17790205</c:v>
                </c:pt>
                <c:pt idx="425">
                  <c:v>16121231</c:v>
                </c:pt>
                <c:pt idx="426">
                  <c:v>16180916</c:v>
                </c:pt>
                <c:pt idx="427">
                  <c:v>16430412</c:v>
                </c:pt>
                <c:pt idx="428">
                  <c:v>17030920</c:v>
                </c:pt>
                <c:pt idx="429">
                  <c:v>17180409</c:v>
                </c:pt>
                <c:pt idx="430">
                  <c:v>18731111</c:v>
                </c:pt>
                <c:pt idx="432">
                  <c:v>16580408</c:v>
                </c:pt>
                <c:pt idx="433">
                  <c:v>17811016</c:v>
                </c:pt>
                <c:pt idx="434">
                  <c:v>18340525</c:v>
                </c:pt>
                <c:pt idx="435">
                  <c:v>17410217</c:v>
                </c:pt>
                <c:pt idx="436">
                  <c:v>16691004</c:v>
                </c:pt>
                <c:pt idx="437">
                  <c:v>16800425</c:v>
                </c:pt>
                <c:pt idx="438">
                  <c:v>16840302</c:v>
                </c:pt>
                <c:pt idx="439">
                  <c:v>16840513</c:v>
                </c:pt>
                <c:pt idx="440">
                  <c:v>16860713</c:v>
                </c:pt>
                <c:pt idx="441">
                  <c:v>17531115</c:v>
                </c:pt>
                <c:pt idx="442">
                  <c:v>19211115</c:v>
                </c:pt>
                <c:pt idx="443">
                  <c:v>17350502</c:v>
                </c:pt>
                <c:pt idx="444">
                  <c:v>17341027</c:v>
                </c:pt>
                <c:pt idx="445">
                  <c:v>18530304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77376991"/>
        <c:axId val="97020208"/>
      </c:scatterChart>
      <c:valAx>
        <c:axId val="7737699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97020208"/>
        <c:crosses val="autoZero"/>
        <c:crossBetween val="midCat"/>
      </c:valAx>
      <c:valAx>
        <c:axId val="970202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77376991"/>
        <c:crosses val="autoZero"/>
        <c:crossBetween val="midCat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latin typeface="Calibri"/>
              <a:ea typeface="Calibri"/>
            </a:defRPr>
          </a:pPr>
          <a:endParaRPr/>
        </a:p>
      </c:txPr>
    </c:legend>
    <c:plotVisOnly val="0"/>
    <c:dispBlanksAs val="zero"/>
    <c:showDLblsOverMax val="0"/>
  </c:chart>
  <c:spPr bwMode="auto">
    <a:xfrm rot="0">
      <a:off x="0" y="181080"/>
      <a:ext cx="5714280" cy="35330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temporalBoundaries!$A$4:$A$462</c:f>
              <c:numCache>
                <c:formatCode>General</c:formatCode>
                <c:ptCount val="455"/>
              </c:numCache>
            </c:numRef>
          </c:xVal>
          <c:yVal>
            <c:numRef>
              <c:f>temporalBoundaries!$B$4:$B$462</c:f>
              <c:numCache>
                <c:formatCode>General</c:formatCode>
                <c:ptCount val="455"/>
                <c:pt idx="0">
                  <c:v>748</c:v>
                </c:pt>
                <c:pt idx="1">
                  <c:v>790</c:v>
                </c:pt>
                <c:pt idx="2">
                  <c:v>790</c:v>
                </c:pt>
                <c:pt idx="3">
                  <c:v>794</c:v>
                </c:pt>
                <c:pt idx="4">
                  <c:v>816</c:v>
                </c:pt>
                <c:pt idx="5">
                  <c:v>839</c:v>
                </c:pt>
                <c:pt idx="6">
                  <c:v>860</c:v>
                </c:pt>
                <c:pt idx="7">
                  <c:v>861</c:v>
                </c:pt>
                <c:pt idx="8">
                  <c:v>884</c:v>
                </c:pt>
                <c:pt idx="9">
                  <c:v>886</c:v>
                </c:pt>
                <c:pt idx="10">
                  <c:v>909</c:v>
                </c:pt>
                <c:pt idx="11">
                  <c:v>911</c:v>
                </c:pt>
                <c:pt idx="12">
                  <c:v>921</c:v>
                </c:pt>
                <c:pt idx="13">
                  <c:v>943</c:v>
                </c:pt>
                <c:pt idx="14">
                  <c:v>945</c:v>
                </c:pt>
                <c:pt idx="15">
                  <c:v>951</c:v>
                </c:pt>
                <c:pt idx="16">
                  <c:v>960</c:v>
                </c:pt>
                <c:pt idx="17">
                  <c:v>963</c:v>
                </c:pt>
                <c:pt idx="18">
                  <c:v>969</c:v>
                </c:pt>
                <c:pt idx="19">
                  <c:v>986</c:v>
                </c:pt>
                <c:pt idx="20">
                  <c:v>989</c:v>
                </c:pt>
                <c:pt idx="21">
                  <c:v>1001</c:v>
                </c:pt>
                <c:pt idx="22">
                  <c:v>1002</c:v>
                </c:pt>
                <c:pt idx="23">
                  <c:v>1002</c:v>
                </c:pt>
                <c:pt idx="24">
                  <c:v>1005</c:v>
                </c:pt>
                <c:pt idx="25">
                  <c:v>1006</c:v>
                </c:pt>
                <c:pt idx="26">
                  <c:v>1007</c:v>
                </c:pt>
                <c:pt idx="27">
                  <c:v>1007</c:v>
                </c:pt>
                <c:pt idx="28">
                  <c:v>1007</c:v>
                </c:pt>
                <c:pt idx="29">
                  <c:v>1010</c:v>
                </c:pt>
                <c:pt idx="30">
                  <c:v>1015</c:v>
                </c:pt>
                <c:pt idx="31">
                  <c:v>1015</c:v>
                </c:pt>
                <c:pt idx="32">
                  <c:v>1017</c:v>
                </c:pt>
                <c:pt idx="33">
                  <c:v>1019</c:v>
                </c:pt>
                <c:pt idx="34">
                  <c:v>1025</c:v>
                </c:pt>
                <c:pt idx="35">
                  <c:v>1030</c:v>
                </c:pt>
                <c:pt idx="36">
                  <c:v>1036</c:v>
                </c:pt>
                <c:pt idx="37">
                  <c:v>1040</c:v>
                </c:pt>
                <c:pt idx="38">
                  <c:v>1045</c:v>
                </c:pt>
                <c:pt idx="39">
                  <c:v>1047</c:v>
                </c:pt>
                <c:pt idx="40">
                  <c:v>1054</c:v>
                </c:pt>
                <c:pt idx="41">
                  <c:v>1055</c:v>
                </c:pt>
                <c:pt idx="42">
                  <c:v>1066</c:v>
                </c:pt>
                <c:pt idx="43">
                  <c:v>1066</c:v>
                </c:pt>
                <c:pt idx="44">
                  <c:v>1072</c:v>
                </c:pt>
                <c:pt idx="45">
                  <c:v>1073</c:v>
                </c:pt>
                <c:pt idx="46">
                  <c:v>1075</c:v>
                </c:pt>
                <c:pt idx="47">
                  <c:v>1075</c:v>
                </c:pt>
                <c:pt idx="48">
                  <c:v>1078</c:v>
                </c:pt>
                <c:pt idx="49">
                  <c:v>1082</c:v>
                </c:pt>
                <c:pt idx="50">
                  <c:v>1082</c:v>
                </c:pt>
                <c:pt idx="51">
                  <c:v>1093</c:v>
                </c:pt>
                <c:pt idx="52">
                  <c:v>1093</c:v>
                </c:pt>
                <c:pt idx="53">
                  <c:v>1094</c:v>
                </c:pt>
                <c:pt idx="54">
                  <c:v>1094</c:v>
                </c:pt>
                <c:pt idx="55">
                  <c:v>1095</c:v>
                </c:pt>
                <c:pt idx="56">
                  <c:v>1096</c:v>
                </c:pt>
                <c:pt idx="57">
                  <c:v>1099</c:v>
                </c:pt>
                <c:pt idx="58">
                  <c:v>1099</c:v>
                </c:pt>
                <c:pt idx="59">
                  <c:v>1099</c:v>
                </c:pt>
                <c:pt idx="60">
                  <c:v>1100</c:v>
                </c:pt>
                <c:pt idx="61">
                  <c:v>1101</c:v>
                </c:pt>
                <c:pt idx="62">
                  <c:v>1102</c:v>
                </c:pt>
                <c:pt idx="63">
                  <c:v>1104</c:v>
                </c:pt>
                <c:pt idx="64">
                  <c:v>1106</c:v>
                </c:pt>
                <c:pt idx="65">
                  <c:v>1106</c:v>
                </c:pt>
                <c:pt idx="66">
                  <c:v>1107</c:v>
                </c:pt>
                <c:pt idx="67">
                  <c:v>1109</c:v>
                </c:pt>
                <c:pt idx="68">
                  <c:v>1109</c:v>
                </c:pt>
                <c:pt idx="69">
                  <c:v>1112</c:v>
                </c:pt>
                <c:pt idx="70">
                  <c:v>1114</c:v>
                </c:pt>
                <c:pt idx="71">
                  <c:v>1115</c:v>
                </c:pt>
                <c:pt idx="72">
                  <c:v>1115</c:v>
                </c:pt>
                <c:pt idx="73">
                  <c:v>1122</c:v>
                </c:pt>
                <c:pt idx="74">
                  <c:v>1122</c:v>
                </c:pt>
                <c:pt idx="75">
                  <c:v>1124</c:v>
                </c:pt>
                <c:pt idx="76">
                  <c:v>1124</c:v>
                </c:pt>
                <c:pt idx="77">
                  <c:v>1125</c:v>
                </c:pt>
                <c:pt idx="78">
                  <c:v>1132</c:v>
                </c:pt>
                <c:pt idx="79">
                  <c:v>1133</c:v>
                </c:pt>
                <c:pt idx="80">
                  <c:v>1134</c:v>
                </c:pt>
                <c:pt idx="81">
                  <c:v>1137</c:v>
                </c:pt>
                <c:pt idx="82">
                  <c:v>1137</c:v>
                </c:pt>
                <c:pt idx="83">
                  <c:v>1138</c:v>
                </c:pt>
                <c:pt idx="84">
                  <c:v>1138</c:v>
                </c:pt>
                <c:pt idx="85">
                  <c:v>1139</c:v>
                </c:pt>
                <c:pt idx="86">
                  <c:v>1139</c:v>
                </c:pt>
                <c:pt idx="87">
                  <c:v>1139</c:v>
                </c:pt>
                <c:pt idx="88">
                  <c:v>1139</c:v>
                </c:pt>
                <c:pt idx="89">
                  <c:v>1139</c:v>
                </c:pt>
                <c:pt idx="90">
                  <c:v>1141</c:v>
                </c:pt>
                <c:pt idx="91">
                  <c:v>1142</c:v>
                </c:pt>
                <c:pt idx="92">
                  <c:v>1142</c:v>
                </c:pt>
                <c:pt idx="93">
                  <c:v>1143</c:v>
                </c:pt>
                <c:pt idx="94">
                  <c:v>1144</c:v>
                </c:pt>
                <c:pt idx="95">
                  <c:v>1145</c:v>
                </c:pt>
                <c:pt idx="96">
                  <c:v>1145</c:v>
                </c:pt>
                <c:pt idx="97">
                  <c:v>1147</c:v>
                </c:pt>
                <c:pt idx="98">
                  <c:v>1004</c:v>
                </c:pt>
                <c:pt idx="99">
                  <c:v>1151</c:v>
                </c:pt>
                <c:pt idx="100">
                  <c:v>1153</c:v>
                </c:pt>
                <c:pt idx="101">
                  <c:v>1155</c:v>
                </c:pt>
                <c:pt idx="102">
                  <c:v>1156</c:v>
                </c:pt>
                <c:pt idx="103">
                  <c:v>1158</c:v>
                </c:pt>
                <c:pt idx="104">
                  <c:v>1161</c:v>
                </c:pt>
                <c:pt idx="105">
                  <c:v>1164</c:v>
                </c:pt>
                <c:pt idx="106">
                  <c:v>1167</c:v>
                </c:pt>
                <c:pt idx="107">
                  <c:v>1168</c:v>
                </c:pt>
                <c:pt idx="108">
                  <c:v>1170</c:v>
                </c:pt>
                <c:pt idx="109">
                  <c:v>1171</c:v>
                </c:pt>
                <c:pt idx="110">
                  <c:v>1179</c:v>
                </c:pt>
                <c:pt idx="111">
                  <c:v>1181</c:v>
                </c:pt>
                <c:pt idx="112">
                  <c:v>1181</c:v>
                </c:pt>
                <c:pt idx="113">
                  <c:v>1182</c:v>
                </c:pt>
                <c:pt idx="114">
                  <c:v>1183</c:v>
                </c:pt>
                <c:pt idx="115">
                  <c:v>1183</c:v>
                </c:pt>
                <c:pt idx="116">
                  <c:v>1184</c:v>
                </c:pt>
                <c:pt idx="117">
                  <c:v>1187</c:v>
                </c:pt>
                <c:pt idx="118">
                  <c:v>1188</c:v>
                </c:pt>
                <c:pt idx="119">
                  <c:v>1188</c:v>
                </c:pt>
                <c:pt idx="120">
                  <c:v>1190</c:v>
                </c:pt>
                <c:pt idx="121">
                  <c:v>1191</c:v>
                </c:pt>
                <c:pt idx="122">
                  <c:v>1193</c:v>
                </c:pt>
                <c:pt idx="123">
                  <c:v>1194</c:v>
                </c:pt>
                <c:pt idx="124">
                  <c:v>1194</c:v>
                </c:pt>
                <c:pt idx="125">
                  <c:v>1197</c:v>
                </c:pt>
                <c:pt idx="126">
                  <c:v>1197</c:v>
                </c:pt>
                <c:pt idx="127">
                  <c:v>1198</c:v>
                </c:pt>
                <c:pt idx="128">
                  <c:v>1198</c:v>
                </c:pt>
                <c:pt idx="129">
                  <c:v>1198</c:v>
                </c:pt>
                <c:pt idx="130">
                  <c:v>1199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1201</c:v>
                </c:pt>
                <c:pt idx="136">
                  <c:v>1202</c:v>
                </c:pt>
                <c:pt idx="137">
                  <c:v>1203</c:v>
                </c:pt>
                <c:pt idx="138">
                  <c:v>1203</c:v>
                </c:pt>
                <c:pt idx="139">
                  <c:v>1204</c:v>
                </c:pt>
                <c:pt idx="140">
                  <c:v>1204</c:v>
                </c:pt>
                <c:pt idx="141">
                  <c:v>1205</c:v>
                </c:pt>
                <c:pt idx="142">
                  <c:v>1207</c:v>
                </c:pt>
                <c:pt idx="143">
                  <c:v>1207</c:v>
                </c:pt>
                <c:pt idx="144">
                  <c:v>1208</c:v>
                </c:pt>
                <c:pt idx="145">
                  <c:v>1209</c:v>
                </c:pt>
                <c:pt idx="146">
                  <c:v>1211</c:v>
                </c:pt>
                <c:pt idx="147">
                  <c:v>1212</c:v>
                </c:pt>
                <c:pt idx="148">
                  <c:v>1212</c:v>
                </c:pt>
                <c:pt idx="149">
                  <c:v>1213</c:v>
                </c:pt>
                <c:pt idx="150">
                  <c:v>1214</c:v>
                </c:pt>
                <c:pt idx="151">
                  <c:v>1216</c:v>
                </c:pt>
                <c:pt idx="152">
                  <c:v>1217</c:v>
                </c:pt>
                <c:pt idx="153">
                  <c:v>1218</c:v>
                </c:pt>
                <c:pt idx="154">
                  <c:v>1219</c:v>
                </c:pt>
                <c:pt idx="155">
                  <c:v>1220</c:v>
                </c:pt>
                <c:pt idx="156">
                  <c:v>1220</c:v>
                </c:pt>
                <c:pt idx="157">
                  <c:v>1221</c:v>
                </c:pt>
                <c:pt idx="158">
                  <c:v>1221</c:v>
                </c:pt>
                <c:pt idx="159">
                  <c:v>1222</c:v>
                </c:pt>
                <c:pt idx="160">
                  <c:v>1222</c:v>
                </c:pt>
                <c:pt idx="161">
                  <c:v>1223</c:v>
                </c:pt>
                <c:pt idx="162">
                  <c:v>1224</c:v>
                </c:pt>
                <c:pt idx="163">
                  <c:v>1226</c:v>
                </c:pt>
                <c:pt idx="164">
                  <c:v>1227</c:v>
                </c:pt>
                <c:pt idx="165">
                  <c:v>1227</c:v>
                </c:pt>
                <c:pt idx="166">
                  <c:v>1227</c:v>
                </c:pt>
                <c:pt idx="167">
                  <c:v>1227</c:v>
                </c:pt>
                <c:pt idx="168">
                  <c:v>1227</c:v>
                </c:pt>
                <c:pt idx="169">
                  <c:v>1228</c:v>
                </c:pt>
                <c:pt idx="170">
                  <c:v>1229</c:v>
                </c:pt>
                <c:pt idx="171">
                  <c:v>1232</c:v>
                </c:pt>
                <c:pt idx="172">
                  <c:v>1232</c:v>
                </c:pt>
                <c:pt idx="173">
                  <c:v>1233</c:v>
                </c:pt>
                <c:pt idx="174">
                  <c:v>1234</c:v>
                </c:pt>
                <c:pt idx="175">
                  <c:v>1234</c:v>
                </c:pt>
                <c:pt idx="176">
                  <c:v>1237</c:v>
                </c:pt>
                <c:pt idx="177">
                  <c:v>1237</c:v>
                </c:pt>
                <c:pt idx="178">
                  <c:v>1238</c:v>
                </c:pt>
                <c:pt idx="179">
                  <c:v>1238</c:v>
                </c:pt>
                <c:pt idx="180">
                  <c:v>1238</c:v>
                </c:pt>
                <c:pt idx="181">
                  <c:v>1239</c:v>
                </c:pt>
                <c:pt idx="182">
                  <c:v>1240</c:v>
                </c:pt>
                <c:pt idx="183">
                  <c:v>1242</c:v>
                </c:pt>
                <c:pt idx="184">
                  <c:v>1243</c:v>
                </c:pt>
                <c:pt idx="185">
                  <c:v>1243</c:v>
                </c:pt>
                <c:pt idx="186">
                  <c:v>1243</c:v>
                </c:pt>
                <c:pt idx="187">
                  <c:v>1243</c:v>
                </c:pt>
                <c:pt idx="188">
                  <c:v>1244</c:v>
                </c:pt>
                <c:pt idx="189">
                  <c:v>1245</c:v>
                </c:pt>
                <c:pt idx="190">
                  <c:v>1246</c:v>
                </c:pt>
                <c:pt idx="191">
                  <c:v>1246</c:v>
                </c:pt>
                <c:pt idx="192">
                  <c:v>1246</c:v>
                </c:pt>
                <c:pt idx="193">
                  <c:v>1246</c:v>
                </c:pt>
                <c:pt idx="194">
                  <c:v>1247</c:v>
                </c:pt>
                <c:pt idx="195">
                  <c:v>1249</c:v>
                </c:pt>
                <c:pt idx="196">
                  <c:v>1250</c:v>
                </c:pt>
                <c:pt idx="197">
                  <c:v>1251</c:v>
                </c:pt>
                <c:pt idx="198">
                  <c:v>1252</c:v>
                </c:pt>
                <c:pt idx="199">
                  <c:v>1252</c:v>
                </c:pt>
                <c:pt idx="200">
                  <c:v>1252</c:v>
                </c:pt>
                <c:pt idx="201">
                  <c:v>1252</c:v>
                </c:pt>
                <c:pt idx="202">
                  <c:v>1253</c:v>
                </c:pt>
                <c:pt idx="203">
                  <c:v>1255</c:v>
                </c:pt>
                <c:pt idx="204">
                  <c:v>1255</c:v>
                </c:pt>
                <c:pt idx="205">
                  <c:v>1255</c:v>
                </c:pt>
                <c:pt idx="206">
                  <c:v>1255</c:v>
                </c:pt>
                <c:pt idx="207">
                  <c:v>1255</c:v>
                </c:pt>
                <c:pt idx="208">
                  <c:v>1255</c:v>
                </c:pt>
                <c:pt idx="209">
                  <c:v>1255</c:v>
                </c:pt>
                <c:pt idx="210">
                  <c:v>1255</c:v>
                </c:pt>
                <c:pt idx="211">
                  <c:v>1256</c:v>
                </c:pt>
                <c:pt idx="212">
                  <c:v>1256</c:v>
                </c:pt>
                <c:pt idx="213">
                  <c:v>1256</c:v>
                </c:pt>
                <c:pt idx="214">
                  <c:v>1257</c:v>
                </c:pt>
                <c:pt idx="215">
                  <c:v>1257</c:v>
                </c:pt>
                <c:pt idx="216">
                  <c:v>1258</c:v>
                </c:pt>
                <c:pt idx="217">
                  <c:v>1258</c:v>
                </c:pt>
                <c:pt idx="218">
                  <c:v>1259</c:v>
                </c:pt>
                <c:pt idx="219">
                  <c:v>1260</c:v>
                </c:pt>
                <c:pt idx="220">
                  <c:v>1261</c:v>
                </c:pt>
                <c:pt idx="221">
                  <c:v>1263</c:v>
                </c:pt>
                <c:pt idx="222">
                  <c:v>1263</c:v>
                </c:pt>
                <c:pt idx="223">
                  <c:v>1263</c:v>
                </c:pt>
                <c:pt idx="224">
                  <c:v>1264</c:v>
                </c:pt>
                <c:pt idx="225">
                  <c:v>1265</c:v>
                </c:pt>
                <c:pt idx="226">
                  <c:v>1265</c:v>
                </c:pt>
                <c:pt idx="227">
                  <c:v>1268</c:v>
                </c:pt>
                <c:pt idx="228">
                  <c:v>1268</c:v>
                </c:pt>
                <c:pt idx="229">
                  <c:v>1270</c:v>
                </c:pt>
                <c:pt idx="230">
                  <c:v>1272</c:v>
                </c:pt>
                <c:pt idx="231">
                  <c:v>1273</c:v>
                </c:pt>
                <c:pt idx="232">
                  <c:v>1273</c:v>
                </c:pt>
                <c:pt idx="233">
                  <c:v>1273</c:v>
                </c:pt>
                <c:pt idx="234">
                  <c:v>1274</c:v>
                </c:pt>
                <c:pt idx="235">
                  <c:v>1275</c:v>
                </c:pt>
                <c:pt idx="236">
                  <c:v>1276</c:v>
                </c:pt>
                <c:pt idx="237">
                  <c:v>1276</c:v>
                </c:pt>
                <c:pt idx="238">
                  <c:v>1278</c:v>
                </c:pt>
                <c:pt idx="239">
                  <c:v>1278</c:v>
                </c:pt>
                <c:pt idx="240">
                  <c:v>1278</c:v>
                </c:pt>
                <c:pt idx="241">
                  <c:v>1280</c:v>
                </c:pt>
                <c:pt idx="242">
                  <c:v>1282</c:v>
                </c:pt>
                <c:pt idx="243">
                  <c:v>1282</c:v>
                </c:pt>
                <c:pt idx="244">
                  <c:v>1282</c:v>
                </c:pt>
                <c:pt idx="245">
                  <c:v>1283</c:v>
                </c:pt>
                <c:pt idx="246">
                  <c:v>1285</c:v>
                </c:pt>
                <c:pt idx="247">
                  <c:v>1285</c:v>
                </c:pt>
                <c:pt idx="248">
                  <c:v>1286</c:v>
                </c:pt>
                <c:pt idx="249">
                  <c:v>1287</c:v>
                </c:pt>
                <c:pt idx="250">
                  <c:v>1288</c:v>
                </c:pt>
                <c:pt idx="251">
                  <c:v>1288</c:v>
                </c:pt>
                <c:pt idx="252">
                  <c:v>1288</c:v>
                </c:pt>
                <c:pt idx="253">
                  <c:v>1289</c:v>
                </c:pt>
                <c:pt idx="254">
                  <c:v>1289</c:v>
                </c:pt>
                <c:pt idx="255">
                  <c:v>1289</c:v>
                </c:pt>
                <c:pt idx="256">
                  <c:v>1292</c:v>
                </c:pt>
                <c:pt idx="257">
                  <c:v>1293</c:v>
                </c:pt>
                <c:pt idx="258">
                  <c:v>1293</c:v>
                </c:pt>
                <c:pt idx="259">
                  <c:v>1293</c:v>
                </c:pt>
                <c:pt idx="260">
                  <c:v>1294</c:v>
                </c:pt>
                <c:pt idx="261">
                  <c:v>1295</c:v>
                </c:pt>
                <c:pt idx="262">
                  <c:v>1295</c:v>
                </c:pt>
                <c:pt idx="263">
                  <c:v>1295</c:v>
                </c:pt>
                <c:pt idx="264">
                  <c:v>1296</c:v>
                </c:pt>
                <c:pt idx="265">
                  <c:v>1296</c:v>
                </c:pt>
                <c:pt idx="266">
                  <c:v>1297</c:v>
                </c:pt>
                <c:pt idx="267">
                  <c:v>1298</c:v>
                </c:pt>
                <c:pt idx="268">
                  <c:v>1298</c:v>
                </c:pt>
                <c:pt idx="269">
                  <c:v>1299</c:v>
                </c:pt>
                <c:pt idx="270">
                  <c:v>1299</c:v>
                </c:pt>
                <c:pt idx="271">
                  <c:v>1299</c:v>
                </c:pt>
                <c:pt idx="272">
                  <c:v>1299</c:v>
                </c:pt>
                <c:pt idx="273">
                  <c:v>1300</c:v>
                </c:pt>
                <c:pt idx="274">
                  <c:v>1302</c:v>
                </c:pt>
                <c:pt idx="275">
                  <c:v>1302</c:v>
                </c:pt>
                <c:pt idx="276">
                  <c:v>1303</c:v>
                </c:pt>
                <c:pt idx="277">
                  <c:v>1304</c:v>
                </c:pt>
                <c:pt idx="278">
                  <c:v>1304</c:v>
                </c:pt>
                <c:pt idx="279">
                  <c:v>1304</c:v>
                </c:pt>
                <c:pt idx="280">
                  <c:v>1305</c:v>
                </c:pt>
                <c:pt idx="281">
                  <c:v>1305</c:v>
                </c:pt>
                <c:pt idx="282">
                  <c:v>1307</c:v>
                </c:pt>
                <c:pt idx="283">
                  <c:v>1307</c:v>
                </c:pt>
                <c:pt idx="284">
                  <c:v>1309</c:v>
                </c:pt>
                <c:pt idx="285">
                  <c:v>1310</c:v>
                </c:pt>
                <c:pt idx="286">
                  <c:v>1310</c:v>
                </c:pt>
                <c:pt idx="287">
                  <c:v>1312</c:v>
                </c:pt>
                <c:pt idx="288">
                  <c:v>1313</c:v>
                </c:pt>
                <c:pt idx="289">
                  <c:v>1315</c:v>
                </c:pt>
                <c:pt idx="290">
                  <c:v>1315</c:v>
                </c:pt>
                <c:pt idx="291">
                  <c:v>1315</c:v>
                </c:pt>
                <c:pt idx="292">
                  <c:v>1316</c:v>
                </c:pt>
                <c:pt idx="293">
                  <c:v>1316</c:v>
                </c:pt>
                <c:pt idx="294">
                  <c:v>1317</c:v>
                </c:pt>
                <c:pt idx="295">
                  <c:v>1317</c:v>
                </c:pt>
                <c:pt idx="296">
                  <c:v>1318</c:v>
                </c:pt>
                <c:pt idx="297">
                  <c:v>1321</c:v>
                </c:pt>
                <c:pt idx="298">
                  <c:v>1326</c:v>
                </c:pt>
                <c:pt idx="299">
                  <c:v>1326</c:v>
                </c:pt>
                <c:pt idx="300">
                  <c:v>1326</c:v>
                </c:pt>
                <c:pt idx="301">
                  <c:v>1328</c:v>
                </c:pt>
                <c:pt idx="302">
                  <c:v>1330</c:v>
                </c:pt>
                <c:pt idx="303">
                  <c:v>1332</c:v>
                </c:pt>
                <c:pt idx="304">
                  <c:v>1332</c:v>
                </c:pt>
                <c:pt idx="305">
                  <c:v>1333</c:v>
                </c:pt>
                <c:pt idx="306">
                  <c:v>1333</c:v>
                </c:pt>
                <c:pt idx="307">
                  <c:v>1333</c:v>
                </c:pt>
                <c:pt idx="308">
                  <c:v>1334</c:v>
                </c:pt>
                <c:pt idx="309">
                  <c:v>1334</c:v>
                </c:pt>
                <c:pt idx="310">
                  <c:v>1336</c:v>
                </c:pt>
                <c:pt idx="311">
                  <c:v>1338</c:v>
                </c:pt>
                <c:pt idx="312">
                  <c:v>1338</c:v>
                </c:pt>
                <c:pt idx="313">
                  <c:v>1338</c:v>
                </c:pt>
                <c:pt idx="314">
                  <c:v>1339</c:v>
                </c:pt>
                <c:pt idx="315">
                  <c:v>1340</c:v>
                </c:pt>
                <c:pt idx="316">
                  <c:v>1340</c:v>
                </c:pt>
                <c:pt idx="317">
                  <c:v>1342</c:v>
                </c:pt>
                <c:pt idx="318">
                  <c:v>1342</c:v>
                </c:pt>
                <c:pt idx="319">
                  <c:v>1342</c:v>
                </c:pt>
                <c:pt idx="320">
                  <c:v>1342</c:v>
                </c:pt>
                <c:pt idx="321">
                  <c:v>1342</c:v>
                </c:pt>
                <c:pt idx="322">
                  <c:v>1343</c:v>
                </c:pt>
                <c:pt idx="323">
                  <c:v>1344</c:v>
                </c:pt>
                <c:pt idx="324">
                  <c:v>1344</c:v>
                </c:pt>
                <c:pt idx="325">
                  <c:v>1344</c:v>
                </c:pt>
                <c:pt idx="326">
                  <c:v>1344</c:v>
                </c:pt>
                <c:pt idx="327">
                  <c:v>1345</c:v>
                </c:pt>
                <c:pt idx="328">
                  <c:v>1346</c:v>
                </c:pt>
                <c:pt idx="329">
                  <c:v>1348</c:v>
                </c:pt>
                <c:pt idx="330">
                  <c:v>1349</c:v>
                </c:pt>
                <c:pt idx="331">
                  <c:v>1349</c:v>
                </c:pt>
                <c:pt idx="332">
                  <c:v>1349</c:v>
                </c:pt>
                <c:pt idx="333">
                  <c:v>1349</c:v>
                </c:pt>
                <c:pt idx="334">
                  <c:v>1350</c:v>
                </c:pt>
                <c:pt idx="335">
                  <c:v>1350</c:v>
                </c:pt>
                <c:pt idx="336">
                  <c:v>1352</c:v>
                </c:pt>
                <c:pt idx="337">
                  <c:v>1356</c:v>
                </c:pt>
                <c:pt idx="338">
                  <c:v>1356</c:v>
                </c:pt>
                <c:pt idx="339">
                  <c:v>1357</c:v>
                </c:pt>
                <c:pt idx="340">
                  <c:v>1358</c:v>
                </c:pt>
                <c:pt idx="341">
                  <c:v>1358</c:v>
                </c:pt>
                <c:pt idx="342">
                  <c:v>1360</c:v>
                </c:pt>
                <c:pt idx="343">
                  <c:v>1362</c:v>
                </c:pt>
                <c:pt idx="344">
                  <c:v>1363</c:v>
                </c:pt>
                <c:pt idx="345">
                  <c:v>1364</c:v>
                </c:pt>
                <c:pt idx="346">
                  <c:v>1364</c:v>
                </c:pt>
                <c:pt idx="347">
                  <c:v>1367</c:v>
                </c:pt>
                <c:pt idx="348">
                  <c:v>1368</c:v>
                </c:pt>
                <c:pt idx="349">
                  <c:v>1368</c:v>
                </c:pt>
                <c:pt idx="350">
                  <c:v>1372</c:v>
                </c:pt>
                <c:pt idx="351">
                  <c:v>1372</c:v>
                </c:pt>
                <c:pt idx="352">
                  <c:v>1373</c:v>
                </c:pt>
                <c:pt idx="353">
                  <c:v>1374</c:v>
                </c:pt>
                <c:pt idx="354">
                  <c:v>1374</c:v>
                </c:pt>
                <c:pt idx="355">
                  <c:v>1377</c:v>
                </c:pt>
                <c:pt idx="356">
                  <c:v>1378</c:v>
                </c:pt>
                <c:pt idx="357">
                  <c:v>1379</c:v>
                </c:pt>
                <c:pt idx="358">
                  <c:v>1380</c:v>
                </c:pt>
                <c:pt idx="359">
                  <c:v>1380</c:v>
                </c:pt>
                <c:pt idx="360">
                  <c:v>1381</c:v>
                </c:pt>
                <c:pt idx="361">
                  <c:v>1381</c:v>
                </c:pt>
                <c:pt idx="362">
                  <c:v>1382</c:v>
                </c:pt>
                <c:pt idx="363">
                  <c:v>1383</c:v>
                </c:pt>
                <c:pt idx="364">
                  <c:v>1384</c:v>
                </c:pt>
                <c:pt idx="365">
                  <c:v>1385</c:v>
                </c:pt>
                <c:pt idx="366">
                  <c:v>1386</c:v>
                </c:pt>
                <c:pt idx="367">
                  <c:v>1390</c:v>
                </c:pt>
                <c:pt idx="368">
                  <c:v>1390</c:v>
                </c:pt>
                <c:pt idx="369">
                  <c:v>1391</c:v>
                </c:pt>
                <c:pt idx="370">
                  <c:v>1392</c:v>
                </c:pt>
                <c:pt idx="371">
                  <c:v>1393</c:v>
                </c:pt>
                <c:pt idx="372">
                  <c:v>1395</c:v>
                </c:pt>
                <c:pt idx="373">
                  <c:v>1395</c:v>
                </c:pt>
                <c:pt idx="374">
                  <c:v>1396</c:v>
                </c:pt>
                <c:pt idx="375">
                  <c:v>1398</c:v>
                </c:pt>
                <c:pt idx="376">
                  <c:v>1398</c:v>
                </c:pt>
                <c:pt idx="377">
                  <c:v>1399</c:v>
                </c:pt>
                <c:pt idx="378">
                  <c:v>1400</c:v>
                </c:pt>
                <c:pt idx="379">
                  <c:v>1401</c:v>
                </c:pt>
                <c:pt idx="380">
                  <c:v>1401</c:v>
                </c:pt>
                <c:pt idx="381">
                  <c:v>1403</c:v>
                </c:pt>
                <c:pt idx="382">
                  <c:v>1404</c:v>
                </c:pt>
                <c:pt idx="383">
                  <c:v>1405</c:v>
                </c:pt>
                <c:pt idx="384">
                  <c:v>1407</c:v>
                </c:pt>
                <c:pt idx="385">
                  <c:v>1408</c:v>
                </c:pt>
                <c:pt idx="386">
                  <c:v>1408</c:v>
                </c:pt>
                <c:pt idx="387">
                  <c:v>1410</c:v>
                </c:pt>
                <c:pt idx="388">
                  <c:v>1414</c:v>
                </c:pt>
                <c:pt idx="389">
                  <c:v>1416</c:v>
                </c:pt>
                <c:pt idx="390">
                  <c:v>1418</c:v>
                </c:pt>
                <c:pt idx="391">
                  <c:v>1422</c:v>
                </c:pt>
                <c:pt idx="392">
                  <c:v>1422</c:v>
                </c:pt>
                <c:pt idx="393">
                  <c:v>1422</c:v>
                </c:pt>
                <c:pt idx="394">
                  <c:v>1426</c:v>
                </c:pt>
                <c:pt idx="395">
                  <c:v>1430</c:v>
                </c:pt>
                <c:pt idx="396">
                  <c:v>1430</c:v>
                </c:pt>
                <c:pt idx="397">
                  <c:v>1433</c:v>
                </c:pt>
                <c:pt idx="398">
                  <c:v>1434</c:v>
                </c:pt>
                <c:pt idx="399">
                  <c:v>1434</c:v>
                </c:pt>
                <c:pt idx="400">
                  <c:v>1436</c:v>
                </c:pt>
                <c:pt idx="401">
                  <c:v>1442</c:v>
                </c:pt>
                <c:pt idx="402">
                  <c:v>1443</c:v>
                </c:pt>
                <c:pt idx="403">
                  <c:v>1444</c:v>
                </c:pt>
                <c:pt idx="404">
                  <c:v>1444</c:v>
                </c:pt>
                <c:pt idx="405">
                  <c:v>1448</c:v>
                </c:pt>
                <c:pt idx="406">
                  <c:v>1450</c:v>
                </c:pt>
                <c:pt idx="407">
                  <c:v>1451</c:v>
                </c:pt>
                <c:pt idx="408">
                  <c:v>1452</c:v>
                </c:pt>
                <c:pt idx="409">
                  <c:v>1456</c:v>
                </c:pt>
                <c:pt idx="410">
                  <c:v>1456</c:v>
                </c:pt>
                <c:pt idx="411">
                  <c:v>1456</c:v>
                </c:pt>
                <c:pt idx="412">
                  <c:v>1458</c:v>
                </c:pt>
                <c:pt idx="413">
                  <c:v>1467</c:v>
                </c:pt>
                <c:pt idx="414">
                  <c:v>1468</c:v>
                </c:pt>
                <c:pt idx="415">
                  <c:v>1471</c:v>
                </c:pt>
                <c:pt idx="416">
                  <c:v>1476</c:v>
                </c:pt>
                <c:pt idx="417">
                  <c:v>1476</c:v>
                </c:pt>
                <c:pt idx="418">
                  <c:v>1479</c:v>
                </c:pt>
                <c:pt idx="419">
                  <c:v>1482</c:v>
                </c:pt>
                <c:pt idx="420">
                  <c:v>1483</c:v>
                </c:pt>
                <c:pt idx="421">
                  <c:v>1493</c:v>
                </c:pt>
                <c:pt idx="422">
                  <c:v>1494</c:v>
                </c:pt>
                <c:pt idx="423">
                  <c:v>1499</c:v>
                </c:pt>
                <c:pt idx="424">
                  <c:v>1501</c:v>
                </c:pt>
                <c:pt idx="425">
                  <c:v>1511</c:v>
                </c:pt>
                <c:pt idx="426">
                  <c:v>1511</c:v>
                </c:pt>
                <c:pt idx="427">
                  <c:v>1531</c:v>
                </c:pt>
                <c:pt idx="428">
                  <c:v>1540</c:v>
                </c:pt>
                <c:pt idx="429">
                  <c:v>1542</c:v>
                </c:pt>
                <c:pt idx="430">
                  <c:v>1550</c:v>
                </c:pt>
                <c:pt idx="431">
                  <c:v>1561</c:v>
                </c:pt>
                <c:pt idx="432">
                  <c:v>1583</c:v>
                </c:pt>
                <c:pt idx="433">
                  <c:v>1596</c:v>
                </c:pt>
                <c:pt idx="434">
                  <c:v>1618</c:v>
                </c:pt>
                <c:pt idx="435">
                  <c:v>1633</c:v>
                </c:pt>
                <c:pt idx="436">
                  <c:v>1637</c:v>
                </c:pt>
                <c:pt idx="437">
                  <c:v>1638</c:v>
                </c:pt>
                <c:pt idx="438">
                  <c:v>1649</c:v>
                </c:pt>
                <c:pt idx="439">
                  <c:v>1657</c:v>
                </c:pt>
                <c:pt idx="440">
                  <c:v>1658</c:v>
                </c:pt>
                <c:pt idx="441">
                  <c:v>1660</c:v>
                </c:pt>
                <c:pt idx="442">
                  <c:v>1668</c:v>
                </c:pt>
                <c:pt idx="443">
                  <c:v>1669</c:v>
                </c:pt>
                <c:pt idx="444">
                  <c:v>1669</c:v>
                </c:pt>
                <c:pt idx="445">
                  <c:v>1679</c:v>
                </c:pt>
                <c:pt idx="446">
                  <c:v>1684</c:v>
                </c:pt>
                <c:pt idx="447">
                  <c:v>1684</c:v>
                </c:pt>
                <c:pt idx="448">
                  <c:v>1686</c:v>
                </c:pt>
                <c:pt idx="449">
                  <c:v>1710</c:v>
                </c:pt>
                <c:pt idx="450">
                  <c:v>1711</c:v>
                </c:pt>
                <c:pt idx="451">
                  <c:v>1724</c:v>
                </c:pt>
                <c:pt idx="452">
                  <c:v>1734</c:v>
                </c:pt>
                <c:pt idx="453">
                  <c:v>1853</c:v>
                </c:pt>
                <c:pt idx="454">
                  <c:v>1889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solidFill>
              <a:srgbClr val="ED7D31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temporalBoundaries!$A$4:$A$462</c:f>
              <c:numCache>
                <c:formatCode>General</c:formatCode>
                <c:ptCount val="455"/>
              </c:numCache>
            </c:numRef>
          </c:xVal>
          <c:yVal>
            <c:numRef>
              <c:f>temporalBoundaries!$C$4:$C$462</c:f>
              <c:numCache>
                <c:formatCode>General</c:formatCode>
                <c:ptCount val="455"/>
                <c:pt idx="0">
                  <c:v>1398</c:v>
                </c:pt>
                <c:pt idx="1">
                  <c:v>1398</c:v>
                </c:pt>
                <c:pt idx="2">
                  <c:v>1801</c:v>
                </c:pt>
                <c:pt idx="3">
                  <c:v>1800</c:v>
                </c:pt>
                <c:pt idx="4">
                  <c:v>1398</c:v>
                </c:pt>
                <c:pt idx="5">
                  <c:v>839</c:v>
                </c:pt>
                <c:pt idx="6">
                  <c:v>1400</c:v>
                </c:pt>
                <c:pt idx="7">
                  <c:v>1500</c:v>
                </c:pt>
                <c:pt idx="8">
                  <c:v>1390</c:v>
                </c:pt>
                <c:pt idx="9">
                  <c:v>1600</c:v>
                </c:pt>
                <c:pt idx="10">
                  <c:v>909</c:v>
                </c:pt>
                <c:pt idx="11">
                  <c:v>1675</c:v>
                </c:pt>
                <c:pt idx="12">
                  <c:v>1686</c:v>
                </c:pt>
                <c:pt idx="13">
                  <c:v>1398</c:v>
                </c:pt>
                <c:pt idx="14">
                  <c:v>1395</c:v>
                </c:pt>
                <c:pt idx="15">
                  <c:v>1631</c:v>
                </c:pt>
                <c:pt idx="16">
                  <c:v>1398</c:v>
                </c:pt>
                <c:pt idx="17">
                  <c:v>1717</c:v>
                </c:pt>
                <c:pt idx="18">
                  <c:v>1398</c:v>
                </c:pt>
                <c:pt idx="19">
                  <c:v>1377</c:v>
                </c:pt>
                <c:pt idx="20">
                  <c:v>1398</c:v>
                </c:pt>
                <c:pt idx="21">
                  <c:v>1801</c:v>
                </c:pt>
                <c:pt idx="22">
                  <c:v>1002</c:v>
                </c:pt>
                <c:pt idx="23">
                  <c:v>1730</c:v>
                </c:pt>
                <c:pt idx="24">
                  <c:v>1981</c:v>
                </c:pt>
                <c:pt idx="25">
                  <c:v>1908</c:v>
                </c:pt>
                <c:pt idx="26">
                  <c:v>1486</c:v>
                </c:pt>
                <c:pt idx="27">
                  <c:v>1761</c:v>
                </c:pt>
                <c:pt idx="28">
                  <c:v>1398</c:v>
                </c:pt>
                <c:pt idx="29">
                  <c:v>1801</c:v>
                </c:pt>
                <c:pt idx="30">
                  <c:v>1398</c:v>
                </c:pt>
                <c:pt idx="31">
                  <c:v>1717</c:v>
                </c:pt>
                <c:pt idx="32">
                  <c:v>1394</c:v>
                </c:pt>
                <c:pt idx="33">
                  <c:v>1398</c:v>
                </c:pt>
                <c:pt idx="34">
                  <c:v>1680</c:v>
                </c:pt>
                <c:pt idx="35">
                  <c:v>1397</c:v>
                </c:pt>
                <c:pt idx="36">
                  <c:v>1760</c:v>
                </c:pt>
                <c:pt idx="37">
                  <c:v>1397</c:v>
                </c:pt>
                <c:pt idx="38">
                  <c:v>1908</c:v>
                </c:pt>
                <c:pt idx="39">
                  <c:v>1398</c:v>
                </c:pt>
                <c:pt idx="40">
                  <c:v>1801</c:v>
                </c:pt>
                <c:pt idx="41">
                  <c:v>1522</c:v>
                </c:pt>
                <c:pt idx="42">
                  <c:v>1397</c:v>
                </c:pt>
                <c:pt idx="43">
                  <c:v>1398</c:v>
                </c:pt>
                <c:pt idx="44">
                  <c:v>1951</c:v>
                </c:pt>
                <c:pt idx="45">
                  <c:v>1802</c:v>
                </c:pt>
                <c:pt idx="46">
                  <c:v>1298</c:v>
                </c:pt>
                <c:pt idx="47">
                  <c:v>1390</c:v>
                </c:pt>
                <c:pt idx="48">
                  <c:v>1396</c:v>
                </c:pt>
                <c:pt idx="49">
                  <c:v>1526</c:v>
                </c:pt>
                <c:pt idx="50">
                  <c:v>1483</c:v>
                </c:pt>
                <c:pt idx="51">
                  <c:v>1801</c:v>
                </c:pt>
                <c:pt idx="52">
                  <c:v>1400</c:v>
                </c:pt>
                <c:pt idx="53">
                  <c:v>1478</c:v>
                </c:pt>
                <c:pt idx="54">
                  <c:v>1403</c:v>
                </c:pt>
                <c:pt idx="55">
                  <c:v>1516</c:v>
                </c:pt>
                <c:pt idx="56">
                  <c:v>1222</c:v>
                </c:pt>
                <c:pt idx="57">
                  <c:v>1658</c:v>
                </c:pt>
                <c:pt idx="58">
                  <c:v>1820</c:v>
                </c:pt>
                <c:pt idx="59">
                  <c:v>1666</c:v>
                </c:pt>
                <c:pt idx="60">
                  <c:v>1397</c:v>
                </c:pt>
                <c:pt idx="61">
                  <c:v>1699</c:v>
                </c:pt>
                <c:pt idx="62">
                  <c:v>1564</c:v>
                </c:pt>
                <c:pt idx="63">
                  <c:v>1802</c:v>
                </c:pt>
                <c:pt idx="64">
                  <c:v>1780</c:v>
                </c:pt>
                <c:pt idx="65">
                  <c:v>1601</c:v>
                </c:pt>
                <c:pt idx="66">
                  <c:v>1397</c:v>
                </c:pt>
                <c:pt idx="67">
                  <c:v>1612</c:v>
                </c:pt>
                <c:pt idx="68">
                  <c:v>1959</c:v>
                </c:pt>
                <c:pt idx="69">
                  <c:v>1852</c:v>
                </c:pt>
                <c:pt idx="70">
                  <c:v>1792</c:v>
                </c:pt>
                <c:pt idx="71">
                  <c:v>1797</c:v>
                </c:pt>
                <c:pt idx="72">
                  <c:v>1526</c:v>
                </c:pt>
                <c:pt idx="73">
                  <c:v>1650</c:v>
                </c:pt>
                <c:pt idx="74">
                  <c:v>1588</c:v>
                </c:pt>
                <c:pt idx="75">
                  <c:v>1556</c:v>
                </c:pt>
                <c:pt idx="76">
                  <c:v>1398</c:v>
                </c:pt>
                <c:pt idx="77">
                  <c:v>1641</c:v>
                </c:pt>
                <c:pt idx="78">
                  <c:v>1378</c:v>
                </c:pt>
                <c:pt idx="79">
                  <c:v>1796</c:v>
                </c:pt>
                <c:pt idx="80">
                  <c:v>1457</c:v>
                </c:pt>
                <c:pt idx="81">
                  <c:v>1800</c:v>
                </c:pt>
                <c:pt idx="82">
                  <c:v>1857</c:v>
                </c:pt>
                <c:pt idx="83">
                  <c:v>1396</c:v>
                </c:pt>
                <c:pt idx="84">
                  <c:v>1797</c:v>
                </c:pt>
                <c:pt idx="85">
                  <c:v>1389</c:v>
                </c:pt>
                <c:pt idx="86">
                  <c:v>1806</c:v>
                </c:pt>
                <c:pt idx="87">
                  <c:v>1139</c:v>
                </c:pt>
                <c:pt idx="88">
                  <c:v>1791</c:v>
                </c:pt>
                <c:pt idx="89">
                  <c:v>1774</c:v>
                </c:pt>
                <c:pt idx="90">
                  <c:v>1397</c:v>
                </c:pt>
                <c:pt idx="91">
                  <c:v>1398</c:v>
                </c:pt>
                <c:pt idx="92">
                  <c:v>1397</c:v>
                </c:pt>
                <c:pt idx="93">
                  <c:v>1484</c:v>
                </c:pt>
                <c:pt idx="94">
                  <c:v>1788</c:v>
                </c:pt>
                <c:pt idx="95">
                  <c:v>1397</c:v>
                </c:pt>
                <c:pt idx="96">
                  <c:v>1523</c:v>
                </c:pt>
                <c:pt idx="97">
                  <c:v>1785</c:v>
                </c:pt>
                <c:pt idx="98">
                  <c:v>1597</c:v>
                </c:pt>
                <c:pt idx="99">
                  <c:v>1795</c:v>
                </c:pt>
                <c:pt idx="100">
                  <c:v>1398</c:v>
                </c:pt>
                <c:pt idx="101">
                  <c:v>1436</c:v>
                </c:pt>
                <c:pt idx="102">
                  <c:v>1488</c:v>
                </c:pt>
                <c:pt idx="103">
                  <c:v>1794</c:v>
                </c:pt>
                <c:pt idx="104">
                  <c:v>1600</c:v>
                </c:pt>
                <c:pt idx="105">
                  <c:v>1731</c:v>
                </c:pt>
                <c:pt idx="106">
                  <c:v>1501</c:v>
                </c:pt>
                <c:pt idx="107">
                  <c:v>1783</c:v>
                </c:pt>
                <c:pt idx="108">
                  <c:v>1550</c:v>
                </c:pt>
                <c:pt idx="109">
                  <c:v>1489</c:v>
                </c:pt>
                <c:pt idx="110">
                  <c:v>1600</c:v>
                </c:pt>
                <c:pt idx="111">
                  <c:v>1398</c:v>
                </c:pt>
                <c:pt idx="112">
                  <c:v>1453</c:v>
                </c:pt>
                <c:pt idx="113">
                  <c:v>1368</c:v>
                </c:pt>
                <c:pt idx="114">
                  <c:v>1394</c:v>
                </c:pt>
                <c:pt idx="115">
                  <c:v>1869</c:v>
                </c:pt>
                <c:pt idx="116">
                  <c:v>1392</c:v>
                </c:pt>
                <c:pt idx="117">
                  <c:v>1496</c:v>
                </c:pt>
                <c:pt idx="118">
                  <c:v>1992</c:v>
                </c:pt>
                <c:pt idx="119">
                  <c:v>1488</c:v>
                </c:pt>
                <c:pt idx="120">
                  <c:v>1798</c:v>
                </c:pt>
                <c:pt idx="121">
                  <c:v>1397</c:v>
                </c:pt>
                <c:pt idx="122">
                  <c:v>1550</c:v>
                </c:pt>
                <c:pt idx="123">
                  <c:v>1803</c:v>
                </c:pt>
                <c:pt idx="124">
                  <c:v>1395</c:v>
                </c:pt>
                <c:pt idx="125">
                  <c:v>1394</c:v>
                </c:pt>
                <c:pt idx="126">
                  <c:v>1908</c:v>
                </c:pt>
                <c:pt idx="127">
                  <c:v>1398</c:v>
                </c:pt>
                <c:pt idx="128">
                  <c:v>1819</c:v>
                </c:pt>
                <c:pt idx="129">
                  <c:v>1198</c:v>
                </c:pt>
                <c:pt idx="130">
                  <c:v>1393</c:v>
                </c:pt>
                <c:pt idx="131">
                  <c:v>1796</c:v>
                </c:pt>
                <c:pt idx="132">
                  <c:v>1782</c:v>
                </c:pt>
                <c:pt idx="133">
                  <c:v>1398</c:v>
                </c:pt>
                <c:pt idx="134">
                  <c:v>1397</c:v>
                </c:pt>
                <c:pt idx="135">
                  <c:v>1523</c:v>
                </c:pt>
                <c:pt idx="136">
                  <c:v>1460</c:v>
                </c:pt>
                <c:pt idx="137">
                  <c:v>1396</c:v>
                </c:pt>
                <c:pt idx="138">
                  <c:v>1520</c:v>
                </c:pt>
                <c:pt idx="139">
                  <c:v>1600</c:v>
                </c:pt>
                <c:pt idx="140">
                  <c:v>1398</c:v>
                </c:pt>
                <c:pt idx="141">
                  <c:v>1580</c:v>
                </c:pt>
                <c:pt idx="142">
                  <c:v>1486</c:v>
                </c:pt>
                <c:pt idx="143">
                  <c:v>1393</c:v>
                </c:pt>
                <c:pt idx="144">
                  <c:v>1398</c:v>
                </c:pt>
                <c:pt idx="145">
                  <c:v>1782</c:v>
                </c:pt>
                <c:pt idx="146">
                  <c:v>1393</c:v>
                </c:pt>
                <c:pt idx="147">
                  <c:v>1704</c:v>
                </c:pt>
                <c:pt idx="148">
                  <c:v>1392</c:v>
                </c:pt>
                <c:pt idx="149">
                  <c:v>1526</c:v>
                </c:pt>
                <c:pt idx="150">
                  <c:v>1800</c:v>
                </c:pt>
                <c:pt idx="151">
                  <c:v>1394</c:v>
                </c:pt>
                <c:pt idx="152">
                  <c:v>1516</c:v>
                </c:pt>
                <c:pt idx="153">
                  <c:v>1398</c:v>
                </c:pt>
                <c:pt idx="154">
                  <c:v>1797</c:v>
                </c:pt>
                <c:pt idx="155">
                  <c:v>1325</c:v>
                </c:pt>
                <c:pt idx="156">
                  <c:v>1372</c:v>
                </c:pt>
                <c:pt idx="157">
                  <c:v>1395</c:v>
                </c:pt>
                <c:pt idx="158">
                  <c:v>1396</c:v>
                </c:pt>
                <c:pt idx="159">
                  <c:v>1466</c:v>
                </c:pt>
                <c:pt idx="160">
                  <c:v>1502</c:v>
                </c:pt>
                <c:pt idx="161">
                  <c:v>1223</c:v>
                </c:pt>
                <c:pt idx="162">
                  <c:v>1396</c:v>
                </c:pt>
                <c:pt idx="163">
                  <c:v>1521</c:v>
                </c:pt>
                <c:pt idx="164">
                  <c:v>1380</c:v>
                </c:pt>
                <c:pt idx="165">
                  <c:v>1526</c:v>
                </c:pt>
                <c:pt idx="166">
                  <c:v>1719</c:v>
                </c:pt>
                <c:pt idx="167">
                  <c:v>1391</c:v>
                </c:pt>
                <c:pt idx="168">
                  <c:v>1394</c:v>
                </c:pt>
                <c:pt idx="169">
                  <c:v>1793</c:v>
                </c:pt>
                <c:pt idx="170">
                  <c:v>1970</c:v>
                </c:pt>
                <c:pt idx="171">
                  <c:v>1256</c:v>
                </c:pt>
                <c:pt idx="172">
                  <c:v>1781</c:v>
                </c:pt>
                <c:pt idx="173">
                  <c:v>1853</c:v>
                </c:pt>
                <c:pt idx="174">
                  <c:v>1528</c:v>
                </c:pt>
                <c:pt idx="175">
                  <c:v>1417</c:v>
                </c:pt>
                <c:pt idx="176">
                  <c:v>1387</c:v>
                </c:pt>
                <c:pt idx="177">
                  <c:v>1799</c:v>
                </c:pt>
                <c:pt idx="178">
                  <c:v>1393</c:v>
                </c:pt>
                <c:pt idx="179">
                  <c:v>1392</c:v>
                </c:pt>
                <c:pt idx="180">
                  <c:v>1514</c:v>
                </c:pt>
                <c:pt idx="181">
                  <c:v>1697</c:v>
                </c:pt>
                <c:pt idx="182">
                  <c:v>1240</c:v>
                </c:pt>
                <c:pt idx="183">
                  <c:v>1394</c:v>
                </c:pt>
                <c:pt idx="184">
                  <c:v>1765</c:v>
                </c:pt>
                <c:pt idx="185">
                  <c:v>1398</c:v>
                </c:pt>
                <c:pt idx="186">
                  <c:v>1461</c:v>
                </c:pt>
                <c:pt idx="187">
                  <c:v>1398</c:v>
                </c:pt>
                <c:pt idx="188">
                  <c:v>1552</c:v>
                </c:pt>
                <c:pt idx="189">
                  <c:v>1245</c:v>
                </c:pt>
                <c:pt idx="190">
                  <c:v>1394</c:v>
                </c:pt>
                <c:pt idx="191">
                  <c:v>1786</c:v>
                </c:pt>
                <c:pt idx="192">
                  <c:v>1525</c:v>
                </c:pt>
                <c:pt idx="193">
                  <c:v>1526</c:v>
                </c:pt>
                <c:pt idx="194">
                  <c:v>1418</c:v>
                </c:pt>
                <c:pt idx="195">
                  <c:v>1297</c:v>
                </c:pt>
                <c:pt idx="196">
                  <c:v>1670</c:v>
                </c:pt>
                <c:pt idx="197">
                  <c:v>1396</c:v>
                </c:pt>
                <c:pt idx="198">
                  <c:v>1252</c:v>
                </c:pt>
                <c:pt idx="199">
                  <c:v>1260</c:v>
                </c:pt>
                <c:pt idx="200">
                  <c:v>1317</c:v>
                </c:pt>
                <c:pt idx="201">
                  <c:v>1629</c:v>
                </c:pt>
                <c:pt idx="202">
                  <c:v>1568</c:v>
                </c:pt>
                <c:pt idx="203">
                  <c:v>1392</c:v>
                </c:pt>
                <c:pt idx="204">
                  <c:v>1372</c:v>
                </c:pt>
                <c:pt idx="205">
                  <c:v>1397</c:v>
                </c:pt>
                <c:pt idx="206">
                  <c:v>1480</c:v>
                </c:pt>
                <c:pt idx="207">
                  <c:v>1861</c:v>
                </c:pt>
                <c:pt idx="208">
                  <c:v>1397</c:v>
                </c:pt>
                <c:pt idx="209">
                  <c:v>1398</c:v>
                </c:pt>
                <c:pt idx="210">
                  <c:v>1735</c:v>
                </c:pt>
                <c:pt idx="211">
                  <c:v>1760</c:v>
                </c:pt>
                <c:pt idx="212">
                  <c:v>1523</c:v>
                </c:pt>
                <c:pt idx="213">
                  <c:v>1752</c:v>
                </c:pt>
                <c:pt idx="214">
                  <c:v>1257</c:v>
                </c:pt>
                <c:pt idx="215">
                  <c:v>1799</c:v>
                </c:pt>
                <c:pt idx="216">
                  <c:v>1289</c:v>
                </c:pt>
                <c:pt idx="217">
                  <c:v>1841</c:v>
                </c:pt>
                <c:pt idx="218">
                  <c:v>1631</c:v>
                </c:pt>
                <c:pt idx="219">
                  <c:v>1379</c:v>
                </c:pt>
                <c:pt idx="220">
                  <c:v>1398</c:v>
                </c:pt>
                <c:pt idx="221">
                  <c:v>1397</c:v>
                </c:pt>
                <c:pt idx="222">
                  <c:v>1488</c:v>
                </c:pt>
                <c:pt idx="223">
                  <c:v>1840</c:v>
                </c:pt>
                <c:pt idx="224">
                  <c:v>1776</c:v>
                </c:pt>
                <c:pt idx="225">
                  <c:v>1640</c:v>
                </c:pt>
                <c:pt idx="226">
                  <c:v>1398</c:v>
                </c:pt>
                <c:pt idx="227">
                  <c:v>1791</c:v>
                </c:pt>
                <c:pt idx="228">
                  <c:v>1461</c:v>
                </c:pt>
                <c:pt idx="229">
                  <c:v>1795</c:v>
                </c:pt>
                <c:pt idx="230">
                  <c:v>1424</c:v>
                </c:pt>
                <c:pt idx="231">
                  <c:v>1524</c:v>
                </c:pt>
                <c:pt idx="232">
                  <c:v>1273</c:v>
                </c:pt>
                <c:pt idx="233">
                  <c:v>1568</c:v>
                </c:pt>
                <c:pt idx="234">
                  <c:v>1578</c:v>
                </c:pt>
                <c:pt idx="235">
                  <c:v>1398</c:v>
                </c:pt>
                <c:pt idx="236">
                  <c:v>1399</c:v>
                </c:pt>
                <c:pt idx="237">
                  <c:v>1729</c:v>
                </c:pt>
                <c:pt idx="238">
                  <c:v>1489</c:v>
                </c:pt>
                <c:pt idx="239">
                  <c:v>1407</c:v>
                </c:pt>
                <c:pt idx="240">
                  <c:v>1398</c:v>
                </c:pt>
                <c:pt idx="241">
                  <c:v>1387</c:v>
                </c:pt>
                <c:pt idx="242">
                  <c:v>1340</c:v>
                </c:pt>
                <c:pt idx="243">
                  <c:v>1385</c:v>
                </c:pt>
                <c:pt idx="244">
                  <c:v>1391</c:v>
                </c:pt>
                <c:pt idx="245">
                  <c:v>1523</c:v>
                </c:pt>
                <c:pt idx="246">
                  <c:v>1510</c:v>
                </c:pt>
                <c:pt idx="247">
                  <c:v>1390</c:v>
                </c:pt>
                <c:pt idx="248">
                  <c:v>1780</c:v>
                </c:pt>
                <c:pt idx="249">
                  <c:v>1754</c:v>
                </c:pt>
                <c:pt idx="250">
                  <c:v>1390</c:v>
                </c:pt>
                <c:pt idx="251">
                  <c:v>1313</c:v>
                </c:pt>
                <c:pt idx="252">
                  <c:v>1451</c:v>
                </c:pt>
                <c:pt idx="253">
                  <c:v>1904</c:v>
                </c:pt>
                <c:pt idx="254">
                  <c:v>1754</c:v>
                </c:pt>
                <c:pt idx="255">
                  <c:v>1704</c:v>
                </c:pt>
                <c:pt idx="256">
                  <c:v>1392</c:v>
                </c:pt>
                <c:pt idx="257">
                  <c:v>1397</c:v>
                </c:pt>
                <c:pt idx="258">
                  <c:v>1697</c:v>
                </c:pt>
                <c:pt idx="259">
                  <c:v>1522</c:v>
                </c:pt>
                <c:pt idx="260">
                  <c:v>1785</c:v>
                </c:pt>
                <c:pt idx="261">
                  <c:v>1773</c:v>
                </c:pt>
                <c:pt idx="262">
                  <c:v>1398</c:v>
                </c:pt>
                <c:pt idx="263">
                  <c:v>1397</c:v>
                </c:pt>
                <c:pt idx="264">
                  <c:v>1917</c:v>
                </c:pt>
                <c:pt idx="265">
                  <c:v>1780</c:v>
                </c:pt>
                <c:pt idx="266">
                  <c:v>1523</c:v>
                </c:pt>
                <c:pt idx="267">
                  <c:v>1779</c:v>
                </c:pt>
                <c:pt idx="268">
                  <c:v>1530</c:v>
                </c:pt>
                <c:pt idx="269">
                  <c:v>1484</c:v>
                </c:pt>
                <c:pt idx="270">
                  <c:v>1361</c:v>
                </c:pt>
                <c:pt idx="271">
                  <c:v>1373</c:v>
                </c:pt>
                <c:pt idx="272">
                  <c:v>1299</c:v>
                </c:pt>
                <c:pt idx="273">
                  <c:v>1755</c:v>
                </c:pt>
                <c:pt idx="274">
                  <c:v>1568</c:v>
                </c:pt>
                <c:pt idx="275">
                  <c:v>1302</c:v>
                </c:pt>
                <c:pt idx="276">
                  <c:v>1389</c:v>
                </c:pt>
                <c:pt idx="277">
                  <c:v>1392</c:v>
                </c:pt>
                <c:pt idx="278">
                  <c:v>1815</c:v>
                </c:pt>
                <c:pt idx="279">
                  <c:v>1392</c:v>
                </c:pt>
                <c:pt idx="280">
                  <c:v>1328</c:v>
                </c:pt>
                <c:pt idx="281">
                  <c:v>1771</c:v>
                </c:pt>
                <c:pt idx="282">
                  <c:v>1398</c:v>
                </c:pt>
                <c:pt idx="283">
                  <c:v>1386</c:v>
                </c:pt>
                <c:pt idx="284">
                  <c:v>1398</c:v>
                </c:pt>
                <c:pt idx="285">
                  <c:v>1383</c:v>
                </c:pt>
                <c:pt idx="286">
                  <c:v>1787</c:v>
                </c:pt>
                <c:pt idx="287">
                  <c:v>1747</c:v>
                </c:pt>
                <c:pt idx="288">
                  <c:v>1394</c:v>
                </c:pt>
                <c:pt idx="289">
                  <c:v>1395</c:v>
                </c:pt>
                <c:pt idx="290">
                  <c:v>1742</c:v>
                </c:pt>
                <c:pt idx="291">
                  <c:v>1522</c:v>
                </c:pt>
                <c:pt idx="292">
                  <c:v>1782</c:v>
                </c:pt>
                <c:pt idx="293">
                  <c:v>1682</c:v>
                </c:pt>
                <c:pt idx="294">
                  <c:v>1790</c:v>
                </c:pt>
                <c:pt idx="295">
                  <c:v>1317</c:v>
                </c:pt>
                <c:pt idx="296">
                  <c:v>1393</c:v>
                </c:pt>
                <c:pt idx="297">
                  <c:v>1444</c:v>
                </c:pt>
                <c:pt idx="298">
                  <c:v>1553</c:v>
                </c:pt>
                <c:pt idx="299">
                  <c:v>1720</c:v>
                </c:pt>
                <c:pt idx="300">
                  <c:v>1751</c:v>
                </c:pt>
                <c:pt idx="301">
                  <c:v>1398</c:v>
                </c:pt>
                <c:pt idx="302">
                  <c:v>1396</c:v>
                </c:pt>
                <c:pt idx="303">
                  <c:v>1332</c:v>
                </c:pt>
                <c:pt idx="304">
                  <c:v>1781</c:v>
                </c:pt>
                <c:pt idx="305">
                  <c:v>1680</c:v>
                </c:pt>
                <c:pt idx="306">
                  <c:v>1333</c:v>
                </c:pt>
                <c:pt idx="307">
                  <c:v>1467</c:v>
                </c:pt>
                <c:pt idx="308">
                  <c:v>1388</c:v>
                </c:pt>
                <c:pt idx="309">
                  <c:v>1735</c:v>
                </c:pt>
                <c:pt idx="310">
                  <c:v>1336</c:v>
                </c:pt>
                <c:pt idx="311">
                  <c:v>1772</c:v>
                </c:pt>
                <c:pt idx="312">
                  <c:v>1393</c:v>
                </c:pt>
                <c:pt idx="313">
                  <c:v>1338</c:v>
                </c:pt>
                <c:pt idx="314">
                  <c:v>1508</c:v>
                </c:pt>
                <c:pt idx="315">
                  <c:v>1419</c:v>
                </c:pt>
                <c:pt idx="316">
                  <c:v>1388</c:v>
                </c:pt>
                <c:pt idx="317">
                  <c:v>1455</c:v>
                </c:pt>
                <c:pt idx="318">
                  <c:v>1597</c:v>
                </c:pt>
                <c:pt idx="319">
                  <c:v>1742</c:v>
                </c:pt>
                <c:pt idx="320">
                  <c:v>1412</c:v>
                </c:pt>
                <c:pt idx="321">
                  <c:v>1523</c:v>
                </c:pt>
                <c:pt idx="322">
                  <c:v>1343</c:v>
                </c:pt>
                <c:pt idx="323">
                  <c:v>1410</c:v>
                </c:pt>
                <c:pt idx="324">
                  <c:v>1529</c:v>
                </c:pt>
                <c:pt idx="325">
                  <c:v>1507</c:v>
                </c:pt>
                <c:pt idx="326">
                  <c:v>1397</c:v>
                </c:pt>
                <c:pt idx="327">
                  <c:v>1345</c:v>
                </c:pt>
                <c:pt idx="328">
                  <c:v>1506</c:v>
                </c:pt>
                <c:pt idx="329">
                  <c:v>1397</c:v>
                </c:pt>
                <c:pt idx="330">
                  <c:v>1572</c:v>
                </c:pt>
                <c:pt idx="331">
                  <c:v>1701</c:v>
                </c:pt>
                <c:pt idx="332">
                  <c:v>1396</c:v>
                </c:pt>
                <c:pt idx="333">
                  <c:v>1406</c:v>
                </c:pt>
                <c:pt idx="334">
                  <c:v>1574</c:v>
                </c:pt>
                <c:pt idx="335">
                  <c:v>1545</c:v>
                </c:pt>
                <c:pt idx="336">
                  <c:v>1454</c:v>
                </c:pt>
                <c:pt idx="337">
                  <c:v>1802</c:v>
                </c:pt>
                <c:pt idx="338">
                  <c:v>1356</c:v>
                </c:pt>
                <c:pt idx="339">
                  <c:v>1394</c:v>
                </c:pt>
                <c:pt idx="340">
                  <c:v>1521</c:v>
                </c:pt>
                <c:pt idx="341">
                  <c:v>1358</c:v>
                </c:pt>
                <c:pt idx="342">
                  <c:v>1532</c:v>
                </c:pt>
                <c:pt idx="343">
                  <c:v>1362</c:v>
                </c:pt>
                <c:pt idx="344">
                  <c:v>1363</c:v>
                </c:pt>
                <c:pt idx="345">
                  <c:v>1379</c:v>
                </c:pt>
                <c:pt idx="346">
                  <c:v>1671</c:v>
                </c:pt>
                <c:pt idx="347">
                  <c:v>1524</c:v>
                </c:pt>
                <c:pt idx="348">
                  <c:v>1742</c:v>
                </c:pt>
                <c:pt idx="349">
                  <c:v>1830</c:v>
                </c:pt>
                <c:pt idx="350">
                  <c:v>1755</c:v>
                </c:pt>
                <c:pt idx="351">
                  <c:v>1372</c:v>
                </c:pt>
                <c:pt idx="352">
                  <c:v>1390</c:v>
                </c:pt>
                <c:pt idx="353">
                  <c:v>1391</c:v>
                </c:pt>
                <c:pt idx="354">
                  <c:v>1475</c:v>
                </c:pt>
                <c:pt idx="355">
                  <c:v>1551</c:v>
                </c:pt>
                <c:pt idx="356">
                  <c:v>1378</c:v>
                </c:pt>
                <c:pt idx="357">
                  <c:v>1756</c:v>
                </c:pt>
                <c:pt idx="358">
                  <c:v>1380</c:v>
                </c:pt>
                <c:pt idx="359">
                  <c:v>1380</c:v>
                </c:pt>
                <c:pt idx="360">
                  <c:v>1507</c:v>
                </c:pt>
                <c:pt idx="361">
                  <c:v>1777</c:v>
                </c:pt>
                <c:pt idx="362">
                  <c:v>1396</c:v>
                </c:pt>
                <c:pt idx="363">
                  <c:v>1639</c:v>
                </c:pt>
                <c:pt idx="364">
                  <c:v>1524</c:v>
                </c:pt>
                <c:pt idx="365">
                  <c:v>1385</c:v>
                </c:pt>
                <c:pt idx="366">
                  <c:v>1508</c:v>
                </c:pt>
                <c:pt idx="367">
                  <c:v>1701</c:v>
                </c:pt>
                <c:pt idx="368">
                  <c:v>1398</c:v>
                </c:pt>
                <c:pt idx="369">
                  <c:v>1391</c:v>
                </c:pt>
                <c:pt idx="370">
                  <c:v>1757</c:v>
                </c:pt>
                <c:pt idx="371">
                  <c:v>1551</c:v>
                </c:pt>
                <c:pt idx="372">
                  <c:v>1715</c:v>
                </c:pt>
                <c:pt idx="373">
                  <c:v>1503</c:v>
                </c:pt>
                <c:pt idx="374">
                  <c:v>1607</c:v>
                </c:pt>
                <c:pt idx="375">
                  <c:v>1512</c:v>
                </c:pt>
                <c:pt idx="376">
                  <c:v>1398</c:v>
                </c:pt>
                <c:pt idx="377">
                  <c:v>1424</c:v>
                </c:pt>
                <c:pt idx="378">
                  <c:v>1500</c:v>
                </c:pt>
                <c:pt idx="379">
                  <c:v>1666</c:v>
                </c:pt>
                <c:pt idx="380">
                  <c:v>1666</c:v>
                </c:pt>
                <c:pt idx="381">
                  <c:v>1459</c:v>
                </c:pt>
                <c:pt idx="382">
                  <c:v>1635</c:v>
                </c:pt>
                <c:pt idx="383">
                  <c:v>1735</c:v>
                </c:pt>
                <c:pt idx="384">
                  <c:v>1746</c:v>
                </c:pt>
                <c:pt idx="385">
                  <c:v>1715</c:v>
                </c:pt>
                <c:pt idx="386">
                  <c:v>1408</c:v>
                </c:pt>
                <c:pt idx="387">
                  <c:v>1410</c:v>
                </c:pt>
                <c:pt idx="388">
                  <c:v>1414</c:v>
                </c:pt>
                <c:pt idx="389">
                  <c:v>1416</c:v>
                </c:pt>
                <c:pt idx="390">
                  <c:v>1418</c:v>
                </c:pt>
                <c:pt idx="391">
                  <c:v>1761</c:v>
                </c:pt>
                <c:pt idx="392">
                  <c:v>1547</c:v>
                </c:pt>
                <c:pt idx="393">
                  <c:v>1704</c:v>
                </c:pt>
                <c:pt idx="394">
                  <c:v>1426</c:v>
                </c:pt>
                <c:pt idx="395">
                  <c:v>1571</c:v>
                </c:pt>
                <c:pt idx="396">
                  <c:v>1635</c:v>
                </c:pt>
                <c:pt idx="397">
                  <c:v>1433</c:v>
                </c:pt>
                <c:pt idx="398">
                  <c:v>1434</c:v>
                </c:pt>
                <c:pt idx="399">
                  <c:v>1434</c:v>
                </c:pt>
                <c:pt idx="400">
                  <c:v>1685</c:v>
                </c:pt>
                <c:pt idx="401">
                  <c:v>1482</c:v>
                </c:pt>
                <c:pt idx="402">
                  <c:v>1474</c:v>
                </c:pt>
                <c:pt idx="403">
                  <c:v>1523</c:v>
                </c:pt>
                <c:pt idx="404">
                  <c:v>1545</c:v>
                </c:pt>
                <c:pt idx="405">
                  <c:v>1646</c:v>
                </c:pt>
                <c:pt idx="406">
                  <c:v>1472</c:v>
                </c:pt>
                <c:pt idx="407">
                  <c:v>1451</c:v>
                </c:pt>
                <c:pt idx="408">
                  <c:v>1521</c:v>
                </c:pt>
                <c:pt idx="409">
                  <c:v>1456</c:v>
                </c:pt>
                <c:pt idx="410">
                  <c:v>1624</c:v>
                </c:pt>
                <c:pt idx="411">
                  <c:v>1456</c:v>
                </c:pt>
                <c:pt idx="412">
                  <c:v>1458</c:v>
                </c:pt>
                <c:pt idx="413">
                  <c:v>1467</c:v>
                </c:pt>
                <c:pt idx="414">
                  <c:v>1468</c:v>
                </c:pt>
                <c:pt idx="415">
                  <c:v>1767</c:v>
                </c:pt>
                <c:pt idx="416">
                  <c:v>1476</c:v>
                </c:pt>
                <c:pt idx="417">
                  <c:v>1517</c:v>
                </c:pt>
                <c:pt idx="418">
                  <c:v>1780</c:v>
                </c:pt>
                <c:pt idx="419">
                  <c:v>1483</c:v>
                </c:pt>
                <c:pt idx="420">
                  <c:v>1483</c:v>
                </c:pt>
                <c:pt idx="421">
                  <c:v>1493</c:v>
                </c:pt>
                <c:pt idx="422">
                  <c:v>1500</c:v>
                </c:pt>
                <c:pt idx="423">
                  <c:v>1499</c:v>
                </c:pt>
                <c:pt idx="424">
                  <c:v>1501</c:v>
                </c:pt>
                <c:pt idx="425">
                  <c:v>1526</c:v>
                </c:pt>
                <c:pt idx="426">
                  <c:v>1524</c:v>
                </c:pt>
                <c:pt idx="427">
                  <c:v>1691</c:v>
                </c:pt>
                <c:pt idx="428">
                  <c:v>1680</c:v>
                </c:pt>
                <c:pt idx="429">
                  <c:v>1797</c:v>
                </c:pt>
                <c:pt idx="430">
                  <c:v>1680</c:v>
                </c:pt>
                <c:pt idx="431">
                  <c:v>1561</c:v>
                </c:pt>
                <c:pt idx="432">
                  <c:v>1779</c:v>
                </c:pt>
                <c:pt idx="433">
                  <c:v>1612</c:v>
                </c:pt>
                <c:pt idx="434">
                  <c:v>1618</c:v>
                </c:pt>
                <c:pt idx="435">
                  <c:v>1643</c:v>
                </c:pt>
                <c:pt idx="436">
                  <c:v>1703</c:v>
                </c:pt>
                <c:pt idx="437">
                  <c:v>1718</c:v>
                </c:pt>
                <c:pt idx="438">
                  <c:v>1873</c:v>
                </c:pt>
                <c:pt idx="439">
                  <c:v>1657</c:v>
                </c:pt>
                <c:pt idx="440">
                  <c:v>1658</c:v>
                </c:pt>
                <c:pt idx="441">
                  <c:v>1781</c:v>
                </c:pt>
                <c:pt idx="442">
                  <c:v>1834</c:v>
                </c:pt>
                <c:pt idx="443">
                  <c:v>1741</c:v>
                </c:pt>
                <c:pt idx="444">
                  <c:v>1669</c:v>
                </c:pt>
                <c:pt idx="445">
                  <c:v>1680</c:v>
                </c:pt>
                <c:pt idx="446">
                  <c:v>1684</c:v>
                </c:pt>
                <c:pt idx="447">
                  <c:v>1684</c:v>
                </c:pt>
                <c:pt idx="448">
                  <c:v>1686</c:v>
                </c:pt>
                <c:pt idx="449">
                  <c:v>1753</c:v>
                </c:pt>
                <c:pt idx="450">
                  <c:v>1921</c:v>
                </c:pt>
                <c:pt idx="451">
                  <c:v>1735</c:v>
                </c:pt>
                <c:pt idx="452">
                  <c:v>1734</c:v>
                </c:pt>
                <c:pt idx="453">
                  <c:v>1853</c:v>
                </c:pt>
                <c:pt idx="454">
                  <c:v>1906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80294835"/>
        <c:axId val="8931529"/>
      </c:scatterChart>
      <c:valAx>
        <c:axId val="8029483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8931529"/>
        <c:crosses val="autoZero"/>
        <c:crossBetween val="midCat"/>
      </c:valAx>
      <c:valAx>
        <c:axId val="893152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80294835"/>
        <c:crosses val="autoZero"/>
        <c:crossBetween val="midCat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latin typeface="Calibri"/>
              <a:ea typeface="Calibri"/>
            </a:defRPr>
          </a:pPr>
          <a:endParaRPr/>
        </a:p>
      </c:txPr>
    </c:legend>
    <c:plotVisOnly val="1"/>
    <c:dispBlanksAs val="zero"/>
    <c:showDLblsOverMax val="0"/>
  </c:chart>
  <c:spPr bwMode="auto">
    <a:xfrm rot="0">
      <a:off x="7326720" y="181080"/>
      <a:ext cx="10067040" cy="62190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latin typeface="Calibri"/>
                <a:ea typeface="Calibri"/>
              </a:rPr>
              <a:t>Urkunden in Klöstern, Total Archive und DE-BayHStA/KURegensburgStEmmeram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Dekaden!$A$2</c:f>
              <c:strCache>
                <c:ptCount val="1"/>
                <c:pt idx="0">
                  <c:v>Urkunden in Klöstern</c:v>
                </c:pt>
              </c:strCache>
            </c:strRef>
          </c:tx>
          <c:spPr bwMode="auto">
            <a:prstGeom prst="rect">
              <a:avLst/>
            </a:prstGeom>
            <a:solidFill>
              <a:srgbClr val="4472C4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Dekaden!$B$1:$ED$1</c:f>
              <c:numCache>
                <c:formatCode>General</c:formatCode>
                <c:ptCount val="130"/>
                <c:pt idx="0">
                  <c:v>47</c:v>
                </c:pt>
                <c:pt idx="1">
                  <c:v>50</c:v>
                </c:pt>
                <c:pt idx="2">
                  <c:v>64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96</c:v>
                </c:pt>
                <c:pt idx="25">
                  <c:v>97</c:v>
                </c:pt>
                <c:pt idx="26">
                  <c:v>98</c:v>
                </c:pt>
                <c:pt idx="27">
                  <c:v>99</c:v>
                </c:pt>
                <c:pt idx="28">
                  <c:v>100</c:v>
                </c:pt>
                <c:pt idx="29">
                  <c:v>101</c:v>
                </c:pt>
                <c:pt idx="30">
                  <c:v>102</c:v>
                </c:pt>
                <c:pt idx="31">
                  <c:v>103</c:v>
                </c:pt>
                <c:pt idx="32">
                  <c:v>104</c:v>
                </c:pt>
                <c:pt idx="33">
                  <c:v>105</c:v>
                </c:pt>
                <c:pt idx="34">
                  <c:v>106</c:v>
                </c:pt>
                <c:pt idx="35">
                  <c:v>107</c:v>
                </c:pt>
                <c:pt idx="36">
                  <c:v>108</c:v>
                </c:pt>
                <c:pt idx="37">
                  <c:v>109</c:v>
                </c:pt>
                <c:pt idx="38">
                  <c:v>110</c:v>
                </c:pt>
                <c:pt idx="39">
                  <c:v>111</c:v>
                </c:pt>
                <c:pt idx="40">
                  <c:v>112</c:v>
                </c:pt>
                <c:pt idx="41">
                  <c:v>113</c:v>
                </c:pt>
                <c:pt idx="42">
                  <c:v>114</c:v>
                </c:pt>
                <c:pt idx="43">
                  <c:v>115</c:v>
                </c:pt>
                <c:pt idx="44">
                  <c:v>116</c:v>
                </c:pt>
                <c:pt idx="45">
                  <c:v>117</c:v>
                </c:pt>
                <c:pt idx="46">
                  <c:v>118</c:v>
                </c:pt>
                <c:pt idx="47">
                  <c:v>119</c:v>
                </c:pt>
                <c:pt idx="48">
                  <c:v>120</c:v>
                </c:pt>
                <c:pt idx="49">
                  <c:v>121</c:v>
                </c:pt>
                <c:pt idx="50">
                  <c:v>122</c:v>
                </c:pt>
                <c:pt idx="51">
                  <c:v>123</c:v>
                </c:pt>
                <c:pt idx="52">
                  <c:v>124</c:v>
                </c:pt>
                <c:pt idx="53">
                  <c:v>125</c:v>
                </c:pt>
                <c:pt idx="54">
                  <c:v>126</c:v>
                </c:pt>
                <c:pt idx="55">
                  <c:v>127</c:v>
                </c:pt>
                <c:pt idx="56">
                  <c:v>128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135</c:v>
                </c:pt>
                <c:pt idx="64">
                  <c:v>136</c:v>
                </c:pt>
                <c:pt idx="65">
                  <c:v>137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141</c:v>
                </c:pt>
                <c:pt idx="70">
                  <c:v>142</c:v>
                </c:pt>
                <c:pt idx="71">
                  <c:v>143</c:v>
                </c:pt>
                <c:pt idx="72">
                  <c:v>144</c:v>
                </c:pt>
                <c:pt idx="73">
                  <c:v>145</c:v>
                </c:pt>
                <c:pt idx="74">
                  <c:v>146</c:v>
                </c:pt>
                <c:pt idx="75">
                  <c:v>147</c:v>
                </c:pt>
                <c:pt idx="76">
                  <c:v>148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152</c:v>
                </c:pt>
                <c:pt idx="81">
                  <c:v>153</c:v>
                </c:pt>
                <c:pt idx="82">
                  <c:v>154</c:v>
                </c:pt>
                <c:pt idx="83">
                  <c:v>155</c:v>
                </c:pt>
                <c:pt idx="84">
                  <c:v>156</c:v>
                </c:pt>
                <c:pt idx="85">
                  <c:v>157</c:v>
                </c:pt>
                <c:pt idx="86">
                  <c:v>158</c:v>
                </c:pt>
                <c:pt idx="87">
                  <c:v>159</c:v>
                </c:pt>
                <c:pt idx="88">
                  <c:v>160</c:v>
                </c:pt>
                <c:pt idx="89">
                  <c:v>161</c:v>
                </c:pt>
                <c:pt idx="90">
                  <c:v>162</c:v>
                </c:pt>
                <c:pt idx="91">
                  <c:v>163</c:v>
                </c:pt>
                <c:pt idx="92">
                  <c:v>164</c:v>
                </c:pt>
                <c:pt idx="93">
                  <c:v>165</c:v>
                </c:pt>
                <c:pt idx="94">
                  <c:v>166</c:v>
                </c:pt>
                <c:pt idx="95">
                  <c:v>167</c:v>
                </c:pt>
                <c:pt idx="96">
                  <c:v>168</c:v>
                </c:pt>
                <c:pt idx="97">
                  <c:v>169</c:v>
                </c:pt>
                <c:pt idx="98">
                  <c:v>170</c:v>
                </c:pt>
                <c:pt idx="99">
                  <c:v>171</c:v>
                </c:pt>
                <c:pt idx="100">
                  <c:v>172</c:v>
                </c:pt>
                <c:pt idx="101">
                  <c:v>173</c:v>
                </c:pt>
                <c:pt idx="102">
                  <c:v>174</c:v>
                </c:pt>
                <c:pt idx="103">
                  <c:v>175</c:v>
                </c:pt>
                <c:pt idx="104">
                  <c:v>176</c:v>
                </c:pt>
                <c:pt idx="105">
                  <c:v>177</c:v>
                </c:pt>
                <c:pt idx="106">
                  <c:v>178</c:v>
                </c:pt>
                <c:pt idx="107">
                  <c:v>179</c:v>
                </c:pt>
                <c:pt idx="108">
                  <c:v>180</c:v>
                </c:pt>
                <c:pt idx="109">
                  <c:v>181</c:v>
                </c:pt>
                <c:pt idx="110">
                  <c:v>182</c:v>
                </c:pt>
                <c:pt idx="111">
                  <c:v>183</c:v>
                </c:pt>
                <c:pt idx="112">
                  <c:v>184</c:v>
                </c:pt>
                <c:pt idx="113">
                  <c:v>185</c:v>
                </c:pt>
                <c:pt idx="114">
                  <c:v>186</c:v>
                </c:pt>
                <c:pt idx="115">
                  <c:v>187</c:v>
                </c:pt>
                <c:pt idx="116">
                  <c:v>188</c:v>
                </c:pt>
                <c:pt idx="117">
                  <c:v>189</c:v>
                </c:pt>
                <c:pt idx="118">
                  <c:v>190</c:v>
                </c:pt>
                <c:pt idx="119">
                  <c:v>191</c:v>
                </c:pt>
                <c:pt idx="120">
                  <c:v>192</c:v>
                </c:pt>
                <c:pt idx="121">
                  <c:v>193</c:v>
                </c:pt>
                <c:pt idx="122">
                  <c:v>194</c:v>
                </c:pt>
                <c:pt idx="123">
                  <c:v>195</c:v>
                </c:pt>
                <c:pt idx="124">
                  <c:v>196</c:v>
                </c:pt>
                <c:pt idx="125">
                  <c:v>197</c:v>
                </c:pt>
                <c:pt idx="126">
                  <c:v>198</c:v>
                </c:pt>
                <c:pt idx="127">
                  <c:v>199</c:v>
                </c:pt>
                <c:pt idx="128">
                  <c:v>200</c:v>
                </c:pt>
                <c:pt idx="129">
                  <c:v>201</c:v>
                </c:pt>
              </c:numCache>
            </c:numRef>
          </c:xVal>
          <c:yVal>
            <c:numRef>
              <c:f>Dekaden!$B$2:$ED$2</c:f>
              <c:numCache>
                <c:formatCode>General</c:formatCode>
                <c:ptCount val="130"/>
                <c:pt idx="0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  <c:pt idx="12">
                  <c:v>4</c:v>
                </c:pt>
                <c:pt idx="13">
                  <c:v>4</c:v>
                </c:pt>
                <c:pt idx="14">
                  <c:v>8</c:v>
                </c:pt>
                <c:pt idx="15">
                  <c:v>1</c:v>
                </c:pt>
                <c:pt idx="16">
                  <c:v>7</c:v>
                </c:pt>
                <c:pt idx="17">
                  <c:v>5</c:v>
                </c:pt>
                <c:pt idx="18">
                  <c:v>9</c:v>
                </c:pt>
                <c:pt idx="19">
                  <c:v>6</c:v>
                </c:pt>
                <c:pt idx="20">
                  <c:v>4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11</c:v>
                </c:pt>
                <c:pt idx="25">
                  <c:v>20</c:v>
                </c:pt>
                <c:pt idx="26">
                  <c:v>17</c:v>
                </c:pt>
                <c:pt idx="27">
                  <c:v>39</c:v>
                </c:pt>
                <c:pt idx="28">
                  <c:v>59</c:v>
                </c:pt>
                <c:pt idx="29">
                  <c:v>88</c:v>
                </c:pt>
                <c:pt idx="30">
                  <c:v>63</c:v>
                </c:pt>
                <c:pt idx="31">
                  <c:v>67</c:v>
                </c:pt>
                <c:pt idx="32">
                  <c:v>113</c:v>
                </c:pt>
                <c:pt idx="33">
                  <c:v>120</c:v>
                </c:pt>
                <c:pt idx="34">
                  <c:v>147</c:v>
                </c:pt>
                <c:pt idx="35">
                  <c:v>299</c:v>
                </c:pt>
                <c:pt idx="36">
                  <c:v>396</c:v>
                </c:pt>
                <c:pt idx="37">
                  <c:v>415</c:v>
                </c:pt>
                <c:pt idx="38">
                  <c:v>425</c:v>
                </c:pt>
                <c:pt idx="39">
                  <c:v>251</c:v>
                </c:pt>
                <c:pt idx="40">
                  <c:v>289</c:v>
                </c:pt>
                <c:pt idx="41">
                  <c:v>293</c:v>
                </c:pt>
                <c:pt idx="42">
                  <c:v>374</c:v>
                </c:pt>
                <c:pt idx="43">
                  <c:v>439</c:v>
                </c:pt>
                <c:pt idx="44">
                  <c:v>336</c:v>
                </c:pt>
                <c:pt idx="45">
                  <c:v>329</c:v>
                </c:pt>
                <c:pt idx="46">
                  <c:v>491</c:v>
                </c:pt>
                <c:pt idx="47">
                  <c:v>543</c:v>
                </c:pt>
                <c:pt idx="48">
                  <c:v>780</c:v>
                </c:pt>
                <c:pt idx="49">
                  <c:v>758</c:v>
                </c:pt>
                <c:pt idx="50">
                  <c:v>859</c:v>
                </c:pt>
                <c:pt idx="51">
                  <c:v>1155</c:v>
                </c:pt>
                <c:pt idx="52">
                  <c:v>1211</c:v>
                </c:pt>
                <c:pt idx="53">
                  <c:v>1317</c:v>
                </c:pt>
                <c:pt idx="54">
                  <c:v>1773</c:v>
                </c:pt>
                <c:pt idx="55">
                  <c:v>1670</c:v>
                </c:pt>
                <c:pt idx="56">
                  <c:v>2031</c:v>
                </c:pt>
                <c:pt idx="57">
                  <c:v>2413</c:v>
                </c:pt>
                <c:pt idx="58">
                  <c:v>3205</c:v>
                </c:pt>
                <c:pt idx="59">
                  <c:v>3176</c:v>
                </c:pt>
                <c:pt idx="60">
                  <c:v>3765</c:v>
                </c:pt>
                <c:pt idx="61">
                  <c:v>3969</c:v>
                </c:pt>
                <c:pt idx="62">
                  <c:v>4382</c:v>
                </c:pt>
                <c:pt idx="63">
                  <c:v>3989</c:v>
                </c:pt>
                <c:pt idx="64">
                  <c:v>3431</c:v>
                </c:pt>
                <c:pt idx="65">
                  <c:v>3447</c:v>
                </c:pt>
                <c:pt idx="66">
                  <c:v>3719</c:v>
                </c:pt>
                <c:pt idx="67">
                  <c:v>3591</c:v>
                </c:pt>
                <c:pt idx="68">
                  <c:v>3275</c:v>
                </c:pt>
                <c:pt idx="69">
                  <c:v>2942</c:v>
                </c:pt>
                <c:pt idx="70">
                  <c:v>2865</c:v>
                </c:pt>
                <c:pt idx="71">
                  <c:v>2796</c:v>
                </c:pt>
                <c:pt idx="72">
                  <c:v>3266</c:v>
                </c:pt>
                <c:pt idx="73">
                  <c:v>3827</c:v>
                </c:pt>
                <c:pt idx="74">
                  <c:v>3876</c:v>
                </c:pt>
                <c:pt idx="75">
                  <c:v>4053</c:v>
                </c:pt>
                <c:pt idx="76">
                  <c:v>3797</c:v>
                </c:pt>
                <c:pt idx="77">
                  <c:v>3826</c:v>
                </c:pt>
                <c:pt idx="78">
                  <c:v>3450</c:v>
                </c:pt>
                <c:pt idx="79">
                  <c:v>2597</c:v>
                </c:pt>
                <c:pt idx="80">
                  <c:v>2832</c:v>
                </c:pt>
                <c:pt idx="81">
                  <c:v>2316</c:v>
                </c:pt>
                <c:pt idx="82">
                  <c:v>2234</c:v>
                </c:pt>
                <c:pt idx="83">
                  <c:v>1846</c:v>
                </c:pt>
                <c:pt idx="84">
                  <c:v>1907</c:v>
                </c:pt>
                <c:pt idx="85">
                  <c:v>1854</c:v>
                </c:pt>
                <c:pt idx="86">
                  <c:v>1571</c:v>
                </c:pt>
                <c:pt idx="87">
                  <c:v>2028</c:v>
                </c:pt>
                <c:pt idx="88">
                  <c:v>1682</c:v>
                </c:pt>
                <c:pt idx="89">
                  <c:v>1553</c:v>
                </c:pt>
                <c:pt idx="90">
                  <c:v>1794</c:v>
                </c:pt>
                <c:pt idx="91">
                  <c:v>1376</c:v>
                </c:pt>
                <c:pt idx="92">
                  <c:v>1373</c:v>
                </c:pt>
                <c:pt idx="93">
                  <c:v>1275</c:v>
                </c:pt>
                <c:pt idx="94">
                  <c:v>1193</c:v>
                </c:pt>
                <c:pt idx="95">
                  <c:v>1190</c:v>
                </c:pt>
                <c:pt idx="96">
                  <c:v>1122</c:v>
                </c:pt>
                <c:pt idx="97">
                  <c:v>975</c:v>
                </c:pt>
                <c:pt idx="98">
                  <c:v>896</c:v>
                </c:pt>
                <c:pt idx="99">
                  <c:v>777</c:v>
                </c:pt>
                <c:pt idx="100">
                  <c:v>761</c:v>
                </c:pt>
                <c:pt idx="101">
                  <c:v>775</c:v>
                </c:pt>
                <c:pt idx="102">
                  <c:v>821</c:v>
                </c:pt>
                <c:pt idx="103">
                  <c:v>685</c:v>
                </c:pt>
                <c:pt idx="104">
                  <c:v>546</c:v>
                </c:pt>
                <c:pt idx="105">
                  <c:v>544</c:v>
                </c:pt>
                <c:pt idx="106">
                  <c:v>463</c:v>
                </c:pt>
                <c:pt idx="107">
                  <c:v>431</c:v>
                </c:pt>
                <c:pt idx="108">
                  <c:v>304</c:v>
                </c:pt>
                <c:pt idx="109">
                  <c:v>161</c:v>
                </c:pt>
                <c:pt idx="110">
                  <c:v>68</c:v>
                </c:pt>
                <c:pt idx="111">
                  <c:v>55</c:v>
                </c:pt>
                <c:pt idx="112">
                  <c:v>74</c:v>
                </c:pt>
                <c:pt idx="113">
                  <c:v>66</c:v>
                </c:pt>
                <c:pt idx="114">
                  <c:v>34</c:v>
                </c:pt>
                <c:pt idx="115">
                  <c:v>37</c:v>
                </c:pt>
                <c:pt idx="116">
                  <c:v>26</c:v>
                </c:pt>
                <c:pt idx="117">
                  <c:v>27</c:v>
                </c:pt>
                <c:pt idx="118">
                  <c:v>31</c:v>
                </c:pt>
                <c:pt idx="119">
                  <c:v>33</c:v>
                </c:pt>
                <c:pt idx="120">
                  <c:v>7</c:v>
                </c:pt>
                <c:pt idx="121">
                  <c:v>4</c:v>
                </c:pt>
                <c:pt idx="122">
                  <c:v>2</c:v>
                </c:pt>
                <c:pt idx="123">
                  <c:v>7</c:v>
                </c:pt>
                <c:pt idx="124">
                  <c:v>3</c:v>
                </c:pt>
                <c:pt idx="125">
                  <c:v>4</c:v>
                </c:pt>
                <c:pt idx="126">
                  <c:v>3</c:v>
                </c:pt>
                <c:pt idx="127">
                  <c:v>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Dekaden!$A$3</c:f>
              <c:strCache>
                <c:ptCount val="1"/>
                <c:pt idx="0">
                  <c:v>ES-AHN/MonasterioSantaMariaMelon</c:v>
                </c:pt>
              </c:strCache>
            </c:strRef>
          </c:tx>
          <c:spPr bwMode="auto">
            <a:prstGeom prst="rect">
              <a:avLst/>
            </a:prstGeom>
            <a:solidFill>
              <a:srgbClr val="ED7D31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ED7D31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Dekaden!$B$1:$ED$1</c:f>
              <c:numCache>
                <c:formatCode>General</c:formatCode>
                <c:ptCount val="130"/>
                <c:pt idx="0">
                  <c:v>47</c:v>
                </c:pt>
                <c:pt idx="1">
                  <c:v>50</c:v>
                </c:pt>
                <c:pt idx="2">
                  <c:v>64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96</c:v>
                </c:pt>
                <c:pt idx="25">
                  <c:v>97</c:v>
                </c:pt>
                <c:pt idx="26">
                  <c:v>98</c:v>
                </c:pt>
                <c:pt idx="27">
                  <c:v>99</c:v>
                </c:pt>
                <c:pt idx="28">
                  <c:v>100</c:v>
                </c:pt>
                <c:pt idx="29">
                  <c:v>101</c:v>
                </c:pt>
                <c:pt idx="30">
                  <c:v>102</c:v>
                </c:pt>
                <c:pt idx="31">
                  <c:v>103</c:v>
                </c:pt>
                <c:pt idx="32">
                  <c:v>104</c:v>
                </c:pt>
                <c:pt idx="33">
                  <c:v>105</c:v>
                </c:pt>
                <c:pt idx="34">
                  <c:v>106</c:v>
                </c:pt>
                <c:pt idx="35">
                  <c:v>107</c:v>
                </c:pt>
                <c:pt idx="36">
                  <c:v>108</c:v>
                </c:pt>
                <c:pt idx="37">
                  <c:v>109</c:v>
                </c:pt>
                <c:pt idx="38">
                  <c:v>110</c:v>
                </c:pt>
                <c:pt idx="39">
                  <c:v>111</c:v>
                </c:pt>
                <c:pt idx="40">
                  <c:v>112</c:v>
                </c:pt>
                <c:pt idx="41">
                  <c:v>113</c:v>
                </c:pt>
                <c:pt idx="42">
                  <c:v>114</c:v>
                </c:pt>
                <c:pt idx="43">
                  <c:v>115</c:v>
                </c:pt>
                <c:pt idx="44">
                  <c:v>116</c:v>
                </c:pt>
                <c:pt idx="45">
                  <c:v>117</c:v>
                </c:pt>
                <c:pt idx="46">
                  <c:v>118</c:v>
                </c:pt>
                <c:pt idx="47">
                  <c:v>119</c:v>
                </c:pt>
                <c:pt idx="48">
                  <c:v>120</c:v>
                </c:pt>
                <c:pt idx="49">
                  <c:v>121</c:v>
                </c:pt>
                <c:pt idx="50">
                  <c:v>122</c:v>
                </c:pt>
                <c:pt idx="51">
                  <c:v>123</c:v>
                </c:pt>
                <c:pt idx="52">
                  <c:v>124</c:v>
                </c:pt>
                <c:pt idx="53">
                  <c:v>125</c:v>
                </c:pt>
                <c:pt idx="54">
                  <c:v>126</c:v>
                </c:pt>
                <c:pt idx="55">
                  <c:v>127</c:v>
                </c:pt>
                <c:pt idx="56">
                  <c:v>128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135</c:v>
                </c:pt>
                <c:pt idx="64">
                  <c:v>136</c:v>
                </c:pt>
                <c:pt idx="65">
                  <c:v>137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141</c:v>
                </c:pt>
                <c:pt idx="70">
                  <c:v>142</c:v>
                </c:pt>
                <c:pt idx="71">
                  <c:v>143</c:v>
                </c:pt>
                <c:pt idx="72">
                  <c:v>144</c:v>
                </c:pt>
                <c:pt idx="73">
                  <c:v>145</c:v>
                </c:pt>
                <c:pt idx="74">
                  <c:v>146</c:v>
                </c:pt>
                <c:pt idx="75">
                  <c:v>147</c:v>
                </c:pt>
                <c:pt idx="76">
                  <c:v>148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152</c:v>
                </c:pt>
                <c:pt idx="81">
                  <c:v>153</c:v>
                </c:pt>
                <c:pt idx="82">
                  <c:v>154</c:v>
                </c:pt>
                <c:pt idx="83">
                  <c:v>155</c:v>
                </c:pt>
                <c:pt idx="84">
                  <c:v>156</c:v>
                </c:pt>
                <c:pt idx="85">
                  <c:v>157</c:v>
                </c:pt>
                <c:pt idx="86">
                  <c:v>158</c:v>
                </c:pt>
                <c:pt idx="87">
                  <c:v>159</c:v>
                </c:pt>
                <c:pt idx="88">
                  <c:v>160</c:v>
                </c:pt>
                <c:pt idx="89">
                  <c:v>161</c:v>
                </c:pt>
                <c:pt idx="90">
                  <c:v>162</c:v>
                </c:pt>
                <c:pt idx="91">
                  <c:v>163</c:v>
                </c:pt>
                <c:pt idx="92">
                  <c:v>164</c:v>
                </c:pt>
                <c:pt idx="93">
                  <c:v>165</c:v>
                </c:pt>
                <c:pt idx="94">
                  <c:v>166</c:v>
                </c:pt>
                <c:pt idx="95">
                  <c:v>167</c:v>
                </c:pt>
                <c:pt idx="96">
                  <c:v>168</c:v>
                </c:pt>
                <c:pt idx="97">
                  <c:v>169</c:v>
                </c:pt>
                <c:pt idx="98">
                  <c:v>170</c:v>
                </c:pt>
                <c:pt idx="99">
                  <c:v>171</c:v>
                </c:pt>
                <c:pt idx="100">
                  <c:v>172</c:v>
                </c:pt>
                <c:pt idx="101">
                  <c:v>173</c:v>
                </c:pt>
                <c:pt idx="102">
                  <c:v>174</c:v>
                </c:pt>
                <c:pt idx="103">
                  <c:v>175</c:v>
                </c:pt>
                <c:pt idx="104">
                  <c:v>176</c:v>
                </c:pt>
                <c:pt idx="105">
                  <c:v>177</c:v>
                </c:pt>
                <c:pt idx="106">
                  <c:v>178</c:v>
                </c:pt>
                <c:pt idx="107">
                  <c:v>179</c:v>
                </c:pt>
                <c:pt idx="108">
                  <c:v>180</c:v>
                </c:pt>
                <c:pt idx="109">
                  <c:v>181</c:v>
                </c:pt>
                <c:pt idx="110">
                  <c:v>182</c:v>
                </c:pt>
                <c:pt idx="111">
                  <c:v>183</c:v>
                </c:pt>
                <c:pt idx="112">
                  <c:v>184</c:v>
                </c:pt>
                <c:pt idx="113">
                  <c:v>185</c:v>
                </c:pt>
                <c:pt idx="114">
                  <c:v>186</c:v>
                </c:pt>
                <c:pt idx="115">
                  <c:v>187</c:v>
                </c:pt>
                <c:pt idx="116">
                  <c:v>188</c:v>
                </c:pt>
                <c:pt idx="117">
                  <c:v>189</c:v>
                </c:pt>
                <c:pt idx="118">
                  <c:v>190</c:v>
                </c:pt>
                <c:pt idx="119">
                  <c:v>191</c:v>
                </c:pt>
                <c:pt idx="120">
                  <c:v>192</c:v>
                </c:pt>
                <c:pt idx="121">
                  <c:v>193</c:v>
                </c:pt>
                <c:pt idx="122">
                  <c:v>194</c:v>
                </c:pt>
                <c:pt idx="123">
                  <c:v>195</c:v>
                </c:pt>
                <c:pt idx="124">
                  <c:v>196</c:v>
                </c:pt>
                <c:pt idx="125">
                  <c:v>197</c:v>
                </c:pt>
                <c:pt idx="126">
                  <c:v>198</c:v>
                </c:pt>
                <c:pt idx="127">
                  <c:v>199</c:v>
                </c:pt>
                <c:pt idx="128">
                  <c:v>200</c:v>
                </c:pt>
                <c:pt idx="129">
                  <c:v>201</c:v>
                </c:pt>
              </c:numCache>
            </c:numRef>
          </c:xVal>
          <c:yVal>
            <c:numRef>
              <c:f>Dekaden!$B$3:$ED$3</c:f>
              <c:numCache>
                <c:formatCode>General</c:formatCode>
                <c:ptCount val="130"/>
                <c:pt idx="25">
                  <c:v>1</c:v>
                </c:pt>
                <c:pt idx="29">
                  <c:v>1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4">
                  <c:v>2</c:v>
                </c:pt>
                <c:pt idx="45">
                  <c:v>10</c:v>
                </c:pt>
                <c:pt idx="46">
                  <c:v>7</c:v>
                </c:pt>
                <c:pt idx="47">
                  <c:v>4</c:v>
                </c:pt>
                <c:pt idx="48">
                  <c:v>7</c:v>
                </c:pt>
                <c:pt idx="49">
                  <c:v>23</c:v>
                </c:pt>
                <c:pt idx="50">
                  <c:v>7</c:v>
                </c:pt>
                <c:pt idx="51">
                  <c:v>11</c:v>
                </c:pt>
                <c:pt idx="52">
                  <c:v>34</c:v>
                </c:pt>
                <c:pt idx="53">
                  <c:v>40</c:v>
                </c:pt>
                <c:pt idx="54">
                  <c:v>63</c:v>
                </c:pt>
                <c:pt idx="55">
                  <c:v>77</c:v>
                </c:pt>
                <c:pt idx="56">
                  <c:v>35</c:v>
                </c:pt>
                <c:pt idx="57">
                  <c:v>24</c:v>
                </c:pt>
                <c:pt idx="58">
                  <c:v>43</c:v>
                </c:pt>
                <c:pt idx="59">
                  <c:v>52</c:v>
                </c:pt>
                <c:pt idx="60">
                  <c:v>28</c:v>
                </c:pt>
                <c:pt idx="61">
                  <c:v>39</c:v>
                </c:pt>
                <c:pt idx="62">
                  <c:v>36</c:v>
                </c:pt>
                <c:pt idx="63">
                  <c:v>24</c:v>
                </c:pt>
                <c:pt idx="64">
                  <c:v>21</c:v>
                </c:pt>
                <c:pt idx="65">
                  <c:v>27</c:v>
                </c:pt>
                <c:pt idx="66">
                  <c:v>24</c:v>
                </c:pt>
                <c:pt idx="67">
                  <c:v>41</c:v>
                </c:pt>
                <c:pt idx="68">
                  <c:v>21</c:v>
                </c:pt>
                <c:pt idx="69">
                  <c:v>41</c:v>
                </c:pt>
                <c:pt idx="70">
                  <c:v>30</c:v>
                </c:pt>
                <c:pt idx="71">
                  <c:v>19</c:v>
                </c:pt>
                <c:pt idx="72">
                  <c:v>20</c:v>
                </c:pt>
                <c:pt idx="73">
                  <c:v>10</c:v>
                </c:pt>
                <c:pt idx="74">
                  <c:v>6</c:v>
                </c:pt>
                <c:pt idx="75">
                  <c:v>5</c:v>
                </c:pt>
                <c:pt idx="76">
                  <c:v>8</c:v>
                </c:pt>
                <c:pt idx="77">
                  <c:v>10</c:v>
                </c:pt>
                <c:pt idx="78">
                  <c:v>10</c:v>
                </c:pt>
                <c:pt idx="79">
                  <c:v>12</c:v>
                </c:pt>
                <c:pt idx="80">
                  <c:v>11</c:v>
                </c:pt>
                <c:pt idx="81">
                  <c:v>4</c:v>
                </c:pt>
                <c:pt idx="82">
                  <c:v>1</c:v>
                </c:pt>
                <c:pt idx="83">
                  <c:v>2</c:v>
                </c:pt>
                <c:pt idx="87">
                  <c:v>1</c:v>
                </c:pt>
                <c:pt idx="88">
                  <c:v>1</c:v>
                </c:pt>
                <c:pt idx="101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Dekaden!$A$4</c:f>
              <c:strCache>
                <c:ptCount val="1"/>
                <c:pt idx="0">
                  <c:v>IT-ASFi/DNFirenzeSFrediano</c:v>
                </c:pt>
              </c:strCache>
            </c:strRef>
          </c:tx>
          <c:spPr bwMode="auto">
            <a:prstGeom prst="rect">
              <a:avLst/>
            </a:prstGeom>
            <a:solidFill>
              <a:srgbClr val="A5A5A5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A5A5A5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Dekaden!$B$1:$ED$1</c:f>
              <c:numCache>
                <c:formatCode>General</c:formatCode>
                <c:ptCount val="130"/>
                <c:pt idx="0">
                  <c:v>47</c:v>
                </c:pt>
                <c:pt idx="1">
                  <c:v>50</c:v>
                </c:pt>
                <c:pt idx="2">
                  <c:v>64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96</c:v>
                </c:pt>
                <c:pt idx="25">
                  <c:v>97</c:v>
                </c:pt>
                <c:pt idx="26">
                  <c:v>98</c:v>
                </c:pt>
                <c:pt idx="27">
                  <c:v>99</c:v>
                </c:pt>
                <c:pt idx="28">
                  <c:v>100</c:v>
                </c:pt>
                <c:pt idx="29">
                  <c:v>101</c:v>
                </c:pt>
                <c:pt idx="30">
                  <c:v>102</c:v>
                </c:pt>
                <c:pt idx="31">
                  <c:v>103</c:v>
                </c:pt>
                <c:pt idx="32">
                  <c:v>104</c:v>
                </c:pt>
                <c:pt idx="33">
                  <c:v>105</c:v>
                </c:pt>
                <c:pt idx="34">
                  <c:v>106</c:v>
                </c:pt>
                <c:pt idx="35">
                  <c:v>107</c:v>
                </c:pt>
                <c:pt idx="36">
                  <c:v>108</c:v>
                </c:pt>
                <c:pt idx="37">
                  <c:v>109</c:v>
                </c:pt>
                <c:pt idx="38">
                  <c:v>110</c:v>
                </c:pt>
                <c:pt idx="39">
                  <c:v>111</c:v>
                </c:pt>
                <c:pt idx="40">
                  <c:v>112</c:v>
                </c:pt>
                <c:pt idx="41">
                  <c:v>113</c:v>
                </c:pt>
                <c:pt idx="42">
                  <c:v>114</c:v>
                </c:pt>
                <c:pt idx="43">
                  <c:v>115</c:v>
                </c:pt>
                <c:pt idx="44">
                  <c:v>116</c:v>
                </c:pt>
                <c:pt idx="45">
                  <c:v>117</c:v>
                </c:pt>
                <c:pt idx="46">
                  <c:v>118</c:v>
                </c:pt>
                <c:pt idx="47">
                  <c:v>119</c:v>
                </c:pt>
                <c:pt idx="48">
                  <c:v>120</c:v>
                </c:pt>
                <c:pt idx="49">
                  <c:v>121</c:v>
                </c:pt>
                <c:pt idx="50">
                  <c:v>122</c:v>
                </c:pt>
                <c:pt idx="51">
                  <c:v>123</c:v>
                </c:pt>
                <c:pt idx="52">
                  <c:v>124</c:v>
                </c:pt>
                <c:pt idx="53">
                  <c:v>125</c:v>
                </c:pt>
                <c:pt idx="54">
                  <c:v>126</c:v>
                </c:pt>
                <c:pt idx="55">
                  <c:v>127</c:v>
                </c:pt>
                <c:pt idx="56">
                  <c:v>128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135</c:v>
                </c:pt>
                <c:pt idx="64">
                  <c:v>136</c:v>
                </c:pt>
                <c:pt idx="65">
                  <c:v>137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141</c:v>
                </c:pt>
                <c:pt idx="70">
                  <c:v>142</c:v>
                </c:pt>
                <c:pt idx="71">
                  <c:v>143</c:v>
                </c:pt>
                <c:pt idx="72">
                  <c:v>144</c:v>
                </c:pt>
                <c:pt idx="73">
                  <c:v>145</c:v>
                </c:pt>
                <c:pt idx="74">
                  <c:v>146</c:v>
                </c:pt>
                <c:pt idx="75">
                  <c:v>147</c:v>
                </c:pt>
                <c:pt idx="76">
                  <c:v>148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152</c:v>
                </c:pt>
                <c:pt idx="81">
                  <c:v>153</c:v>
                </c:pt>
                <c:pt idx="82">
                  <c:v>154</c:v>
                </c:pt>
                <c:pt idx="83">
                  <c:v>155</c:v>
                </c:pt>
                <c:pt idx="84">
                  <c:v>156</c:v>
                </c:pt>
                <c:pt idx="85">
                  <c:v>157</c:v>
                </c:pt>
                <c:pt idx="86">
                  <c:v>158</c:v>
                </c:pt>
                <c:pt idx="87">
                  <c:v>159</c:v>
                </c:pt>
                <c:pt idx="88">
                  <c:v>160</c:v>
                </c:pt>
                <c:pt idx="89">
                  <c:v>161</c:v>
                </c:pt>
                <c:pt idx="90">
                  <c:v>162</c:v>
                </c:pt>
                <c:pt idx="91">
                  <c:v>163</c:v>
                </c:pt>
                <c:pt idx="92">
                  <c:v>164</c:v>
                </c:pt>
                <c:pt idx="93">
                  <c:v>165</c:v>
                </c:pt>
                <c:pt idx="94">
                  <c:v>166</c:v>
                </c:pt>
                <c:pt idx="95">
                  <c:v>167</c:v>
                </c:pt>
                <c:pt idx="96">
                  <c:v>168</c:v>
                </c:pt>
                <c:pt idx="97">
                  <c:v>169</c:v>
                </c:pt>
                <c:pt idx="98">
                  <c:v>170</c:v>
                </c:pt>
                <c:pt idx="99">
                  <c:v>171</c:v>
                </c:pt>
                <c:pt idx="100">
                  <c:v>172</c:v>
                </c:pt>
                <c:pt idx="101">
                  <c:v>173</c:v>
                </c:pt>
                <c:pt idx="102">
                  <c:v>174</c:v>
                </c:pt>
                <c:pt idx="103">
                  <c:v>175</c:v>
                </c:pt>
                <c:pt idx="104">
                  <c:v>176</c:v>
                </c:pt>
                <c:pt idx="105">
                  <c:v>177</c:v>
                </c:pt>
                <c:pt idx="106">
                  <c:v>178</c:v>
                </c:pt>
                <c:pt idx="107">
                  <c:v>179</c:v>
                </c:pt>
                <c:pt idx="108">
                  <c:v>180</c:v>
                </c:pt>
                <c:pt idx="109">
                  <c:v>181</c:v>
                </c:pt>
                <c:pt idx="110">
                  <c:v>182</c:v>
                </c:pt>
                <c:pt idx="111">
                  <c:v>183</c:v>
                </c:pt>
                <c:pt idx="112">
                  <c:v>184</c:v>
                </c:pt>
                <c:pt idx="113">
                  <c:v>185</c:v>
                </c:pt>
                <c:pt idx="114">
                  <c:v>186</c:v>
                </c:pt>
                <c:pt idx="115">
                  <c:v>187</c:v>
                </c:pt>
                <c:pt idx="116">
                  <c:v>188</c:v>
                </c:pt>
                <c:pt idx="117">
                  <c:v>189</c:v>
                </c:pt>
                <c:pt idx="118">
                  <c:v>190</c:v>
                </c:pt>
                <c:pt idx="119">
                  <c:v>191</c:v>
                </c:pt>
                <c:pt idx="120">
                  <c:v>192</c:v>
                </c:pt>
                <c:pt idx="121">
                  <c:v>193</c:v>
                </c:pt>
                <c:pt idx="122">
                  <c:v>194</c:v>
                </c:pt>
                <c:pt idx="123">
                  <c:v>195</c:v>
                </c:pt>
                <c:pt idx="124">
                  <c:v>196</c:v>
                </c:pt>
                <c:pt idx="125">
                  <c:v>197</c:v>
                </c:pt>
                <c:pt idx="126">
                  <c:v>198</c:v>
                </c:pt>
                <c:pt idx="127">
                  <c:v>199</c:v>
                </c:pt>
                <c:pt idx="128">
                  <c:v>200</c:v>
                </c:pt>
                <c:pt idx="129">
                  <c:v>201</c:v>
                </c:pt>
              </c:numCache>
            </c:numRef>
          </c:xVal>
          <c:yVal>
            <c:numRef>
              <c:f>Dekaden!$B$4:$ED$4</c:f>
              <c:numCache>
                <c:formatCode>General</c:formatCode>
                <c:ptCount val="130"/>
                <c:pt idx="11">
                  <c:v>1</c:v>
                </c:pt>
                <c:pt idx="1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9</c:v>
                </c:pt>
                <c:pt idx="39">
                  <c:v>17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5</c:v>
                </c:pt>
                <c:pt idx="45">
                  <c:v>6</c:v>
                </c:pt>
                <c:pt idx="46">
                  <c:v>4</c:v>
                </c:pt>
                <c:pt idx="47">
                  <c:v>9</c:v>
                </c:pt>
                <c:pt idx="48">
                  <c:v>9</c:v>
                </c:pt>
                <c:pt idx="49">
                  <c:v>27</c:v>
                </c:pt>
                <c:pt idx="50">
                  <c:v>17</c:v>
                </c:pt>
                <c:pt idx="51">
                  <c:v>27</c:v>
                </c:pt>
                <c:pt idx="52">
                  <c:v>44</c:v>
                </c:pt>
                <c:pt idx="53">
                  <c:v>74</c:v>
                </c:pt>
                <c:pt idx="54">
                  <c:v>73</c:v>
                </c:pt>
                <c:pt idx="55">
                  <c:v>65</c:v>
                </c:pt>
                <c:pt idx="56">
                  <c:v>53</c:v>
                </c:pt>
                <c:pt idx="57">
                  <c:v>43</c:v>
                </c:pt>
                <c:pt idx="58">
                  <c:v>69</c:v>
                </c:pt>
                <c:pt idx="59">
                  <c:v>143</c:v>
                </c:pt>
                <c:pt idx="60">
                  <c:v>175</c:v>
                </c:pt>
                <c:pt idx="61">
                  <c:v>267</c:v>
                </c:pt>
                <c:pt idx="62">
                  <c:v>278</c:v>
                </c:pt>
                <c:pt idx="63">
                  <c:v>221</c:v>
                </c:pt>
                <c:pt idx="64">
                  <c:v>169</c:v>
                </c:pt>
                <c:pt idx="65">
                  <c:v>69</c:v>
                </c:pt>
                <c:pt idx="66">
                  <c:v>85</c:v>
                </c:pt>
                <c:pt idx="67">
                  <c:v>78</c:v>
                </c:pt>
                <c:pt idx="68">
                  <c:v>58</c:v>
                </c:pt>
                <c:pt idx="69">
                  <c:v>23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Dekaden!$A$5</c:f>
              <c:strCache>
                <c:ptCount val="1"/>
                <c:pt idx="0">
                  <c:v>DE-BayHStA/KUPassauStNikola</c:v>
                </c:pt>
              </c:strCache>
            </c:strRef>
          </c:tx>
          <c:spPr bwMode="auto">
            <a:prstGeom prst="rect">
              <a:avLst/>
            </a:prstGeom>
            <a:solidFill>
              <a:srgbClr val="FFC000"/>
            </a:solidFill>
            <a:ln w="12600">
              <a:noFill/>
            </a:ln>
          </c:spPr>
          <c:marker>
            <c:symbol val="circle"/>
            <c:size val="7"/>
            <c:spPr bwMode="auto">
              <a:prstGeom prst="rect">
                <a:avLst/>
              </a:prstGeom>
              <a:solidFill>
                <a:srgbClr val="FFC000"/>
              </a:solidFill>
            </c:spPr>
          </c:marker>
          <c:dLbls>
            <c:dLblPos val="r"/>
            <c:leaderLines>
              <c:spPr bwMode="auto">
                <a:prstGeom prst="rect">
                  <a:avLst/>
                </a:prstGeom>
                <a:ln w="12600">
                  <a:noFill/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/>
              </a:p>
            </c:txPr>
          </c:dLbls>
          <c:xVal>
            <c:numRef>
              <c:f>Dekaden!$B$1:$ED$1</c:f>
              <c:numCache>
                <c:formatCode>General</c:formatCode>
                <c:ptCount val="130"/>
                <c:pt idx="0">
                  <c:v>47</c:v>
                </c:pt>
                <c:pt idx="1">
                  <c:v>50</c:v>
                </c:pt>
                <c:pt idx="2">
                  <c:v>64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96</c:v>
                </c:pt>
                <c:pt idx="25">
                  <c:v>97</c:v>
                </c:pt>
                <c:pt idx="26">
                  <c:v>98</c:v>
                </c:pt>
                <c:pt idx="27">
                  <c:v>99</c:v>
                </c:pt>
                <c:pt idx="28">
                  <c:v>100</c:v>
                </c:pt>
                <c:pt idx="29">
                  <c:v>101</c:v>
                </c:pt>
                <c:pt idx="30">
                  <c:v>102</c:v>
                </c:pt>
                <c:pt idx="31">
                  <c:v>103</c:v>
                </c:pt>
                <c:pt idx="32">
                  <c:v>104</c:v>
                </c:pt>
                <c:pt idx="33">
                  <c:v>105</c:v>
                </c:pt>
                <c:pt idx="34">
                  <c:v>106</c:v>
                </c:pt>
                <c:pt idx="35">
                  <c:v>107</c:v>
                </c:pt>
                <c:pt idx="36">
                  <c:v>108</c:v>
                </c:pt>
                <c:pt idx="37">
                  <c:v>109</c:v>
                </c:pt>
                <c:pt idx="38">
                  <c:v>110</c:v>
                </c:pt>
                <c:pt idx="39">
                  <c:v>111</c:v>
                </c:pt>
                <c:pt idx="40">
                  <c:v>112</c:v>
                </c:pt>
                <c:pt idx="41">
                  <c:v>113</c:v>
                </c:pt>
                <c:pt idx="42">
                  <c:v>114</c:v>
                </c:pt>
                <c:pt idx="43">
                  <c:v>115</c:v>
                </c:pt>
                <c:pt idx="44">
                  <c:v>116</c:v>
                </c:pt>
                <c:pt idx="45">
                  <c:v>117</c:v>
                </c:pt>
                <c:pt idx="46">
                  <c:v>118</c:v>
                </c:pt>
                <c:pt idx="47">
                  <c:v>119</c:v>
                </c:pt>
                <c:pt idx="48">
                  <c:v>120</c:v>
                </c:pt>
                <c:pt idx="49">
                  <c:v>121</c:v>
                </c:pt>
                <c:pt idx="50">
                  <c:v>122</c:v>
                </c:pt>
                <c:pt idx="51">
                  <c:v>123</c:v>
                </c:pt>
                <c:pt idx="52">
                  <c:v>124</c:v>
                </c:pt>
                <c:pt idx="53">
                  <c:v>125</c:v>
                </c:pt>
                <c:pt idx="54">
                  <c:v>126</c:v>
                </c:pt>
                <c:pt idx="55">
                  <c:v>127</c:v>
                </c:pt>
                <c:pt idx="56">
                  <c:v>128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135</c:v>
                </c:pt>
                <c:pt idx="64">
                  <c:v>136</c:v>
                </c:pt>
                <c:pt idx="65">
                  <c:v>137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141</c:v>
                </c:pt>
                <c:pt idx="70">
                  <c:v>142</c:v>
                </c:pt>
                <c:pt idx="71">
                  <c:v>143</c:v>
                </c:pt>
                <c:pt idx="72">
                  <c:v>144</c:v>
                </c:pt>
                <c:pt idx="73">
                  <c:v>145</c:v>
                </c:pt>
                <c:pt idx="74">
                  <c:v>146</c:v>
                </c:pt>
                <c:pt idx="75">
                  <c:v>147</c:v>
                </c:pt>
                <c:pt idx="76">
                  <c:v>148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152</c:v>
                </c:pt>
                <c:pt idx="81">
                  <c:v>153</c:v>
                </c:pt>
                <c:pt idx="82">
                  <c:v>154</c:v>
                </c:pt>
                <c:pt idx="83">
                  <c:v>155</c:v>
                </c:pt>
                <c:pt idx="84">
                  <c:v>156</c:v>
                </c:pt>
                <c:pt idx="85">
                  <c:v>157</c:v>
                </c:pt>
                <c:pt idx="86">
                  <c:v>158</c:v>
                </c:pt>
                <c:pt idx="87">
                  <c:v>159</c:v>
                </c:pt>
                <c:pt idx="88">
                  <c:v>160</c:v>
                </c:pt>
                <c:pt idx="89">
                  <c:v>161</c:v>
                </c:pt>
                <c:pt idx="90">
                  <c:v>162</c:v>
                </c:pt>
                <c:pt idx="91">
                  <c:v>163</c:v>
                </c:pt>
                <c:pt idx="92">
                  <c:v>164</c:v>
                </c:pt>
                <c:pt idx="93">
                  <c:v>165</c:v>
                </c:pt>
                <c:pt idx="94">
                  <c:v>166</c:v>
                </c:pt>
                <c:pt idx="95">
                  <c:v>167</c:v>
                </c:pt>
                <c:pt idx="96">
                  <c:v>168</c:v>
                </c:pt>
                <c:pt idx="97">
                  <c:v>169</c:v>
                </c:pt>
                <c:pt idx="98">
                  <c:v>170</c:v>
                </c:pt>
                <c:pt idx="99">
                  <c:v>171</c:v>
                </c:pt>
                <c:pt idx="100">
                  <c:v>172</c:v>
                </c:pt>
                <c:pt idx="101">
                  <c:v>173</c:v>
                </c:pt>
                <c:pt idx="102">
                  <c:v>174</c:v>
                </c:pt>
                <c:pt idx="103">
                  <c:v>175</c:v>
                </c:pt>
                <c:pt idx="104">
                  <c:v>176</c:v>
                </c:pt>
                <c:pt idx="105">
                  <c:v>177</c:v>
                </c:pt>
                <c:pt idx="106">
                  <c:v>178</c:v>
                </c:pt>
                <c:pt idx="107">
                  <c:v>179</c:v>
                </c:pt>
                <c:pt idx="108">
                  <c:v>180</c:v>
                </c:pt>
                <c:pt idx="109">
                  <c:v>181</c:v>
                </c:pt>
                <c:pt idx="110">
                  <c:v>182</c:v>
                </c:pt>
                <c:pt idx="111">
                  <c:v>183</c:v>
                </c:pt>
                <c:pt idx="112">
                  <c:v>184</c:v>
                </c:pt>
                <c:pt idx="113">
                  <c:v>185</c:v>
                </c:pt>
                <c:pt idx="114">
                  <c:v>186</c:v>
                </c:pt>
                <c:pt idx="115">
                  <c:v>187</c:v>
                </c:pt>
                <c:pt idx="116">
                  <c:v>188</c:v>
                </c:pt>
                <c:pt idx="117">
                  <c:v>189</c:v>
                </c:pt>
                <c:pt idx="118">
                  <c:v>190</c:v>
                </c:pt>
                <c:pt idx="119">
                  <c:v>191</c:v>
                </c:pt>
                <c:pt idx="120">
                  <c:v>192</c:v>
                </c:pt>
                <c:pt idx="121">
                  <c:v>193</c:v>
                </c:pt>
                <c:pt idx="122">
                  <c:v>194</c:v>
                </c:pt>
                <c:pt idx="123">
                  <c:v>195</c:v>
                </c:pt>
                <c:pt idx="124">
                  <c:v>196</c:v>
                </c:pt>
                <c:pt idx="125">
                  <c:v>197</c:v>
                </c:pt>
                <c:pt idx="126">
                  <c:v>198</c:v>
                </c:pt>
                <c:pt idx="127">
                  <c:v>199</c:v>
                </c:pt>
                <c:pt idx="128">
                  <c:v>200</c:v>
                </c:pt>
                <c:pt idx="129">
                  <c:v>201</c:v>
                </c:pt>
              </c:numCache>
            </c:numRef>
          </c:xVal>
          <c:yVal>
            <c:numRef>
              <c:f>Dekaden!$B$5:$ED$5</c:f>
              <c:numCache>
                <c:formatCode>General</c:formatCode>
                <c:ptCount val="130"/>
                <c:pt idx="36">
                  <c:v>7</c:v>
                </c:pt>
                <c:pt idx="37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6">
                  <c:v>1</c:v>
                </c:pt>
                <c:pt idx="48">
                  <c:v>1</c:v>
                </c:pt>
                <c:pt idx="49">
                  <c:v>3</c:v>
                </c:pt>
                <c:pt idx="50">
                  <c:v>1</c:v>
                </c:pt>
                <c:pt idx="51">
                  <c:v>4</c:v>
                </c:pt>
                <c:pt idx="52">
                  <c:v>5</c:v>
                </c:pt>
                <c:pt idx="53">
                  <c:v>11</c:v>
                </c:pt>
                <c:pt idx="54">
                  <c:v>5</c:v>
                </c:pt>
                <c:pt idx="55">
                  <c:v>11</c:v>
                </c:pt>
                <c:pt idx="56">
                  <c:v>3</c:v>
                </c:pt>
                <c:pt idx="57">
                  <c:v>15</c:v>
                </c:pt>
                <c:pt idx="58">
                  <c:v>13</c:v>
                </c:pt>
                <c:pt idx="59">
                  <c:v>16</c:v>
                </c:pt>
                <c:pt idx="60">
                  <c:v>19</c:v>
                </c:pt>
                <c:pt idx="61">
                  <c:v>50</c:v>
                </c:pt>
                <c:pt idx="62">
                  <c:v>46</c:v>
                </c:pt>
                <c:pt idx="63">
                  <c:v>68</c:v>
                </c:pt>
                <c:pt idx="64">
                  <c:v>49</c:v>
                </c:pt>
                <c:pt idx="65">
                  <c:v>26</c:v>
                </c:pt>
                <c:pt idx="66">
                  <c:v>38</c:v>
                </c:pt>
                <c:pt idx="67">
                  <c:v>50</c:v>
                </c:pt>
                <c:pt idx="68">
                  <c:v>42</c:v>
                </c:pt>
                <c:pt idx="69">
                  <c:v>121</c:v>
                </c:pt>
                <c:pt idx="70">
                  <c:v>110</c:v>
                </c:pt>
                <c:pt idx="71">
                  <c:v>128</c:v>
                </c:pt>
                <c:pt idx="72">
                  <c:v>201</c:v>
                </c:pt>
                <c:pt idx="73">
                  <c:v>196</c:v>
                </c:pt>
                <c:pt idx="74">
                  <c:v>142</c:v>
                </c:pt>
                <c:pt idx="75">
                  <c:v>133</c:v>
                </c:pt>
                <c:pt idx="76">
                  <c:v>243</c:v>
                </c:pt>
                <c:pt idx="77">
                  <c:v>177</c:v>
                </c:pt>
                <c:pt idx="78">
                  <c:v>197</c:v>
                </c:pt>
                <c:pt idx="79">
                  <c:v>140</c:v>
                </c:pt>
                <c:pt idx="80">
                  <c:v>130</c:v>
                </c:pt>
                <c:pt idx="81">
                  <c:v>256</c:v>
                </c:pt>
                <c:pt idx="82">
                  <c:v>254</c:v>
                </c:pt>
                <c:pt idx="83">
                  <c:v>216</c:v>
                </c:pt>
                <c:pt idx="84">
                  <c:v>187</c:v>
                </c:pt>
                <c:pt idx="85">
                  <c:v>175</c:v>
                </c:pt>
                <c:pt idx="86">
                  <c:v>155</c:v>
                </c:pt>
                <c:pt idx="87">
                  <c:v>77</c:v>
                </c:pt>
                <c:pt idx="88">
                  <c:v>427</c:v>
                </c:pt>
                <c:pt idx="89">
                  <c:v>164</c:v>
                </c:pt>
                <c:pt idx="90">
                  <c:v>210</c:v>
                </c:pt>
                <c:pt idx="91">
                  <c:v>261</c:v>
                </c:pt>
                <c:pt idx="92">
                  <c:v>171</c:v>
                </c:pt>
                <c:pt idx="93">
                  <c:v>123</c:v>
                </c:pt>
                <c:pt idx="94">
                  <c:v>91</c:v>
                </c:pt>
                <c:pt idx="95">
                  <c:v>45</c:v>
                </c:pt>
                <c:pt idx="96">
                  <c:v>45</c:v>
                </c:pt>
                <c:pt idx="97">
                  <c:v>26</c:v>
                </c:pt>
                <c:pt idx="98">
                  <c:v>16</c:v>
                </c:pt>
                <c:pt idx="99">
                  <c:v>13</c:v>
                </c:pt>
                <c:pt idx="100">
                  <c:v>14</c:v>
                </c:pt>
                <c:pt idx="101">
                  <c:v>14</c:v>
                </c:pt>
                <c:pt idx="102">
                  <c:v>12</c:v>
                </c:pt>
                <c:pt idx="103">
                  <c:v>13</c:v>
                </c:pt>
                <c:pt idx="104">
                  <c:v>3</c:v>
                </c:pt>
                <c:pt idx="105">
                  <c:v>18</c:v>
                </c:pt>
                <c:pt idx="106">
                  <c:v>34</c:v>
                </c:pt>
                <c:pt idx="107">
                  <c:v>19</c:v>
                </c:pt>
                <c:pt idx="108">
                  <c:v>13</c:v>
                </c:pt>
                <c:pt idx="109">
                  <c:v>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0546945"/>
        <c:axId val="80555181"/>
      </c:scatterChart>
      <c:valAx>
        <c:axId val="1054694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Jahrzehnt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80555181"/>
        <c:crosses val="autoZero"/>
        <c:crossBetween val="midCat"/>
      </c:valAx>
      <c:valAx>
        <c:axId val="8055518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Calibri"/>
              </a:defRPr>
            </a:pPr>
            <a:endParaRPr/>
          </a:p>
        </c:txPr>
        <c:crossAx val="10546945"/>
        <c:crosses val="autoZero"/>
        <c:crossBetween val="midCat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latin typeface="Calibri"/>
              <a:ea typeface="Calibri"/>
            </a:defRPr>
          </a:pPr>
          <a:endParaRPr/>
        </a:p>
      </c:txPr>
    </c:legend>
    <c:plotVisOnly val="1"/>
    <c:dispBlanksAs val="zero"/>
    <c:showDLblsOverMax val="0"/>
  </c:chart>
  <c:spPr bwMode="auto">
    <a:xfrm rot="0">
      <a:off x="3851280" y="1762200"/>
      <a:ext cx="9819720" cy="60760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181080</xdr:rowOff>
    </xdr:from>
    <xdr:to>
      <xdr:col>4</xdr:col>
      <xdr:colOff>1096559</xdr:colOff>
      <xdr:row>19</xdr:row>
      <xdr:rowOff>94680</xdr:rowOff>
    </xdr:to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 rot="0">
        <a:off x="0" y="181080"/>
        <a:ext cx="5714280" cy="35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399960</xdr:colOff>
      <xdr:row>0</xdr:row>
      <xdr:rowOff>181080</xdr:rowOff>
    </xdr:from>
    <xdr:to>
      <xdr:col>15</xdr:col>
      <xdr:colOff>77400</xdr:colOff>
      <xdr:row>33</xdr:row>
      <xdr:rowOff>113400</xdr:rowOff>
    </xdr:to>
    <xdr:graphicFrame>
      <xdr:nvGraphicFramePr>
        <xdr:cNvPr id="2" name="Chart 2"/>
        <xdr:cNvGraphicFramePr>
          <a:graphicFrameLocks xmlns:a="http://schemas.openxmlformats.org/drawingml/2006/main"/>
        </xdr:cNvGraphicFramePr>
      </xdr:nvGraphicFramePr>
      <xdr:xfrm rot="0">
        <a:off x="7326720" y="181080"/>
        <a:ext cx="10067040" cy="621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4</xdr:col>
      <xdr:colOff>258480</xdr:colOff>
      <xdr:row>21</xdr:row>
      <xdr:rowOff>84960</xdr:rowOff>
    </xdr:to>
    <xdr:pic>
      <xdr:nvPicPr>
        <xdr:cNvPr id="3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4876200" cy="408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12</xdr:col>
      <xdr:colOff>0</xdr:colOff>
      <xdr:row>9</xdr:row>
      <xdr:rowOff>47520</xdr:rowOff>
    </xdr:from>
    <xdr:to>
      <xdr:col>43</xdr:col>
      <xdr:colOff>309960</xdr:colOff>
      <xdr:row>41</xdr:row>
      <xdr:rowOff>27720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3851280" y="1762200"/>
        <a:ext cx="9819720" cy="60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downloads/papsturkunden/number_papst_at_start_per_fon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mber_papst_at_start_per_fond"/>
    </sheetNames>
    <sheetDataSet>
      <sheetData sheetId="0">
        <row r="1">
          <cell r="A1" t="str">
            <v>_name</v>
          </cell>
        </row>
        <row r="2">
          <cell r="A2" t="str">
            <v>AT-AWMK/WienOFMConv</v>
          </cell>
        </row>
        <row r="3">
          <cell r="A3" t="str">
            <v>AT-AWMK/AsparnOFMConv</v>
          </cell>
        </row>
        <row r="4">
          <cell r="A4" t="str">
            <v>AT-HHStA/StLambrechtOSB</v>
          </cell>
        </row>
        <row r="5">
          <cell r="A5" t="str">
            <v>AT-HHStA/ImbachOP</v>
          </cell>
        </row>
        <row r="6">
          <cell r="A6" t="str">
            <v>AT-HHStA/ErlaOSB</v>
          </cell>
        </row>
        <row r="7">
          <cell r="A7" t="str">
            <v>AT-HHStA/MistelbachOCarm</v>
          </cell>
        </row>
        <row r="8">
          <cell r="A8" t="str">
            <v>AT-HHStA/TullnOP</v>
          </cell>
        </row>
        <row r="9">
          <cell r="A9" t="str">
            <v>AT-HHStA/WNOSPPE</v>
          </cell>
        </row>
        <row r="10">
          <cell r="A10" t="str">
            <v>AT-HHStA/WienKoeklOSCI</v>
          </cell>
        </row>
        <row r="11">
          <cell r="A11" t="str">
            <v>AT-HHStA/MillstattOSB</v>
          </cell>
        </row>
        <row r="12">
          <cell r="A12" t="str">
            <v>AT-HHStA/WNOCarm</v>
          </cell>
        </row>
        <row r="13">
          <cell r="A13" t="str">
            <v>AT-HHStA/NeubergOCist</v>
          </cell>
        </row>
        <row r="14">
          <cell r="A14" t="str">
            <v>AT-HHStA/MauerbachOCart</v>
          </cell>
        </row>
        <row r="15">
          <cell r="A15" t="str">
            <v>AT-HHStA/StPaulOSB</v>
          </cell>
        </row>
        <row r="16">
          <cell r="A16" t="str">
            <v>AT-OOeLA/SpitalamPyhrnCan</v>
          </cell>
        </row>
        <row r="17">
          <cell r="A17" t="str">
            <v>AT-OOeLA/MondseeOSB</v>
          </cell>
        </row>
        <row r="18">
          <cell r="A18" t="str">
            <v>AT-OOeLA/GarstenOSB</v>
          </cell>
        </row>
        <row r="19">
          <cell r="A19" t="str">
            <v>AT-OOeLA/SubenCanReg</v>
          </cell>
        </row>
        <row r="20">
          <cell r="A20" t="str">
            <v>AT-OOeLA/GleinkOSB</v>
          </cell>
        </row>
        <row r="21">
          <cell r="A21" t="str">
            <v>AT-StaAR/UrkDominikanerkloster</v>
          </cell>
        </row>
        <row r="22">
          <cell r="A22" t="str">
            <v>AT-StiAA/Urkunden</v>
          </cell>
        </row>
        <row r="23">
          <cell r="A23" t="str">
            <v>AT-StiAAdm/Urkunden</v>
          </cell>
        </row>
        <row r="24">
          <cell r="A24" t="str">
            <v>AT-StiAG/GoettweigOSB</v>
          </cell>
        </row>
        <row r="25">
          <cell r="A25" t="str">
            <v>AT-StiAGe/Urkunden</v>
          </cell>
        </row>
        <row r="26">
          <cell r="A26" t="str">
            <v>AT-StiAH/HeiligenkreuzOCist</v>
          </cell>
        </row>
        <row r="27">
          <cell r="A27" t="str">
            <v>AT-StiAH/WienOCist</v>
          </cell>
        </row>
        <row r="28">
          <cell r="A28" t="str">
            <v>AT-StiAHe/HerzogenburgCanReg</v>
          </cell>
        </row>
        <row r="29">
          <cell r="A29" t="str">
            <v>AT-StiAHe/StAndraeCanReg</v>
          </cell>
        </row>
        <row r="30">
          <cell r="A30" t="str">
            <v>AT-StiAHe/DuernsteinOSCl</v>
          </cell>
        </row>
        <row r="31">
          <cell r="A31" t="str">
            <v>AT-StiAK/KlosterneuburgCanReg</v>
          </cell>
        </row>
        <row r="32">
          <cell r="A32" t="str">
            <v>AT-StiAKr/KremsmuensterOSB</v>
          </cell>
        </row>
        <row r="33">
          <cell r="A33" t="str">
            <v>AT-StiAL/LambachOSB</v>
          </cell>
        </row>
        <row r="34">
          <cell r="A34" t="str">
            <v>AT-StiALi/LilienfeldOCist</v>
          </cell>
        </row>
        <row r="35">
          <cell r="A35" t="str">
            <v>AT-StiAM/MelkOSB</v>
          </cell>
        </row>
        <row r="36">
          <cell r="A36" t="str">
            <v>AT-StiAMB/MuellnOSA</v>
          </cell>
        </row>
        <row r="37">
          <cell r="A37" t="str">
            <v>AT-StiAMB/MbOSB</v>
          </cell>
        </row>
        <row r="38">
          <cell r="A38" t="str">
            <v>AT-StiANK/NeuklosterOCist</v>
          </cell>
        </row>
        <row r="39">
          <cell r="A39" t="str">
            <v>AT-StiAR/ReichersbergCanReg</v>
          </cell>
        </row>
        <row r="40">
          <cell r="A40" t="str">
            <v>AT-StiARein/ReinOCist</v>
          </cell>
        </row>
        <row r="41">
          <cell r="A41" t="str">
            <v>AT-StiASch/SchlierbachOCist</v>
          </cell>
        </row>
        <row r="42">
          <cell r="A42" t="str">
            <v>AT-StiASchl/Urkunden</v>
          </cell>
        </row>
        <row r="43">
          <cell r="A43" t="str">
            <v>AT-StiAScho/SchottenOSB</v>
          </cell>
        </row>
        <row r="44">
          <cell r="A44" t="str">
            <v>AT-StiASei/SeitenstettenOSB</v>
          </cell>
        </row>
        <row r="45">
          <cell r="A45" t="str">
            <v>AT-StiASF/StFlorianCanReg</v>
          </cell>
        </row>
        <row r="46">
          <cell r="A46" t="str">
            <v>AT-StiASP/Urkunden</v>
          </cell>
        </row>
        <row r="47">
          <cell r="A47" t="str">
            <v>AT-StiAStP/BlUKVariaEcclesiastica</v>
          </cell>
        </row>
        <row r="48">
          <cell r="A48" t="str">
            <v>AT-StiAStP/UK</v>
          </cell>
        </row>
        <row r="49">
          <cell r="A49" t="str">
            <v>AT-StiAStP/BlUKHirsau</v>
          </cell>
        </row>
        <row r="50">
          <cell r="A50" t="str">
            <v>AT-StiAStP/BlUKBlaubeuren</v>
          </cell>
        </row>
        <row r="51">
          <cell r="A51" t="str">
            <v>AT-StiAStP/BlUKLorch</v>
          </cell>
        </row>
        <row r="52">
          <cell r="A52" t="str">
            <v>AT-StiAStP/BlUKMaulbronn</v>
          </cell>
        </row>
        <row r="53">
          <cell r="A53" t="str">
            <v>AT-StiAStP/BlUKWilhelmiterOrden</v>
          </cell>
        </row>
        <row r="54">
          <cell r="A54" t="str">
            <v>AT-StiAStP/EUK</v>
          </cell>
        </row>
        <row r="55">
          <cell r="A55" t="str">
            <v>AT-StiAStP/BlUKBebenhausen</v>
          </cell>
        </row>
        <row r="56">
          <cell r="A56" t="str">
            <v>AT-StiAV/VorauCanReg</v>
          </cell>
        </row>
        <row r="57">
          <cell r="A57" t="str">
            <v>AT-StiAW/Urkunden</v>
          </cell>
        </row>
        <row r="58">
          <cell r="A58" t="str">
            <v>AT-StiAWilten/Urkunden</v>
          </cell>
        </row>
        <row r="59">
          <cell r="A59" t="str">
            <v>AT-StiAZ/Urkunden</v>
          </cell>
        </row>
        <row r="60">
          <cell r="A60" t="str">
            <v>AT-VLA/ThalbachKl</v>
          </cell>
        </row>
        <row r="61">
          <cell r="A61" t="str">
            <v>AT-VLA/ThalbachHirschtalKl</v>
          </cell>
        </row>
        <row r="62">
          <cell r="A62" t="str">
            <v>AT-VLA/MehrerauKl</v>
          </cell>
        </row>
        <row r="63">
          <cell r="A63" t="str">
            <v>CH-StiASG/StiAPfae</v>
          </cell>
        </row>
        <row r="64">
          <cell r="A64" t="str">
            <v>CH-StiASG/Urkunden</v>
          </cell>
        </row>
        <row r="65">
          <cell r="A65" t="str">
            <v>CZ-MZA/E10</v>
          </cell>
        </row>
        <row r="66">
          <cell r="A66" t="str">
            <v>CZ-MZA/E51</v>
          </cell>
        </row>
        <row r="67">
          <cell r="A67" t="str">
            <v>CZ-MZA/E03</v>
          </cell>
        </row>
        <row r="68">
          <cell r="A68" t="str">
            <v>CZ-MZA/E04</v>
          </cell>
        </row>
        <row r="69">
          <cell r="A69" t="str">
            <v>CZ-MZA/E40</v>
          </cell>
        </row>
        <row r="70">
          <cell r="A70" t="str">
            <v>CZ-MZA/E59</v>
          </cell>
        </row>
        <row r="71">
          <cell r="A71" t="str">
            <v>CZ-MZA/E07</v>
          </cell>
        </row>
        <row r="72">
          <cell r="A72" t="str">
            <v>CZ-MZA/E08</v>
          </cell>
        </row>
        <row r="73">
          <cell r="A73" t="str">
            <v>CZ-MZA/E18</v>
          </cell>
        </row>
        <row r="74">
          <cell r="A74" t="str">
            <v>CZ-MZA/E43</v>
          </cell>
        </row>
        <row r="75">
          <cell r="A75" t="str">
            <v>CZ-MZA/E41</v>
          </cell>
        </row>
        <row r="76">
          <cell r="A76" t="str">
            <v>CZ-MZA/E06</v>
          </cell>
        </row>
        <row r="77">
          <cell r="A77" t="str">
            <v>CZ-MZA/E05</v>
          </cell>
        </row>
        <row r="78">
          <cell r="A78" t="str">
            <v>CZ-MZA/E55</v>
          </cell>
        </row>
        <row r="79">
          <cell r="A79" t="str">
            <v>CZ-MZA/E57</v>
          </cell>
        </row>
        <row r="80">
          <cell r="A80" t="str">
            <v>CZ-MZA/E16</v>
          </cell>
        </row>
        <row r="81">
          <cell r="A81" t="str">
            <v>CZ-MZA/E58</v>
          </cell>
        </row>
        <row r="82">
          <cell r="A82" t="str">
            <v>CZ-MZA/E09</v>
          </cell>
        </row>
        <row r="83">
          <cell r="A83" t="str">
            <v>CZ-NA/RKr</v>
          </cell>
        </row>
        <row r="84">
          <cell r="A84" t="str">
            <v>CZ-NA/RA</v>
          </cell>
        </row>
        <row r="85">
          <cell r="A85" t="str">
            <v>CZ-NA/RBB</v>
          </cell>
        </row>
        <row r="86">
          <cell r="A86" t="str">
            <v>CZ-NA/RD</v>
          </cell>
        </row>
        <row r="87">
          <cell r="A87" t="str">
            <v>CZ-SOAT/PremonstratiZeliv</v>
          </cell>
        </row>
        <row r="88">
          <cell r="A88" t="str">
            <v>CZ-ZAO/NR-OPAVA</v>
          </cell>
        </row>
        <row r="89">
          <cell r="A89" t="str">
            <v>CZ-ZAO/RM-KRNOV</v>
          </cell>
        </row>
        <row r="90">
          <cell r="A90" t="str">
            <v>CZ-ZAO/RK-FULNEK</v>
          </cell>
        </row>
        <row r="91">
          <cell r="A91" t="str">
            <v>DE-BAH/UrkStMi</v>
          </cell>
        </row>
        <row r="92">
          <cell r="A92" t="str">
            <v>DE-BayHStA/KUWindberg</v>
          </cell>
        </row>
        <row r="93">
          <cell r="A93" t="str">
            <v>DE-BayHStA/KUMuenchenAngerkloster</v>
          </cell>
        </row>
        <row r="94">
          <cell r="A94" t="str">
            <v>DE-BayHStA/KURohr</v>
          </cell>
        </row>
        <row r="95">
          <cell r="A95" t="str">
            <v>DE-BayHStA/KUFrauenchiemsee</v>
          </cell>
        </row>
        <row r="96">
          <cell r="A96" t="str">
            <v>DE-BayHStA/KUVilshofen</v>
          </cell>
        </row>
        <row r="97">
          <cell r="A97" t="str">
            <v>DE-BayHStA/KUFormbach</v>
          </cell>
        </row>
        <row r="98">
          <cell r="A98" t="str">
            <v>DE-BayHStA/KUHoeglwoerth</v>
          </cell>
        </row>
        <row r="99">
          <cell r="A99" t="str">
            <v>DE-BayHStA/KUAltenhohenau</v>
          </cell>
        </row>
        <row r="100">
          <cell r="A100" t="str">
            <v>DE-BayHStA/KURaitenhaslach</v>
          </cell>
        </row>
        <row r="101">
          <cell r="A101" t="str">
            <v>DE-BayHStA/KUAltoettingChorstift</v>
          </cell>
        </row>
        <row r="102">
          <cell r="A102" t="str">
            <v>DE-BayHStA/KUAldersbach</v>
          </cell>
        </row>
        <row r="103">
          <cell r="A103" t="str">
            <v>DE-BayHStA/KUFuerstenzell</v>
          </cell>
        </row>
        <row r="104">
          <cell r="A104" t="str">
            <v>DE-BayHStA/KUAltomuenster</v>
          </cell>
        </row>
        <row r="105">
          <cell r="A105" t="str">
            <v>DE-BayHStA/KUOsterhofen</v>
          </cell>
        </row>
        <row r="106">
          <cell r="A106" t="str">
            <v>DE-BayHStA/KUAsbach</v>
          </cell>
        </row>
        <row r="107">
          <cell r="A107" t="str">
            <v>DE-BayHStA/KUPassauStSalvator</v>
          </cell>
        </row>
        <row r="108">
          <cell r="A108" t="str">
            <v>DE-BayHStA/KUNeuburgDonau</v>
          </cell>
        </row>
        <row r="109">
          <cell r="A109" t="str">
            <v>DE-BayHStA/KURegensburgStEmmeram</v>
          </cell>
        </row>
        <row r="110">
          <cell r="A110" t="str">
            <v>DE-BayHStA/KUNiederaltaich</v>
          </cell>
        </row>
        <row r="111">
          <cell r="A111" t="str">
            <v>DE-BayHStA/KUPassauNiedernburg</v>
          </cell>
        </row>
        <row r="112">
          <cell r="A112" t="str">
            <v>DE-BayHStA/KUMuenchen-Puetrichhaus</v>
          </cell>
        </row>
        <row r="113">
          <cell r="A113" t="str">
            <v>DE-GLAK/GLAK_34</v>
          </cell>
        </row>
        <row r="114">
          <cell r="A114" t="str">
            <v>DE-HStAMa/urk77</v>
          </cell>
        </row>
        <row r="115">
          <cell r="A115" t="str">
            <v>DE-HStASt/HStASt_A502</v>
          </cell>
        </row>
        <row r="116">
          <cell r="A116" t="str">
            <v>DE-LHAKO/164</v>
          </cell>
        </row>
        <row r="117">
          <cell r="A117" t="str">
            <v>DE-LHAKO/128</v>
          </cell>
        </row>
        <row r="118">
          <cell r="A118" t="str">
            <v>DE-LHAKO/210</v>
          </cell>
        </row>
        <row r="119">
          <cell r="A119" t="str">
            <v>DE-StAAm/Waldsassen</v>
          </cell>
        </row>
        <row r="120">
          <cell r="A120" t="str">
            <v>DE-StABa/Langheim</v>
          </cell>
        </row>
        <row r="121">
          <cell r="A121" t="str">
            <v>DE-StALB/StAL_B509</v>
          </cell>
        </row>
        <row r="122">
          <cell r="A122" t="str">
            <v>DE-UAHD/LambrechtKloster</v>
          </cell>
        </row>
        <row r="123">
          <cell r="A123" t="str">
            <v>DE-UAHD/ZellStift</v>
          </cell>
        </row>
        <row r="124">
          <cell r="A124" t="str">
            <v>HR-DAZD/336</v>
          </cell>
        </row>
        <row r="125">
          <cell r="A125" t="str">
            <v>__text</v>
          </cell>
        </row>
        <row r="126">
          <cell r="A126">
            <v>63</v>
          </cell>
        </row>
        <row r="127">
          <cell r="A127">
            <v>25</v>
          </cell>
        </row>
        <row r="128">
          <cell r="A128">
            <v>1</v>
          </cell>
        </row>
        <row r="129">
          <cell r="A129">
            <v>6</v>
          </cell>
        </row>
        <row r="130">
          <cell r="A130">
            <v>2</v>
          </cell>
        </row>
        <row r="131">
          <cell r="A131">
            <v>1</v>
          </cell>
        </row>
        <row r="132">
          <cell r="A132">
            <v>15</v>
          </cell>
        </row>
        <row r="133">
          <cell r="A133">
            <v>10</v>
          </cell>
        </row>
        <row r="134">
          <cell r="A134">
            <v>5</v>
          </cell>
        </row>
        <row r="135">
          <cell r="A135">
            <v>7</v>
          </cell>
        </row>
        <row r="136">
          <cell r="A136">
            <v>1</v>
          </cell>
        </row>
        <row r="137">
          <cell r="A137">
            <v>1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8</v>
          </cell>
        </row>
        <row r="141">
          <cell r="A141">
            <v>3</v>
          </cell>
        </row>
        <row r="142">
          <cell r="A142">
            <v>14</v>
          </cell>
        </row>
        <row r="143">
          <cell r="A143">
            <v>1</v>
          </cell>
        </row>
        <row r="144">
          <cell r="A144">
            <v>5</v>
          </cell>
        </row>
        <row r="145">
          <cell r="A145">
            <v>4</v>
          </cell>
        </row>
        <row r="146">
          <cell r="A146">
            <v>2</v>
          </cell>
        </row>
        <row r="147">
          <cell r="A147">
            <v>15</v>
          </cell>
        </row>
        <row r="148">
          <cell r="A148">
            <v>49</v>
          </cell>
        </row>
        <row r="149">
          <cell r="A149">
            <v>8</v>
          </cell>
        </row>
        <row r="150">
          <cell r="A150">
            <v>34</v>
          </cell>
        </row>
        <row r="151">
          <cell r="A151">
            <v>1</v>
          </cell>
        </row>
        <row r="152">
          <cell r="A152">
            <v>21</v>
          </cell>
        </row>
        <row r="153">
          <cell r="A153">
            <v>7</v>
          </cell>
        </row>
        <row r="154">
          <cell r="A154">
            <v>6</v>
          </cell>
        </row>
        <row r="155">
          <cell r="A155">
            <v>22</v>
          </cell>
        </row>
        <row r="156">
          <cell r="A156">
            <v>26</v>
          </cell>
        </row>
        <row r="157">
          <cell r="A157">
            <v>6</v>
          </cell>
        </row>
        <row r="158">
          <cell r="A158">
            <v>44</v>
          </cell>
        </row>
        <row r="159">
          <cell r="A159">
            <v>136</v>
          </cell>
        </row>
        <row r="160">
          <cell r="A160">
            <v>4</v>
          </cell>
        </row>
        <row r="161">
          <cell r="A161">
            <v>5</v>
          </cell>
        </row>
        <row r="162">
          <cell r="A162">
            <v>13</v>
          </cell>
        </row>
        <row r="163">
          <cell r="A163">
            <v>14</v>
          </cell>
        </row>
        <row r="164">
          <cell r="A164">
            <v>32</v>
          </cell>
        </row>
        <row r="165">
          <cell r="A165">
            <v>6</v>
          </cell>
        </row>
        <row r="166">
          <cell r="A166">
            <v>9</v>
          </cell>
        </row>
        <row r="167">
          <cell r="A167">
            <v>18</v>
          </cell>
        </row>
        <row r="168">
          <cell r="A168">
            <v>7</v>
          </cell>
        </row>
        <row r="169">
          <cell r="A169">
            <v>29</v>
          </cell>
        </row>
        <row r="170">
          <cell r="A170">
            <v>21</v>
          </cell>
        </row>
        <row r="171">
          <cell r="A171">
            <v>2</v>
          </cell>
        </row>
        <row r="172">
          <cell r="A172">
            <v>60</v>
          </cell>
        </row>
        <row r="173">
          <cell r="A173">
            <v>1</v>
          </cell>
        </row>
        <row r="174">
          <cell r="A174">
            <v>7</v>
          </cell>
        </row>
        <row r="175">
          <cell r="A175">
            <v>1</v>
          </cell>
        </row>
        <row r="176">
          <cell r="A176">
            <v>1</v>
          </cell>
        </row>
        <row r="177">
          <cell r="A177">
            <v>17</v>
          </cell>
        </row>
        <row r="178">
          <cell r="A178">
            <v>4</v>
          </cell>
        </row>
        <row r="179">
          <cell r="A179">
            <v>1</v>
          </cell>
        </row>
        <row r="180">
          <cell r="A180">
            <v>3</v>
          </cell>
        </row>
        <row r="181">
          <cell r="A181">
            <v>16</v>
          </cell>
        </row>
        <row r="182">
          <cell r="A182">
            <v>26</v>
          </cell>
        </row>
        <row r="183">
          <cell r="A183">
            <v>28</v>
          </cell>
        </row>
        <row r="184">
          <cell r="A184">
            <v>6</v>
          </cell>
        </row>
        <row r="185">
          <cell r="A185">
            <v>1</v>
          </cell>
        </row>
        <row r="186">
          <cell r="A186">
            <v>26</v>
          </cell>
        </row>
        <row r="187">
          <cell r="A187">
            <v>14</v>
          </cell>
        </row>
        <row r="188">
          <cell r="A188">
            <v>58</v>
          </cell>
        </row>
        <row r="189">
          <cell r="A189">
            <v>16</v>
          </cell>
        </row>
        <row r="190">
          <cell r="A190">
            <v>18</v>
          </cell>
        </row>
        <row r="191">
          <cell r="A191">
            <v>33</v>
          </cell>
        </row>
        <row r="192">
          <cell r="A192">
            <v>4</v>
          </cell>
        </row>
        <row r="193">
          <cell r="A193">
            <v>2</v>
          </cell>
        </row>
        <row r="194">
          <cell r="A194">
            <v>2</v>
          </cell>
        </row>
        <row r="195">
          <cell r="A195">
            <v>34</v>
          </cell>
        </row>
        <row r="196">
          <cell r="A196">
            <v>7</v>
          </cell>
        </row>
        <row r="197">
          <cell r="A197">
            <v>5</v>
          </cell>
        </row>
        <row r="198">
          <cell r="A198">
            <v>19</v>
          </cell>
        </row>
        <row r="199">
          <cell r="A199">
            <v>1</v>
          </cell>
        </row>
        <row r="200">
          <cell r="A200">
            <v>21</v>
          </cell>
        </row>
        <row r="201">
          <cell r="A201">
            <v>6</v>
          </cell>
        </row>
        <row r="202">
          <cell r="A202">
            <v>7</v>
          </cell>
        </row>
        <row r="203">
          <cell r="A203">
            <v>17</v>
          </cell>
        </row>
        <row r="204">
          <cell r="A204">
            <v>1</v>
          </cell>
        </row>
        <row r="205">
          <cell r="A205">
            <v>1</v>
          </cell>
        </row>
        <row r="206">
          <cell r="A206">
            <v>17</v>
          </cell>
        </row>
        <row r="207">
          <cell r="A207">
            <v>130</v>
          </cell>
        </row>
        <row r="208">
          <cell r="A208">
            <v>9</v>
          </cell>
        </row>
        <row r="209">
          <cell r="A209">
            <v>170</v>
          </cell>
        </row>
        <row r="210">
          <cell r="A210">
            <v>6</v>
          </cell>
        </row>
        <row r="211">
          <cell r="A211">
            <v>24</v>
          </cell>
        </row>
        <row r="212">
          <cell r="A212">
            <v>3</v>
          </cell>
        </row>
        <row r="213">
          <cell r="A213">
            <v>4</v>
          </cell>
        </row>
        <row r="214">
          <cell r="A214">
            <v>1</v>
          </cell>
        </row>
        <row r="215">
          <cell r="A215">
            <v>5</v>
          </cell>
        </row>
        <row r="216">
          <cell r="A216">
            <v>15</v>
          </cell>
        </row>
        <row r="217">
          <cell r="A217">
            <v>7</v>
          </cell>
        </row>
        <row r="218">
          <cell r="A218">
            <v>1</v>
          </cell>
        </row>
        <row r="219">
          <cell r="A219">
            <v>1</v>
          </cell>
        </row>
        <row r="220">
          <cell r="A220">
            <v>9</v>
          </cell>
        </row>
        <row r="221">
          <cell r="A221">
            <v>13</v>
          </cell>
        </row>
        <row r="222">
          <cell r="A222">
            <v>22</v>
          </cell>
        </row>
        <row r="223">
          <cell r="A223">
            <v>11</v>
          </cell>
        </row>
        <row r="224">
          <cell r="A224">
            <v>52</v>
          </cell>
        </row>
        <row r="225">
          <cell r="A225">
            <v>8</v>
          </cell>
        </row>
        <row r="226">
          <cell r="A226">
            <v>25</v>
          </cell>
        </row>
        <row r="227">
          <cell r="A227">
            <v>16</v>
          </cell>
        </row>
        <row r="228">
          <cell r="A228">
            <v>13</v>
          </cell>
        </row>
        <row r="229">
          <cell r="A229">
            <v>1</v>
          </cell>
        </row>
        <row r="230">
          <cell r="A230">
            <v>14</v>
          </cell>
        </row>
        <row r="231">
          <cell r="A231">
            <v>3</v>
          </cell>
        </row>
        <row r="232">
          <cell r="A232">
            <v>8</v>
          </cell>
        </row>
        <row r="233">
          <cell r="A233">
            <v>99</v>
          </cell>
        </row>
        <row r="234">
          <cell r="A234">
            <v>45</v>
          </cell>
        </row>
        <row r="235">
          <cell r="A235">
            <v>9</v>
          </cell>
        </row>
        <row r="236">
          <cell r="A236">
            <v>1</v>
          </cell>
        </row>
        <row r="237">
          <cell r="A237">
            <v>18</v>
          </cell>
        </row>
        <row r="238">
          <cell r="A238">
            <v>37</v>
          </cell>
        </row>
        <row r="239">
          <cell r="A239">
            <v>32</v>
          </cell>
        </row>
        <row r="240">
          <cell r="A240">
            <v>12</v>
          </cell>
        </row>
        <row r="241">
          <cell r="A241">
            <v>38</v>
          </cell>
        </row>
        <row r="242">
          <cell r="A242">
            <v>16</v>
          </cell>
        </row>
        <row r="243">
          <cell r="A243">
            <v>45</v>
          </cell>
        </row>
        <row r="244">
          <cell r="A244">
            <v>11</v>
          </cell>
        </row>
        <row r="245">
          <cell r="A245">
            <v>13</v>
          </cell>
        </row>
        <row r="246">
          <cell r="A246">
            <v>3</v>
          </cell>
        </row>
        <row r="247">
          <cell r="A247">
            <v>3</v>
          </cell>
        </row>
        <row r="248">
          <cell r="A248">
            <v>2</v>
          </cell>
        </row>
      </sheetData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C1" zoomScale="100" workbookViewId="0">
      <pane ySplit="1" topLeftCell="A2" activePane="bottomLeft" state="frozen"/>
      <selection activeCell="H2" activeCellId="0" sqref="H2"/>
    </sheetView>
  </sheetViews>
  <sheetFormatPr defaultColWidth="14.4296875" defaultRowHeight="15" customHeight="1"/>
  <cols>
    <col customWidth="1" min="1" max="1" style="1" width="45.140000000000001"/>
    <col customWidth="1" min="2" max="2" style="1" width="40.859999999999999"/>
    <col customWidth="1" min="3" max="3" style="1" width="69.569999999999993"/>
    <col customWidth="1" min="4" max="4" style="1" width="46.57"/>
    <col customWidth="1" min="5" max="6" style="1" width="11.15"/>
    <col customWidth="1" min="7" max="27" style="1" width="10.699999999999999"/>
    <col customWidth="1" min="28" max="16384" style="0" width="10.16"/>
  </cols>
  <sheetData>
    <row r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6.5" customHeight="1">
      <c r="A2" s="3" t="s">
        <v>8</v>
      </c>
      <c r="B2" s="3" t="s">
        <v>9</v>
      </c>
      <c r="C2" s="3" t="s">
        <v>10</v>
      </c>
      <c r="D2" s="3" t="s">
        <v>11</v>
      </c>
      <c r="E2" s="3">
        <f>VLOOKUP($B2, temporalBoundaries!$A:$G, 6, 0)</f>
        <v>12290220</v>
      </c>
      <c r="F2" s="3">
        <f>VLOOKUP($B2, temporalBoundaries!$A:$G, 7, 0)</f>
        <v>19700409</v>
      </c>
      <c r="G2" s="1"/>
    </row>
    <row r="3" ht="16.5" customHeight="1">
      <c r="A3" s="4" t="s">
        <v>12</v>
      </c>
      <c r="B3" s="4" t="s">
        <v>13</v>
      </c>
      <c r="C3" s="4" t="s">
        <v>14</v>
      </c>
      <c r="D3" s="4" t="s">
        <v>15</v>
      </c>
      <c r="E3" s="3">
        <f>VLOOKUP($B3,temporalBoundaries!$A:$G,6,0)</f>
        <v>12430629</v>
      </c>
      <c r="F3" s="3">
        <f>VLOOKUP($B3,temporalBoundaries!$A:$G,7,0)</f>
        <v>17650422</v>
      </c>
      <c r="G3" s="1">
        <v>63</v>
      </c>
    </row>
    <row r="4" ht="16.5" customHeight="1">
      <c r="A4" s="3" t="s">
        <v>16</v>
      </c>
      <c r="B4" s="3" t="s">
        <v>17</v>
      </c>
      <c r="C4" s="3" t="s">
        <v>18</v>
      </c>
      <c r="D4" s="3" t="s">
        <v>19</v>
      </c>
      <c r="E4" s="3">
        <f>VLOOKUP($B4,temporalBoundaries!$A:$G,6,0)</f>
        <v>13681213</v>
      </c>
      <c r="F4" s="3">
        <f>VLOOKUP($B4,temporalBoundaries!$A:$G,7,0)</f>
        <v>18309999</v>
      </c>
      <c r="G4" s="1"/>
    </row>
    <row r="5" ht="16.5" customHeight="1">
      <c r="A5" s="4" t="s">
        <v>20</v>
      </c>
      <c r="B5" s="4" t="s">
        <v>21</v>
      </c>
      <c r="C5" s="4" t="s">
        <v>22</v>
      </c>
      <c r="D5" s="4" t="s">
        <v>23</v>
      </c>
      <c r="E5" s="3">
        <f>VLOOKUP($B5,temporalBoundaries!$A:$G,6,0)</f>
        <v>14711127</v>
      </c>
      <c r="F5" s="3">
        <f>VLOOKUP($B5,temporalBoundaries!$A:$G,7,0)</f>
        <v>17670520</v>
      </c>
      <c r="G5" s="1">
        <v>25</v>
      </c>
    </row>
    <row r="6" ht="16.5" customHeight="1">
      <c r="A6" s="3" t="s">
        <v>24</v>
      </c>
      <c r="B6" s="3" t="s">
        <v>25</v>
      </c>
      <c r="C6" s="3" t="s">
        <v>26</v>
      </c>
      <c r="D6" s="3" t="s">
        <v>27</v>
      </c>
      <c r="E6" s="3">
        <f>VLOOKUP($B6,temporalBoundaries!$A:$G,6,0)</f>
        <v>13161021</v>
      </c>
      <c r="F6" s="3">
        <f>VLOOKUP($B6,temporalBoundaries!$A:$G,7,0)</f>
        <v>17820622</v>
      </c>
      <c r="G6" s="1"/>
    </row>
    <row r="7" ht="16.5" customHeight="1">
      <c r="A7" s="3" t="s">
        <v>28</v>
      </c>
      <c r="B7" s="3" t="s">
        <v>29</v>
      </c>
      <c r="C7" s="3" t="s">
        <v>30</v>
      </c>
      <c r="D7" s="3" t="s">
        <v>31</v>
      </c>
      <c r="E7" s="3">
        <f>VLOOKUP($B7,temporalBoundaries!$A:$G,6,0)</f>
        <v>11881214</v>
      </c>
      <c r="F7" s="3">
        <f>VLOOKUP($B7,temporalBoundaries!$A:$G,7,0)</f>
        <v>14880117</v>
      </c>
      <c r="G7" s="1"/>
    </row>
    <row r="8" ht="16.5" customHeight="1">
      <c r="A8" s="4" t="s">
        <v>32</v>
      </c>
      <c r="B8" s="4" t="s">
        <v>33</v>
      </c>
      <c r="C8" s="4" t="s">
        <v>34</v>
      </c>
      <c r="D8" s="4" t="s">
        <v>35</v>
      </c>
      <c r="E8" s="3">
        <f>VLOOKUP($B8,temporalBoundaries!$A:$G,6,0)</f>
        <v>11711231</v>
      </c>
      <c r="F8" s="3">
        <f>VLOOKUP($B8,temporalBoundaries!$A:$G,7,0)</f>
        <v>14890721</v>
      </c>
      <c r="G8" s="1"/>
    </row>
    <row r="9" ht="16.5" customHeight="1">
      <c r="A9" s="3" t="s">
        <v>36</v>
      </c>
      <c r="B9" s="3" t="s">
        <v>37</v>
      </c>
      <c r="C9" s="3" t="s">
        <v>38</v>
      </c>
      <c r="D9" s="3" t="s">
        <v>39</v>
      </c>
      <c r="E9" s="3">
        <f>VLOOKUP($B9,temporalBoundaries!$A:$G,6,0)</f>
        <v>12479999</v>
      </c>
      <c r="F9" s="3">
        <f>VLOOKUP($B9,temporalBoundaries!$A:$G,7,0)</f>
        <v>14181011</v>
      </c>
      <c r="G9" s="1"/>
    </row>
    <row r="10" ht="16.5" customHeight="1">
      <c r="A10" s="4" t="s">
        <v>40</v>
      </c>
      <c r="B10" s="4" t="s">
        <v>41</v>
      </c>
      <c r="C10" s="4" t="s">
        <v>42</v>
      </c>
      <c r="D10" s="4" t="s">
        <v>43</v>
      </c>
      <c r="E10" s="3">
        <f>VLOOKUP($B10, temporalBoundaries!$A:$G, 6, 0)</f>
        <v>12820905</v>
      </c>
      <c r="F10" s="3">
        <f>VLOOKUP($B10, temporalBoundaries!$A:$G, 7, 0)</f>
        <v>13400424</v>
      </c>
      <c r="G10" s="1"/>
    </row>
    <row r="11" ht="16.5" customHeight="1">
      <c r="A11" s="4" t="s">
        <v>44</v>
      </c>
      <c r="B11" s="4" t="s">
        <v>45</v>
      </c>
      <c r="C11" s="4" t="s">
        <v>46</v>
      </c>
      <c r="D11" s="4" t="s">
        <v>47</v>
      </c>
      <c r="E11" s="3">
        <f>VLOOKUP($B11,temporalBoundaries!$A:$G,6,0)</f>
        <v>12051110</v>
      </c>
      <c r="F11" s="3">
        <f>VLOOKUP($B11,temporalBoundaries!$A:$G,7,0)</f>
        <v>15800128</v>
      </c>
      <c r="G11" s="1">
        <v>1</v>
      </c>
    </row>
    <row r="12" ht="16.5" customHeight="1">
      <c r="A12" s="4" t="s">
        <v>48</v>
      </c>
      <c r="B12" s="4" t="s">
        <v>49</v>
      </c>
      <c r="C12" s="4" t="s">
        <v>50</v>
      </c>
      <c r="D12" s="4" t="s">
        <v>51</v>
      </c>
      <c r="E12" s="3">
        <f>VLOOKUP($B12,temporalBoundaries!$A:$G,6,0)</f>
        <v>14560122</v>
      </c>
      <c r="F12" s="3">
        <f>VLOOKUP($B12,temporalBoundaries!$A:$G,7,0)</f>
        <v>14560122</v>
      </c>
      <c r="G12" s="1"/>
    </row>
    <row r="13" ht="16.5" customHeight="1">
      <c r="A13" s="4" t="s">
        <v>52</v>
      </c>
      <c r="B13" s="4" t="s">
        <v>53</v>
      </c>
      <c r="C13" s="4" t="s">
        <v>54</v>
      </c>
      <c r="D13" s="4" t="s">
        <v>55</v>
      </c>
      <c r="E13" s="3">
        <f>VLOOKUP($B13,temporalBoundaries!$A:$G,6,0)</f>
        <v>14560305</v>
      </c>
      <c r="F13" s="3">
        <f>VLOOKUP($B13,temporalBoundaries!$A:$G,7,0)</f>
        <v>16240121</v>
      </c>
      <c r="G13" s="1"/>
    </row>
    <row r="14" ht="16.5" customHeight="1">
      <c r="A14" s="3" t="s">
        <v>56</v>
      </c>
      <c r="B14" s="3" t="s">
        <v>57</v>
      </c>
      <c r="C14" s="3" t="s">
        <v>58</v>
      </c>
      <c r="D14" s="3" t="s">
        <v>59</v>
      </c>
      <c r="E14" s="3">
        <f>VLOOKUP($B14,temporalBoundaries!$A:$G,6,0)</f>
        <v>13501123</v>
      </c>
      <c r="F14" s="3">
        <f>VLOOKUP($B14,temporalBoundaries!$A:$G,7,0)</f>
        <v>15450424</v>
      </c>
      <c r="G14" s="1"/>
    </row>
    <row r="15" ht="16.5" customHeight="1">
      <c r="A15" s="4" t="s">
        <v>60</v>
      </c>
      <c r="B15" s="4" t="s">
        <v>61</v>
      </c>
      <c r="C15" s="4" t="s">
        <v>62</v>
      </c>
      <c r="D15" s="4" t="s">
        <v>63</v>
      </c>
      <c r="E15" s="3">
        <f>VLOOKUP($B15,temporalBoundaries!$A:$G,6,0)</f>
        <v>14790124</v>
      </c>
      <c r="F15" s="3">
        <f>VLOOKUP($B15,temporalBoundaries!$A:$G,7,0)</f>
        <v>17800115</v>
      </c>
      <c r="G15" s="1"/>
    </row>
    <row r="16" ht="16.5" customHeight="1">
      <c r="A16" s="3" t="s">
        <v>64</v>
      </c>
      <c r="B16" s="3" t="s">
        <v>65</v>
      </c>
      <c r="C16" s="3" t="s">
        <v>66</v>
      </c>
      <c r="D16" s="3" t="s">
        <v>67</v>
      </c>
      <c r="E16" s="3">
        <f>VLOOKUP($B16,temporalBoundaries!$A:$G,6,0)</f>
        <v>12630507</v>
      </c>
      <c r="F16" s="3">
        <f>VLOOKUP($B16,temporalBoundaries!$A:$G,7,0)</f>
        <v>14880417</v>
      </c>
      <c r="G16" s="1"/>
    </row>
    <row r="17" ht="16.5" customHeight="1">
      <c r="A17" s="4" t="s">
        <v>68</v>
      </c>
      <c r="B17" s="4" t="s">
        <v>69</v>
      </c>
      <c r="C17" s="4" t="s">
        <v>70</v>
      </c>
      <c r="D17" s="4" t="s">
        <v>71</v>
      </c>
      <c r="E17" s="3">
        <f>VLOOKUP($B17,temporalBoundaries!$A:$G,6,0)</f>
        <v>14340929</v>
      </c>
      <c r="F17" s="3">
        <f>VLOOKUP($B17,temporalBoundaries!$A:$G,7,0)</f>
        <v>14340929</v>
      </c>
      <c r="G17" s="1"/>
    </row>
    <row r="18" ht="16.5" customHeight="1">
      <c r="A18" s="3" t="s">
        <v>72</v>
      </c>
      <c r="B18" s="3" t="s">
        <v>73</v>
      </c>
      <c r="C18" s="3" t="s">
        <v>74</v>
      </c>
      <c r="D18" s="3" t="s">
        <v>75</v>
      </c>
      <c r="E18" s="3">
        <f>VLOOKUP($B18,temporalBoundaries!$A:$G,6,0)</f>
        <v>12341207</v>
      </c>
      <c r="F18" s="3">
        <f>VLOOKUP($B18,temporalBoundaries!$A:$G,7,0)</f>
        <v>14171122</v>
      </c>
      <c r="G18" s="1"/>
    </row>
    <row r="19" ht="16.5" customHeight="1">
      <c r="A19" s="4" t="s">
        <v>76</v>
      </c>
      <c r="B19" s="4" t="s">
        <v>77</v>
      </c>
      <c r="C19" s="4" t="s">
        <v>78</v>
      </c>
      <c r="D19" s="4" t="s">
        <v>79</v>
      </c>
      <c r="E19" s="3">
        <f>VLOOKUP($B19,temporalBoundaries!$A:$G,6,0)</f>
        <v>13330616</v>
      </c>
      <c r="F19" s="3">
        <f>VLOOKUP($B19,temporalBoundaries!$A:$G,7,0)</f>
        <v>13330616</v>
      </c>
      <c r="G19" s="1"/>
    </row>
    <row r="20" ht="16.5" customHeight="1">
      <c r="A20" s="3" t="s">
        <v>80</v>
      </c>
      <c r="B20" s="3" t="s">
        <v>81</v>
      </c>
      <c r="C20" s="3" t="s">
        <v>82</v>
      </c>
      <c r="D20" s="3" t="s">
        <v>83</v>
      </c>
      <c r="E20" s="3">
        <f>VLOOKUP($B20,temporalBoundaries!$A:$G,6,0)</f>
        <v>14360801</v>
      </c>
      <c r="F20" s="3">
        <f>VLOOKUP($B20,temporalBoundaries!$A:$G,7,0)</f>
        <v>16851218</v>
      </c>
      <c r="G20" s="1"/>
    </row>
    <row r="21" ht="16.5" customHeight="1">
      <c r="A21" s="4" t="s">
        <v>84</v>
      </c>
      <c r="B21" s="4" t="s">
        <v>85</v>
      </c>
      <c r="C21" s="4" t="s">
        <v>86</v>
      </c>
      <c r="D21" s="4" t="s">
        <v>87</v>
      </c>
      <c r="E21" s="3">
        <f>VLOOKUP($B21,temporalBoundaries!$A:$G,6,0)</f>
        <v>14760406</v>
      </c>
      <c r="F21" s="3">
        <f>VLOOKUP($B21,temporalBoundaries!$A:$G,7,0)</f>
        <v>14760406</v>
      </c>
      <c r="G21" s="1"/>
    </row>
    <row r="22" ht="16.5" customHeight="1">
      <c r="A22" s="3" t="s">
        <v>88</v>
      </c>
      <c r="B22" s="3" t="s">
        <v>89</v>
      </c>
      <c r="C22" s="3" t="s">
        <v>90</v>
      </c>
      <c r="D22" s="3" t="s">
        <v>91</v>
      </c>
      <c r="E22" s="3">
        <f>VLOOKUP($B22,temporalBoundaries!$A:$G,6,0)</f>
        <v>12731219</v>
      </c>
      <c r="F22" s="3">
        <f>VLOOKUP($B22,temporalBoundaries!$A:$G,7,0)</f>
        <v>15680401</v>
      </c>
      <c r="G22" s="1">
        <v>6</v>
      </c>
    </row>
    <row r="23" ht="16.5" customHeight="1">
      <c r="A23" s="4" t="s">
        <v>92</v>
      </c>
      <c r="B23" s="4" t="s">
        <v>93</v>
      </c>
      <c r="C23" s="4" t="s">
        <v>94</v>
      </c>
      <c r="D23" s="4" t="s">
        <v>95</v>
      </c>
      <c r="E23" s="3">
        <f>VLOOKUP($B23,temporalBoundaries!$A:$G,6,0)</f>
        <v>13490312</v>
      </c>
      <c r="F23" s="3">
        <f>VLOOKUP($B23,temporalBoundaries!$A:$G,7,0)</f>
        <v>15720815</v>
      </c>
      <c r="G23" s="1"/>
    </row>
    <row r="24" ht="16.5" customHeight="1">
      <c r="A24" s="3" t="s">
        <v>96</v>
      </c>
      <c r="B24" s="3" t="s">
        <v>97</v>
      </c>
      <c r="C24" s="3" t="s">
        <v>98</v>
      </c>
      <c r="D24" s="3" t="s">
        <v>99</v>
      </c>
      <c r="E24" s="3">
        <f>VLOOKUP($B24,temporalBoundaries!$A:$G,6,0)</f>
        <v>14680325</v>
      </c>
      <c r="F24" s="3">
        <f>VLOOKUP($B24,temporalBoundaries!$A:$G,7,0)</f>
        <v>14680325</v>
      </c>
      <c r="G24" s="1"/>
    </row>
    <row r="25" ht="16.5" customHeight="1">
      <c r="A25" s="4" t="s">
        <v>100</v>
      </c>
      <c r="B25" s="4" t="s">
        <v>101</v>
      </c>
      <c r="C25" s="4" t="s">
        <v>102</v>
      </c>
      <c r="D25" s="4" t="s">
        <v>103</v>
      </c>
      <c r="E25" s="3">
        <f>VLOOKUP($B25,temporalBoundaries!$A:$G,6,0)</f>
        <v>12681231</v>
      </c>
      <c r="F25" s="3">
        <f>VLOOKUP($B25,temporalBoundaries!$A:$G,7,0)</f>
        <v>14610527</v>
      </c>
      <c r="G25" s="1"/>
    </row>
    <row r="26" ht="16.5" customHeight="1">
      <c r="A26" s="4" t="s">
        <v>104</v>
      </c>
      <c r="B26" s="4" t="s">
        <v>105</v>
      </c>
      <c r="C26" s="4" t="s">
        <v>106</v>
      </c>
      <c r="D26" s="4" t="s">
        <v>107</v>
      </c>
      <c r="E26" s="3">
        <f>VLOOKUP($B26,temporalBoundaries!$A:$G,6,0)</f>
        <v>14340531</v>
      </c>
      <c r="F26" s="3">
        <f>VLOOKUP($B26,temporalBoundaries!$A:$G,7,0)</f>
        <v>14340531</v>
      </c>
      <c r="G26" s="1"/>
    </row>
    <row r="27" ht="16.5" customHeight="1">
      <c r="A27" s="4" t="s">
        <v>108</v>
      </c>
      <c r="B27" s="4" t="s">
        <v>109</v>
      </c>
      <c r="C27" s="4" t="s">
        <v>110</v>
      </c>
      <c r="D27" s="4" t="s">
        <v>111</v>
      </c>
      <c r="E27" s="3">
        <f>VLOOKUP($B27,temporalBoundaries!$A:$G,6,0)</f>
        <v>14670714</v>
      </c>
      <c r="F27" s="3">
        <f>VLOOKUP($B27,temporalBoundaries!$A:$G,7,0)</f>
        <v>14670714</v>
      </c>
      <c r="G27" s="1"/>
    </row>
    <row r="28" ht="16.5" customHeight="1">
      <c r="A28" s="3" t="s">
        <v>112</v>
      </c>
      <c r="B28" s="3" t="s">
        <v>113</v>
      </c>
      <c r="C28" s="3" t="s">
        <v>114</v>
      </c>
      <c r="D28" s="3" t="s">
        <v>115</v>
      </c>
      <c r="E28" s="3">
        <f>VLOOKUP($B28,temporalBoundaries!$A:$G,6,0)</f>
        <v>13980525</v>
      </c>
      <c r="F28" s="3">
        <f>VLOOKUP($B28,temporalBoundaries!$A:$G,7,0)</f>
        <v>13980525</v>
      </c>
      <c r="G28" s="1"/>
    </row>
    <row r="29" ht="16.5" customHeight="1">
      <c r="A29" s="4" t="s">
        <v>116</v>
      </c>
      <c r="B29" s="4" t="s">
        <v>117</v>
      </c>
      <c r="C29" s="4" t="s">
        <v>118</v>
      </c>
      <c r="D29" s="4" t="s">
        <v>119</v>
      </c>
      <c r="E29" s="3">
        <f>VLOOKUP($B29,temporalBoundaries!$A:$G,6,0)</f>
        <v>13560601</v>
      </c>
      <c r="F29" s="3">
        <f>VLOOKUP($B29,temporalBoundaries!$A:$G,7,0)</f>
        <v>13560601</v>
      </c>
      <c r="G29" s="1"/>
    </row>
    <row r="30" ht="16.5" customHeight="1">
      <c r="A30" s="3" t="s">
        <v>120</v>
      </c>
      <c r="B30" s="3" t="s">
        <v>121</v>
      </c>
      <c r="C30" s="3" t="s">
        <v>122</v>
      </c>
      <c r="D30" s="3" t="s">
        <v>123</v>
      </c>
      <c r="E30" s="3">
        <f>VLOOKUP($B30,temporalBoundaries!$A:$G,6,0)</f>
        <v>14820312</v>
      </c>
      <c r="F30" s="3">
        <f>VLOOKUP($B30,temporalBoundaries!$A:$G,7,0)</f>
        <v>14830311</v>
      </c>
      <c r="G30" s="1"/>
    </row>
    <row r="31" ht="16.5" customHeight="1">
      <c r="A31" s="3" t="s">
        <v>124</v>
      </c>
      <c r="B31" s="3" t="s">
        <v>125</v>
      </c>
      <c r="C31" s="3" t="s">
        <v>126</v>
      </c>
      <c r="D31" s="3" t="s">
        <v>127</v>
      </c>
      <c r="E31" s="3">
        <f>VLOOKUP($B31,temporalBoundaries!$A:$G,6,0)</f>
        <v>12391126</v>
      </c>
      <c r="F31" s="3">
        <f>VLOOKUP($B31,temporalBoundaries!$A:$G,7,0)</f>
        <v>16970627</v>
      </c>
      <c r="G31" s="1">
        <v>2</v>
      </c>
    </row>
    <row r="32" ht="16.5" customHeight="1">
      <c r="A32" s="3" t="s">
        <v>128</v>
      </c>
      <c r="B32" s="3" t="s">
        <v>129</v>
      </c>
      <c r="C32" s="3" t="s">
        <v>130</v>
      </c>
      <c r="D32" s="3" t="s">
        <v>131</v>
      </c>
      <c r="E32" s="3">
        <f>VLOOKUP($B32,temporalBoundaries!$A:$G,6,0)</f>
        <v>12491231</v>
      </c>
      <c r="F32" s="3">
        <f>VLOOKUP($B32,temporalBoundaries!$A:$G,7,0)</f>
        <v>12971231</v>
      </c>
      <c r="G32" s="1"/>
    </row>
    <row r="33" ht="16.5" customHeight="1">
      <c r="A33" s="3" t="s">
        <v>132</v>
      </c>
      <c r="B33" s="3" t="s">
        <v>133</v>
      </c>
      <c r="C33" s="3" t="s">
        <v>134</v>
      </c>
      <c r="D33" s="3" t="s">
        <v>135</v>
      </c>
      <c r="E33" s="3">
        <f>VLOOKUP($B33,temporalBoundaries!$A:$G,6,0)</f>
        <v>14140806</v>
      </c>
      <c r="F33" s="3">
        <f>VLOOKUP($B33,temporalBoundaries!$A:$G,7,0)</f>
        <v>14140806</v>
      </c>
      <c r="G33" s="1"/>
    </row>
    <row r="34" ht="16.5" customHeight="1">
      <c r="A34" s="4" t="s">
        <v>136</v>
      </c>
      <c r="B34" s="4" t="s">
        <v>137</v>
      </c>
      <c r="C34" s="4" t="s">
        <v>138</v>
      </c>
      <c r="D34" s="4" t="s">
        <v>139</v>
      </c>
      <c r="E34" s="3">
        <f>VLOOKUP($B34,temporalBoundaries!$A:$G,6,0)</f>
        <v>14940119</v>
      </c>
      <c r="F34" s="3">
        <f>VLOOKUP($B34,temporalBoundaries!$A:$G,7,0)</f>
        <v>15009999</v>
      </c>
      <c r="G34" s="1"/>
    </row>
    <row r="35" ht="16.5" customHeight="1">
      <c r="A35" s="4" t="s">
        <v>140</v>
      </c>
      <c r="B35" s="4" t="s">
        <v>141</v>
      </c>
      <c r="C35" s="4" t="s">
        <v>142</v>
      </c>
      <c r="D35" s="4" t="s">
        <v>143</v>
      </c>
      <c r="E35" s="3">
        <f>VLOOKUP($B35,temporalBoundaries!$A:$G,6,0)</f>
        <v>12020608</v>
      </c>
      <c r="F35" s="3">
        <f>VLOOKUP($B35,temporalBoundaries!$A:$G,7,0)</f>
        <v>14600329</v>
      </c>
      <c r="G35" s="1"/>
    </row>
    <row r="36" ht="16.5" customHeight="1">
      <c r="A36" s="4" t="s">
        <v>144</v>
      </c>
      <c r="B36" s="4" t="s">
        <v>145</v>
      </c>
      <c r="C36" s="4" t="s">
        <v>146</v>
      </c>
      <c r="D36" s="4" t="s">
        <v>147</v>
      </c>
      <c r="E36" s="3">
        <f>VLOOKUP($B36,temporalBoundaries!$A:$G,6,0)</f>
        <v>14031214</v>
      </c>
      <c r="F36" s="3">
        <f>VLOOKUP($B36,temporalBoundaries!$A:$G,7,0)</f>
        <v>14590108</v>
      </c>
      <c r="G36" s="1"/>
    </row>
    <row r="37" ht="16.5" customHeight="1">
      <c r="A37" s="3" t="s">
        <v>148</v>
      </c>
      <c r="B37" s="3" t="s">
        <v>149</v>
      </c>
      <c r="C37" s="3" t="s">
        <v>150</v>
      </c>
      <c r="D37" s="3" t="s">
        <v>151</v>
      </c>
      <c r="E37" s="3">
        <f>VLOOKUP($B37,temporalBoundaries!$A:$G,6,0)</f>
        <v>14500601</v>
      </c>
      <c r="F37" s="3">
        <f>VLOOKUP($B37,temporalBoundaries!$A:$G,7,0)</f>
        <v>14721224</v>
      </c>
      <c r="G37" s="1"/>
    </row>
    <row r="38" ht="16.5" customHeight="1">
      <c r="A38" s="3" t="s">
        <v>152</v>
      </c>
      <c r="B38" s="3" t="s">
        <v>153</v>
      </c>
      <c r="C38" s="3" t="s">
        <v>154</v>
      </c>
      <c r="D38" s="3" t="s">
        <v>155</v>
      </c>
      <c r="E38" s="3">
        <f>VLOOKUP($B38,temporalBoundaries!$A:$G,6,0)</f>
        <v>13401008</v>
      </c>
      <c r="F38" s="3">
        <f>VLOOKUP($B38,temporalBoundaries!$A:$G,7,0)</f>
        <v>13881021</v>
      </c>
      <c r="G38" s="1"/>
    </row>
    <row r="39" ht="16.5" customHeight="1">
      <c r="A39" s="4" t="s">
        <v>156</v>
      </c>
      <c r="B39" s="4" t="s">
        <v>157</v>
      </c>
      <c r="C39" s="4" t="s">
        <v>158</v>
      </c>
      <c r="D39" s="4" t="s">
        <v>159</v>
      </c>
      <c r="E39" s="3">
        <f>VLOOKUP($B39,temporalBoundaries!$A:$G,6,0)</f>
        <v>13020329</v>
      </c>
      <c r="F39" s="3">
        <f>VLOOKUP($B39,temporalBoundaries!$A:$G,7,0)</f>
        <v>15680227</v>
      </c>
      <c r="G39" s="1"/>
    </row>
    <row r="40" ht="16.5" customHeight="1">
      <c r="A40" s="4" t="s">
        <v>160</v>
      </c>
      <c r="B40" s="4" t="s">
        <v>161</v>
      </c>
      <c r="C40" s="4" t="s">
        <v>162</v>
      </c>
      <c r="D40" s="4" t="s">
        <v>163</v>
      </c>
      <c r="E40" s="3">
        <f>VLOOKUP($B40,temporalBoundaries!$A:$G,6,0)</f>
        <v>13051217</v>
      </c>
      <c r="F40" s="3">
        <f>VLOOKUP($B40,temporalBoundaries!$A:$G,7,0)</f>
        <v>17710828</v>
      </c>
      <c r="G40" s="1"/>
    </row>
    <row r="41" ht="16.5" customHeight="1">
      <c r="A41" s="3" t="s">
        <v>164</v>
      </c>
      <c r="B41" s="3" t="s">
        <v>165</v>
      </c>
      <c r="C41" s="3" t="s">
        <v>166</v>
      </c>
      <c r="D41" s="3" t="s">
        <v>167</v>
      </c>
      <c r="E41" s="3">
        <f>VLOOKUP($B41,temporalBoundaries!$A:$G,6,0)</f>
        <v>14510820</v>
      </c>
      <c r="F41" s="3">
        <f>VLOOKUP($B41,temporalBoundaries!$A:$G,7,0)</f>
        <v>14510820</v>
      </c>
      <c r="G41" s="1"/>
    </row>
    <row r="42" ht="16.5" customHeight="1">
      <c r="A42" s="4" t="s">
        <v>168</v>
      </c>
      <c r="B42" s="4" t="s">
        <v>169</v>
      </c>
      <c r="C42" s="4" t="s">
        <v>170</v>
      </c>
      <c r="D42" s="4" t="s">
        <v>171</v>
      </c>
      <c r="E42" s="3">
        <f>VLOOKUP($B42,temporalBoundaries!$A:$G,6,0)</f>
        <v>13440121</v>
      </c>
      <c r="F42" s="3">
        <f>VLOOKUP($B42,temporalBoundaries!$A:$G,7,0)</f>
        <v>14100408</v>
      </c>
      <c r="G42" s="1"/>
    </row>
    <row r="43" ht="16.5" customHeight="1">
      <c r="A43" s="3" t="s">
        <v>172</v>
      </c>
      <c r="B43" s="3" t="s">
        <v>173</v>
      </c>
      <c r="C43" s="3" t="s">
        <v>174</v>
      </c>
      <c r="D43" s="3" t="s">
        <v>175</v>
      </c>
      <c r="E43" s="3">
        <f>VLOOKUP($B43,temporalBoundaries!$A:$G,6,0)</f>
        <v>14160424</v>
      </c>
      <c r="F43" s="3">
        <f>VLOOKUP($B43,temporalBoundaries!$A:$G,7,0)</f>
        <v>14160424</v>
      </c>
      <c r="G43" s="1"/>
    </row>
    <row r="44" ht="16.5" customHeight="1">
      <c r="A44" s="4" t="s">
        <v>176</v>
      </c>
      <c r="B44" s="4" t="s">
        <v>177</v>
      </c>
      <c r="C44" s="4" t="s">
        <v>178</v>
      </c>
      <c r="D44" s="4" t="s">
        <v>179</v>
      </c>
      <c r="E44" s="3">
        <f>VLOOKUP($B44,temporalBoundaries!$A:$G,6,0)</f>
        <v>13520329</v>
      </c>
      <c r="F44" s="3">
        <f>VLOOKUP($B44,temporalBoundaries!$A:$G,7,0)</f>
        <v>14541125</v>
      </c>
      <c r="G44" s="1"/>
    </row>
    <row r="45" ht="16.5" customHeight="1">
      <c r="A45" s="4" t="s">
        <v>180</v>
      </c>
      <c r="B45" s="4" t="s">
        <v>181</v>
      </c>
      <c r="C45" s="4" t="s">
        <v>182</v>
      </c>
      <c r="D45" s="4" t="s">
        <v>183</v>
      </c>
      <c r="E45" s="3">
        <f>VLOOKUP($B45,temporalBoundaries!$A:$G,6,0)</f>
        <v>12340219</v>
      </c>
      <c r="F45" s="3">
        <f>VLOOKUP($B45,temporalBoundaries!$A:$G,7,0)</f>
        <v>15280303</v>
      </c>
      <c r="G45" s="1"/>
    </row>
    <row r="46" ht="16.5" customHeight="1">
      <c r="A46" s="4" t="s">
        <v>184</v>
      </c>
      <c r="B46" s="4" t="s">
        <v>185</v>
      </c>
      <c r="C46" s="4" t="s">
        <v>186</v>
      </c>
      <c r="D46" s="4" t="s">
        <v>187</v>
      </c>
      <c r="E46" s="3">
        <f>VLOOKUP($B46,temporalBoundaries!$A:$G,6,0)</f>
        <v>14430522</v>
      </c>
      <c r="F46" s="3">
        <f>VLOOKUP($B46,temporalBoundaries!$A:$G,7,0)</f>
        <v>14740328</v>
      </c>
      <c r="G46" s="1">
        <v>1</v>
      </c>
    </row>
    <row r="47" ht="16.5" customHeight="1">
      <c r="A47" s="3" t="s">
        <v>188</v>
      </c>
      <c r="B47" s="3" t="s">
        <v>189</v>
      </c>
      <c r="C47" s="3" t="s">
        <v>190</v>
      </c>
      <c r="D47" s="3" t="s">
        <v>191</v>
      </c>
      <c r="E47" s="3">
        <f>VLOOKUP($B47,temporalBoundaries!$A:$G,6,0)</f>
        <v>12569999</v>
      </c>
      <c r="F47" s="3">
        <f>VLOOKUP($B47,temporalBoundaries!$A:$G,7,0)</f>
        <v>17520612</v>
      </c>
      <c r="G47" s="1">
        <v>15</v>
      </c>
    </row>
    <row r="48" ht="16.5" customHeight="1">
      <c r="A48" s="4" t="s">
        <v>192</v>
      </c>
      <c r="B48" s="4" t="s">
        <v>193</v>
      </c>
      <c r="C48" s="4" t="s">
        <v>194</v>
      </c>
      <c r="D48" s="4" t="s">
        <v>195</v>
      </c>
      <c r="E48" s="3">
        <f>VLOOKUP($B48,temporalBoundaries!$A:$G,6,0)</f>
        <v>16180916</v>
      </c>
      <c r="F48" s="3">
        <f>VLOOKUP($B48,temporalBoundaries!$A:$G,7,0)</f>
        <v>16180916</v>
      </c>
      <c r="G48" s="1"/>
    </row>
    <row r="49" ht="16.5" customHeight="1">
      <c r="A49" s="3" t="s">
        <v>196</v>
      </c>
      <c r="B49" s="3" t="s">
        <v>197</v>
      </c>
      <c r="C49" s="3" t="s">
        <v>198</v>
      </c>
      <c r="D49" s="3" t="s">
        <v>199</v>
      </c>
      <c r="E49" s="3">
        <f>VLOOKUP($B49,temporalBoundaries!$A:$G,6,0)</f>
        <v>8390421</v>
      </c>
      <c r="F49" s="3">
        <f>VLOOKUP($B49,temporalBoundaries!$A:$G,7,0)</f>
        <v>8390421</v>
      </c>
      <c r="G49" s="1"/>
    </row>
    <row r="50" ht="16.5" customHeight="1">
      <c r="A50" s="3" t="s">
        <v>200</v>
      </c>
      <c r="B50" s="3" t="s">
        <v>201</v>
      </c>
      <c r="C50" s="3" t="s">
        <v>202</v>
      </c>
      <c r="D50" s="3" t="s">
        <v>203</v>
      </c>
      <c r="E50" s="3">
        <f>VLOOKUP($B50,temporalBoundaries!$A:$G,6,0)</f>
        <v>13420509</v>
      </c>
      <c r="F50" s="3">
        <f>VLOOKUP($B50,temporalBoundaries!$A:$G,7,0)</f>
        <v>17420601</v>
      </c>
      <c r="G50" s="1"/>
    </row>
    <row r="51" ht="16.5" customHeight="1">
      <c r="A51" s="4" t="s">
        <v>204</v>
      </c>
      <c r="B51" s="4" t="s">
        <v>205</v>
      </c>
      <c r="C51" s="4" t="s">
        <v>206</v>
      </c>
      <c r="D51" s="4" t="s">
        <v>207</v>
      </c>
      <c r="E51" s="3">
        <f>VLOOKUP($B51,temporalBoundaries!$A:$G,6,0)</f>
        <v>12650504</v>
      </c>
      <c r="F51" s="3">
        <f>VLOOKUP($B51,temporalBoundaries!$A:$G,7,0)</f>
        <v>16400409</v>
      </c>
      <c r="G51" s="1">
        <v>10</v>
      </c>
    </row>
    <row r="52" ht="16.5" customHeight="1">
      <c r="A52" s="4" t="s">
        <v>208</v>
      </c>
      <c r="B52" s="4" t="s">
        <v>209</v>
      </c>
      <c r="C52" s="4" t="s">
        <v>210</v>
      </c>
      <c r="D52" s="4" t="s">
        <v>211</v>
      </c>
      <c r="E52" s="3">
        <f>VLOOKUP($B52,temporalBoundaries!$A:$G,6,0)</f>
        <v>11069999</v>
      </c>
      <c r="F52" s="3">
        <f>VLOOKUP($B52,temporalBoundaries!$A:$G,7,0)</f>
        <v>16010102</v>
      </c>
      <c r="G52" s="1"/>
    </row>
    <row r="53" ht="16.5" customHeight="1">
      <c r="A53" s="4" t="s">
        <v>212</v>
      </c>
      <c r="B53" s="4" t="s">
        <v>213</v>
      </c>
      <c r="C53" s="4" t="s">
        <v>214</v>
      </c>
      <c r="D53" s="4" t="s">
        <v>215</v>
      </c>
      <c r="E53" s="3">
        <f>VLOOKUP($B53,temporalBoundaries!$A:$G,6,0)</f>
        <v>12731122</v>
      </c>
      <c r="F53" s="3">
        <f>VLOOKUP($B53,temporalBoundaries!$A:$G,7,0)</f>
        <v>12731122</v>
      </c>
      <c r="G53" s="1"/>
    </row>
    <row r="54" ht="16.5" customHeight="1">
      <c r="A54" s="3" t="s">
        <v>216</v>
      </c>
      <c r="B54" s="3" t="s">
        <v>217</v>
      </c>
      <c r="C54" s="3" t="s">
        <v>218</v>
      </c>
      <c r="D54" s="3" t="s">
        <v>219</v>
      </c>
      <c r="E54" s="3">
        <f>VLOOKUP($B54,temporalBoundaries!$A:$G,6,0)</f>
        <v>15830507</v>
      </c>
      <c r="F54" s="3">
        <f>VLOOKUP($B54,temporalBoundaries!$A:$G,7,0)</f>
        <v>17790205</v>
      </c>
      <c r="G54" s="1">
        <v>5</v>
      </c>
    </row>
    <row r="55" ht="16.5" customHeight="1">
      <c r="A55" s="4" t="s">
        <v>220</v>
      </c>
      <c r="B55" s="4" t="s">
        <v>221</v>
      </c>
      <c r="C55" s="4" t="s">
        <v>222</v>
      </c>
      <c r="D55" s="4" t="s">
        <v>223</v>
      </c>
      <c r="E55" s="3">
        <f>VLOOKUP($B55,temporalBoundaries!$A:$G,6,0)</f>
        <v>13260929</v>
      </c>
      <c r="F55" s="3">
        <f>VLOOKUP($B55,temporalBoundaries!$A:$G,7,0)</f>
        <v>17511001</v>
      </c>
      <c r="G55" s="1"/>
    </row>
    <row r="56" ht="16.5" customHeight="1">
      <c r="A56" s="4" t="s">
        <v>224</v>
      </c>
      <c r="B56" s="4" t="s">
        <v>225</v>
      </c>
      <c r="C56" s="4" t="s">
        <v>226</v>
      </c>
      <c r="D56" s="4" t="s">
        <v>227</v>
      </c>
      <c r="E56" s="3">
        <f>VLOOKUP($B56,temporalBoundaries!$A:$G,6,0)</f>
        <v>13600106</v>
      </c>
      <c r="F56" s="3">
        <f>VLOOKUP($B56,temporalBoundaries!$A:$G,7,0)</f>
        <v>15320209</v>
      </c>
      <c r="G56" s="1"/>
    </row>
    <row r="57" ht="16.5" customHeight="1">
      <c r="A57" s="3" t="s">
        <v>228</v>
      </c>
      <c r="B57" s="3" t="s">
        <v>229</v>
      </c>
      <c r="C57" s="3" t="s">
        <v>230</v>
      </c>
      <c r="D57" s="3" t="s">
        <v>231</v>
      </c>
      <c r="E57" s="3">
        <f>VLOOKUP($B57,temporalBoundaries!$A:$G,6,0)</f>
        <v>13170829</v>
      </c>
      <c r="F57" s="3">
        <f>VLOOKUP($B57,temporalBoundaries!$A:$G,7,0)</f>
        <v>13170829</v>
      </c>
      <c r="G57" s="1"/>
    </row>
    <row r="58" ht="16.5" customHeight="1">
      <c r="A58" s="4" t="s">
        <v>232</v>
      </c>
      <c r="B58" s="4" t="s">
        <v>233</v>
      </c>
      <c r="C58" s="4" t="s">
        <v>234</v>
      </c>
      <c r="D58" s="4" t="s">
        <v>235</v>
      </c>
      <c r="E58" s="3">
        <f>VLOOKUP($B58,temporalBoundaries!$A:$G,6,0)</f>
        <v>14010825</v>
      </c>
      <c r="F58" s="3">
        <f>VLOOKUP($B58,temporalBoundaries!$A:$G,7,0)</f>
        <v>16660410</v>
      </c>
      <c r="G58" s="1"/>
    </row>
    <row r="59" ht="16.5" customHeight="1">
      <c r="A59" s="4" t="s">
        <v>236</v>
      </c>
      <c r="B59" s="4" t="s">
        <v>237</v>
      </c>
      <c r="C59" s="4" t="s">
        <v>238</v>
      </c>
      <c r="D59" s="4" t="s">
        <v>239</v>
      </c>
      <c r="E59" s="3">
        <f>VLOOKUP($B59,temporalBoundaries!$A:$G,6,0)</f>
        <v>14181231</v>
      </c>
      <c r="F59" s="3">
        <f>VLOOKUP($B59,temporalBoundaries!$A:$G,7,0)</f>
        <v>14181231</v>
      </c>
      <c r="G59" s="1"/>
    </row>
    <row r="60" ht="16.5" customHeight="1">
      <c r="A60" s="3" t="s">
        <v>240</v>
      </c>
      <c r="B60" s="3" t="s">
        <v>241</v>
      </c>
      <c r="C60" s="3" t="s">
        <v>242</v>
      </c>
      <c r="D60" s="3" t="s">
        <v>243</v>
      </c>
      <c r="E60" s="3">
        <f>VLOOKUP($B60,temporalBoundaries!$A:$G,6,0)</f>
        <v>14990913</v>
      </c>
      <c r="F60" s="3">
        <f>VLOOKUP($B60,temporalBoundaries!$A:$G,7,0)</f>
        <v>14990913</v>
      </c>
      <c r="G60" s="1"/>
    </row>
    <row r="61" ht="16.5" customHeight="1">
      <c r="A61" s="3" t="s">
        <v>244</v>
      </c>
      <c r="B61" s="3" t="s">
        <v>245</v>
      </c>
      <c r="C61" s="3" t="s">
        <v>246</v>
      </c>
      <c r="D61" s="3" t="s">
        <v>247</v>
      </c>
      <c r="E61" s="3">
        <f>VLOOKUP($B61,temporalBoundaries!$A:$G,6,0)</f>
        <v>12990224</v>
      </c>
      <c r="F61" s="3">
        <f>VLOOKUP($B61,temporalBoundaries!$A:$G,7,0)</f>
        <v>14840927</v>
      </c>
      <c r="G61" s="1"/>
    </row>
    <row r="62" ht="16.5" customHeight="1">
      <c r="A62" s="3" t="s">
        <v>248</v>
      </c>
      <c r="B62" s="3" t="s">
        <v>249</v>
      </c>
      <c r="C62" s="3" t="s">
        <v>250</v>
      </c>
      <c r="D62" s="3" t="s">
        <v>251</v>
      </c>
      <c r="E62" s="3">
        <f>VLOOKUP($B62,temporalBoundaries!$A:$G,6,0)</f>
        <v>11391231</v>
      </c>
      <c r="F62" s="3">
        <f>VLOOKUP($B62,temporalBoundaries!$A:$G,7,0)</f>
        <v>11391231</v>
      </c>
      <c r="G62" s="1"/>
    </row>
    <row r="63" ht="16.5" customHeight="1">
      <c r="A63" s="4" t="s">
        <v>252</v>
      </c>
      <c r="B63" s="4" t="s">
        <v>253</v>
      </c>
      <c r="C63" s="4" t="s">
        <v>254</v>
      </c>
      <c r="D63" s="4" t="s">
        <v>255</v>
      </c>
      <c r="E63" s="3">
        <f>VLOOKUP($B63,temporalBoundaries!$A:$G,6,0)</f>
        <v>9090219</v>
      </c>
      <c r="F63" s="3">
        <f>VLOOKUP($B63,temporalBoundaries!$A:$G,7,0)</f>
        <v>9090219</v>
      </c>
      <c r="G63" s="1"/>
    </row>
    <row r="64" ht="16.5" customHeight="1">
      <c r="A64" s="3" t="s">
        <v>256</v>
      </c>
      <c r="B64" s="3" t="s">
        <v>257</v>
      </c>
      <c r="C64" s="3" t="s">
        <v>258</v>
      </c>
      <c r="D64" s="3" t="s">
        <v>259</v>
      </c>
      <c r="E64" s="3">
        <f>VLOOKUP($B64,temporalBoundaries!$A:$G,6,0)</f>
        <v>11220327</v>
      </c>
      <c r="F64" s="3">
        <f>VLOOKUP($B64,temporalBoundaries!$A:$G,7,0)</f>
        <v>15880503</v>
      </c>
      <c r="G64" s="1">
        <v>7</v>
      </c>
    </row>
    <row r="65" ht="16.5" customHeight="1">
      <c r="A65" s="4" t="s">
        <v>260</v>
      </c>
      <c r="B65" s="4" t="s">
        <v>261</v>
      </c>
      <c r="C65" s="4" t="s">
        <v>262</v>
      </c>
      <c r="D65" s="4" t="s">
        <v>263</v>
      </c>
      <c r="E65" s="3">
        <f>VLOOKUP($B65,temporalBoundaries!$A:$G,6,0)</f>
        <v>13430108</v>
      </c>
      <c r="F65" s="3">
        <f>VLOOKUP($B65,temporalBoundaries!$A:$G,7,0)</f>
        <v>13430108</v>
      </c>
      <c r="G65" s="1"/>
    </row>
    <row r="66" ht="16.5" customHeight="1">
      <c r="A66" s="3" t="s">
        <v>264</v>
      </c>
      <c r="B66" s="3" t="s">
        <v>265</v>
      </c>
      <c r="C66" s="3" t="s">
        <v>266</v>
      </c>
      <c r="D66" s="3" t="s">
        <v>267</v>
      </c>
      <c r="E66" s="3">
        <f>VLOOKUP($B66,temporalBoundaries!$A:$G,6,0)</f>
        <v>13440912</v>
      </c>
      <c r="F66" s="3">
        <f>VLOOKUP($B66,temporalBoundaries!$A:$G,7,0)</f>
        <v>15070322</v>
      </c>
      <c r="G66" s="1"/>
    </row>
    <row r="67" ht="16.5" customHeight="1">
      <c r="A67" s="4" t="s">
        <v>268</v>
      </c>
      <c r="B67" s="4" t="s">
        <v>269</v>
      </c>
      <c r="C67" s="4" t="s">
        <v>270</v>
      </c>
      <c r="D67" s="4" t="s">
        <v>271</v>
      </c>
      <c r="E67" s="3">
        <f>VLOOKUP($B67,temporalBoundaries!$A:$G,6,0)</f>
        <v>11871001</v>
      </c>
      <c r="F67" s="3">
        <f>VLOOKUP($B67,temporalBoundaries!$A:$G,7,0)</f>
        <v>14961125</v>
      </c>
      <c r="G67" s="1"/>
    </row>
    <row r="68" ht="16.5" customHeight="1">
      <c r="A68" s="3" t="s">
        <v>272</v>
      </c>
      <c r="B68" s="3" t="s">
        <v>273</v>
      </c>
      <c r="C68" s="3" t="s">
        <v>274</v>
      </c>
      <c r="D68" s="3" t="s">
        <v>275</v>
      </c>
      <c r="E68" s="3">
        <f>VLOOKUP($B68,temporalBoundaries!$A:$G,6,0)</f>
        <v>14010825</v>
      </c>
      <c r="F68" s="3">
        <f>VLOOKUP($B68,temporalBoundaries!$A:$G,7,0)</f>
        <v>16660410</v>
      </c>
      <c r="G68" s="1">
        <v>1</v>
      </c>
    </row>
    <row r="69" ht="16.5" customHeight="1">
      <c r="A69" s="4" t="s">
        <v>276</v>
      </c>
      <c r="B69" s="4" t="s">
        <v>277</v>
      </c>
      <c r="C69" s="4" t="s">
        <v>278</v>
      </c>
      <c r="D69" s="4" t="s">
        <v>279</v>
      </c>
      <c r="E69" s="3">
        <f>VLOOKUP($B69,temporalBoundaries!$A:$G,6,0)</f>
        <v>12880728</v>
      </c>
      <c r="F69" s="3">
        <f>VLOOKUP($B69,temporalBoundaries!$A:$G,7,0)</f>
        <v>13130202</v>
      </c>
      <c r="G69" s="1"/>
    </row>
    <row r="70" ht="16.5" customHeight="1">
      <c r="A70" s="3" t="s">
        <v>280</v>
      </c>
      <c r="B70" s="3" t="s">
        <v>281</v>
      </c>
      <c r="C70" s="3" t="s">
        <v>282</v>
      </c>
      <c r="D70" s="3" t="s">
        <v>283</v>
      </c>
      <c r="E70" s="3">
        <f>VLOOKUP($B70,temporalBoundaries!$A:$G,6,0)</f>
        <v>13380826</v>
      </c>
      <c r="F70" s="3">
        <f>VLOOKUP($B70,temporalBoundaries!$A:$G,7,0)</f>
        <v>13380826</v>
      </c>
      <c r="G70" s="1"/>
    </row>
    <row r="71" ht="16.5" customHeight="1">
      <c r="A71" s="4" t="s">
        <v>284</v>
      </c>
      <c r="B71" s="4" t="s">
        <v>285</v>
      </c>
      <c r="C71" s="4" t="s">
        <v>286</v>
      </c>
      <c r="D71" s="4" t="s">
        <v>287</v>
      </c>
      <c r="E71" s="3">
        <f>VLOOKUP($B71,temporalBoundaries!$A:$G,6,0)</f>
        <v>13990602</v>
      </c>
      <c r="F71" s="3">
        <f>VLOOKUP($B71,temporalBoundaries!$A:$G,7,0)</f>
        <v>14240802</v>
      </c>
      <c r="G71" s="1">
        <v>1</v>
      </c>
    </row>
    <row r="72" ht="16.5" customHeight="1">
      <c r="A72" s="4" t="s">
        <v>288</v>
      </c>
      <c r="B72" s="4" t="s">
        <v>289</v>
      </c>
      <c r="C72" s="4" t="s">
        <v>290</v>
      </c>
      <c r="D72" s="4" t="s">
        <v>291</v>
      </c>
      <c r="E72" s="3">
        <f>VLOOKUP($B72,temporalBoundaries!$A:$G,6,0)</f>
        <v>11981231</v>
      </c>
      <c r="F72" s="3">
        <f>VLOOKUP($B72,temporalBoundaries!$A:$G,7,0)</f>
        <v>11981231</v>
      </c>
      <c r="G72" s="1"/>
    </row>
    <row r="73" ht="16.5" customHeight="1">
      <c r="A73" s="3" t="s">
        <v>292</v>
      </c>
      <c r="B73" s="3" t="s">
        <v>293</v>
      </c>
      <c r="C73" s="3" t="s">
        <v>294</v>
      </c>
      <c r="D73" s="3" t="s">
        <v>295</v>
      </c>
      <c r="E73" s="3">
        <f>VLOOKUP($B73,temporalBoundaries!$A:$G,6,0)</f>
        <v>13331126</v>
      </c>
      <c r="F73" s="3">
        <f>VLOOKUP($B73,temporalBoundaries!$A:$G,7,0)</f>
        <v>14670907</v>
      </c>
      <c r="G73" s="1"/>
    </row>
    <row r="74" ht="16.5" customHeight="1">
      <c r="A74" s="4" t="s">
        <v>296</v>
      </c>
      <c r="B74" s="4" t="s">
        <v>297</v>
      </c>
      <c r="C74" s="4" t="s">
        <v>298</v>
      </c>
      <c r="D74" s="4" t="s">
        <v>299</v>
      </c>
      <c r="E74" s="3" t="str">
        <f>VLOOKUP($B74,temporalBoundaries!$A:$G,6,0)</f>
        <v>NaN</v>
      </c>
      <c r="F74" s="3" t="str">
        <f>VLOOKUP($B74,temporalBoundaries!$A:$G,7,0)</f>
        <v>NaN</v>
      </c>
      <c r="G74" s="1"/>
    </row>
    <row r="75" ht="16.5" customHeight="1">
      <c r="A75" s="3" t="s">
        <v>300</v>
      </c>
      <c r="B75" s="3" t="s">
        <v>301</v>
      </c>
      <c r="C75" s="3" t="s">
        <v>302</v>
      </c>
      <c r="D75" s="3" t="s">
        <v>303</v>
      </c>
      <c r="E75" s="3">
        <f>VLOOKUP($B75,temporalBoundaries!$A:$G,6,0)</f>
        <v>13721111</v>
      </c>
      <c r="F75" s="3">
        <f>VLOOKUP($B75,temporalBoundaries!$A:$G,7,0)</f>
        <v>17550108</v>
      </c>
      <c r="G75" s="1"/>
    </row>
    <row r="76" ht="16.5" customHeight="1">
      <c r="A76" s="4" t="s">
        <v>304</v>
      </c>
      <c r="B76" s="4" t="s">
        <v>305</v>
      </c>
      <c r="C76" s="4" t="s">
        <v>306</v>
      </c>
      <c r="D76" s="4" t="s">
        <v>307</v>
      </c>
      <c r="E76" s="3">
        <f>VLOOKUP($B76,temporalBoundaries!$A:$G,6,0)</f>
        <v>13810530</v>
      </c>
      <c r="F76" s="3">
        <f>VLOOKUP($B76,temporalBoundaries!$A:$G,7,0)</f>
        <v>15070322</v>
      </c>
      <c r="G76" s="1"/>
    </row>
    <row r="77" ht="16.5" customHeight="1">
      <c r="A77" s="3" t="s">
        <v>308</v>
      </c>
      <c r="B77" s="3" t="s">
        <v>309</v>
      </c>
      <c r="C77" s="3" t="s">
        <v>310</v>
      </c>
      <c r="D77" s="3" t="s">
        <v>311</v>
      </c>
      <c r="E77" s="3">
        <f>VLOOKUP($B77,temporalBoundaries!$A:$G,6,0)</f>
        <v>16381120</v>
      </c>
      <c r="F77" s="3">
        <f>VLOOKUP($B77,temporalBoundaries!$A:$G,7,0)</f>
        <v>17180409</v>
      </c>
      <c r="G77" s="1"/>
    </row>
    <row r="78" ht="16.5" customHeight="1">
      <c r="A78" s="4" t="s">
        <v>312</v>
      </c>
      <c r="B78" s="4" t="s">
        <v>313</v>
      </c>
      <c r="C78" s="4" t="s">
        <v>314</v>
      </c>
      <c r="D78" s="4" t="s">
        <v>315</v>
      </c>
      <c r="E78" s="3">
        <f>VLOOKUP($B78,temporalBoundaries!$A:$G,6,0)</f>
        <v>14100510</v>
      </c>
      <c r="F78" s="3">
        <f>VLOOKUP($B78,temporalBoundaries!$A:$G,7,0)</f>
        <v>14100510</v>
      </c>
      <c r="G78" s="1"/>
    </row>
    <row r="79" ht="16.5" customHeight="1">
      <c r="A79" s="4" t="s">
        <v>316</v>
      </c>
      <c r="B79" s="4" t="s">
        <v>317</v>
      </c>
      <c r="C79" s="4" t="s">
        <v>318</v>
      </c>
      <c r="D79" s="4" t="s">
        <v>319</v>
      </c>
      <c r="E79" s="3">
        <f>VLOOKUP($B79,temporalBoundaries!$A:$G,6,0)</f>
        <v>12200108</v>
      </c>
      <c r="F79" s="3">
        <f>VLOOKUP($B79,temporalBoundaries!$A:$G,7,0)</f>
        <v>13720930</v>
      </c>
      <c r="G79" s="1"/>
    </row>
    <row r="80" ht="16.5" customHeight="1">
      <c r="A80" s="3" t="s">
        <v>320</v>
      </c>
      <c r="B80" s="3" t="s">
        <v>321</v>
      </c>
      <c r="C80" s="3" t="s">
        <v>322</v>
      </c>
      <c r="D80" s="3" t="s">
        <v>323</v>
      </c>
      <c r="E80" s="3">
        <f>VLOOKUP($B80,temporalBoundaries!$A:$G,6,0)</f>
        <v>16580408</v>
      </c>
      <c r="F80" s="3">
        <f>VLOOKUP($B80,temporalBoundaries!$A:$G,7,0)</f>
        <v>16580408</v>
      </c>
      <c r="G80" s="1"/>
    </row>
    <row r="81" ht="16.5" customHeight="1">
      <c r="A81" s="4" t="s">
        <v>324</v>
      </c>
      <c r="B81" s="4" t="s">
        <v>325</v>
      </c>
      <c r="C81" s="4" t="s">
        <v>326</v>
      </c>
      <c r="D81" s="4" t="s">
        <v>327</v>
      </c>
      <c r="E81" s="3">
        <f>VLOOKUP($B81,temporalBoundaries!$A:$G,6,0)</f>
        <v>11439999</v>
      </c>
      <c r="F81" s="3">
        <f>VLOOKUP($B81,temporalBoundaries!$A:$G,7,0)</f>
        <v>14840914</v>
      </c>
      <c r="G81" s="1"/>
    </row>
    <row r="82" ht="16.5" customHeight="1">
      <c r="A82" s="3" t="s">
        <v>328</v>
      </c>
      <c r="B82" s="3" t="s">
        <v>329</v>
      </c>
      <c r="C82" s="3" t="s">
        <v>330</v>
      </c>
      <c r="D82" s="3" t="s">
        <v>331</v>
      </c>
      <c r="E82" s="3">
        <f>VLOOKUP($B82,temporalBoundaries!$A:$G,6,0)</f>
        <v>12570730</v>
      </c>
      <c r="F82" s="3">
        <f>VLOOKUP($B82,temporalBoundaries!$A:$G,7,0)</f>
        <v>12570730</v>
      </c>
      <c r="G82" s="1"/>
    </row>
    <row r="83" ht="16.5" customHeight="1">
      <c r="A83" s="4" t="s">
        <v>332</v>
      </c>
      <c r="B83" s="4" t="s">
        <v>333</v>
      </c>
      <c r="C83" s="4" t="s">
        <v>334</v>
      </c>
      <c r="D83" s="4" t="s">
        <v>335</v>
      </c>
      <c r="E83" s="3">
        <f>VLOOKUP($B83,temporalBoundaries!$A:$G,6,0)</f>
        <v>13320325</v>
      </c>
      <c r="F83" s="3">
        <f>VLOOKUP($B83,temporalBoundaries!$A:$G,7,0)</f>
        <v>13320325</v>
      </c>
      <c r="G83" s="1"/>
    </row>
    <row r="84" ht="16.5" customHeight="1">
      <c r="A84" s="3" t="s">
        <v>336</v>
      </c>
      <c r="B84" s="3" t="s">
        <v>337</v>
      </c>
      <c r="C84" s="3" t="s">
        <v>338</v>
      </c>
      <c r="D84" s="3" t="s">
        <v>339</v>
      </c>
      <c r="E84" s="3">
        <f>VLOOKUP($B84,temporalBoundaries!$A:$G,6,0)</f>
        <v>13161021</v>
      </c>
      <c r="F84" s="3">
        <f>VLOOKUP($B84,temporalBoundaries!$A:$G,7,0)</f>
        <v>16820226</v>
      </c>
      <c r="G84" s="1">
        <v>5</v>
      </c>
    </row>
    <row r="85" ht="16.5" customHeight="1">
      <c r="A85" s="3" t="s">
        <v>340</v>
      </c>
      <c r="B85" s="3" t="s">
        <v>341</v>
      </c>
      <c r="C85" s="3" t="s">
        <v>342</v>
      </c>
      <c r="D85" s="3" t="s">
        <v>343</v>
      </c>
      <c r="E85" s="3">
        <f>VLOOKUP($B85,temporalBoundaries!$A:$G,6,0)</f>
        <v>13681111</v>
      </c>
      <c r="F85" s="3">
        <f>VLOOKUP($B85,temporalBoundaries!$A:$G,7,0)</f>
        <v>17421231</v>
      </c>
      <c r="G85" s="1"/>
    </row>
    <row r="86" ht="16.5" customHeight="1">
      <c r="A86" s="3" t="s">
        <v>344</v>
      </c>
      <c r="B86" s="3" t="s">
        <v>345</v>
      </c>
      <c r="C86" s="3" t="s">
        <v>346</v>
      </c>
      <c r="D86" s="3" t="s">
        <v>347</v>
      </c>
      <c r="E86" s="3">
        <f>VLOOKUP($B86,temporalBoundaries!$A:$G,6,0)</f>
        <v>14930926</v>
      </c>
      <c r="F86" s="3">
        <f>VLOOKUP($B86,temporalBoundaries!$A:$G,7,0)</f>
        <v>14930926</v>
      </c>
      <c r="G86" s="1"/>
    </row>
    <row r="87" ht="16.5" customHeight="1">
      <c r="A87" s="4" t="s">
        <v>348</v>
      </c>
      <c r="B87" s="4" t="s">
        <v>349</v>
      </c>
      <c r="C87" s="4" t="s">
        <v>350</v>
      </c>
      <c r="D87" s="4" t="s">
        <v>351</v>
      </c>
      <c r="E87" s="3">
        <f>VLOOKUP($B87,temporalBoundaries!$A:$G,6,0)</f>
        <v>14561107</v>
      </c>
      <c r="F87" s="3">
        <f>VLOOKUP($B87,temporalBoundaries!$A:$G,7,0)</f>
        <v>14561107</v>
      </c>
      <c r="G87" s="1"/>
    </row>
    <row r="88" ht="16.5" customHeight="1">
      <c r="A88" s="4" t="s">
        <v>352</v>
      </c>
      <c r="B88" s="4" t="s">
        <v>353</v>
      </c>
      <c r="C88" s="4" t="s">
        <v>354</v>
      </c>
      <c r="D88" s="4" t="s">
        <v>355</v>
      </c>
      <c r="E88" s="3">
        <f>VLOOKUP($B88,temporalBoundaries!$A:$G,6,0)</f>
        <v>12780211</v>
      </c>
      <c r="F88" s="3">
        <f>VLOOKUP($B88,temporalBoundaries!$A:$G,7,0)</f>
        <v>14890926</v>
      </c>
      <c r="G88" s="1"/>
    </row>
    <row r="89" ht="16.5" customHeight="1">
      <c r="A89" s="3" t="s">
        <v>356</v>
      </c>
      <c r="B89" s="3" t="s">
        <v>357</v>
      </c>
      <c r="C89" s="3" t="s">
        <v>358</v>
      </c>
      <c r="D89" s="3" t="s">
        <v>359</v>
      </c>
      <c r="E89" s="3">
        <f>VLOOKUP($B89,temporalBoundaries!$A:$G,6,0)</f>
        <v>14300107</v>
      </c>
      <c r="F89" s="3">
        <f>VLOOKUP($B89,temporalBoundaries!$A:$G,7,0)</f>
        <v>15710526</v>
      </c>
      <c r="G89" s="1"/>
    </row>
    <row r="90" ht="16.5" customHeight="1">
      <c r="A90" s="3" t="s">
        <v>360</v>
      </c>
      <c r="B90" s="3" t="s">
        <v>361</v>
      </c>
      <c r="C90" s="3" t="s">
        <v>362</v>
      </c>
      <c r="D90" s="3" t="s">
        <v>363</v>
      </c>
      <c r="E90" s="3">
        <f>VLOOKUP($B90,temporalBoundaries!$A:$G,6,0)</f>
        <v>14580312</v>
      </c>
      <c r="F90" s="3">
        <f>VLOOKUP($B90,temporalBoundaries!$A:$G,7,0)</f>
        <v>14580312</v>
      </c>
      <c r="G90" s="1"/>
    </row>
    <row r="91" ht="16.5" customHeight="1">
      <c r="A91" s="4" t="s">
        <v>364</v>
      </c>
      <c r="B91" s="4" t="s">
        <v>365</v>
      </c>
      <c r="C91" s="4" t="s">
        <v>366</v>
      </c>
      <c r="D91" s="4" t="s">
        <v>367</v>
      </c>
      <c r="E91" s="3">
        <f>VLOOKUP($B91,temporalBoundaries!$A:$G,6,0)</f>
        <v>14261112</v>
      </c>
      <c r="F91" s="3">
        <f>VLOOKUP($B91,temporalBoundaries!$A:$G,7,0)</f>
        <v>14261112</v>
      </c>
      <c r="G91" s="1"/>
    </row>
    <row r="92" ht="16.5" customHeight="1">
      <c r="A92" s="4" t="s">
        <v>368</v>
      </c>
      <c r="B92" s="4" t="s">
        <v>369</v>
      </c>
      <c r="C92" s="4" t="s">
        <v>370</v>
      </c>
      <c r="D92" s="4" t="s">
        <v>371</v>
      </c>
      <c r="E92" s="3">
        <f>VLOOKUP($B92,temporalBoundaries!$A:$G,6,0)</f>
        <v>12431014</v>
      </c>
      <c r="F92" s="3">
        <f>VLOOKUP($B92,temporalBoundaries!$A:$G,7,0)</f>
        <v>14610903</v>
      </c>
      <c r="G92" s="1"/>
    </row>
    <row r="93" ht="16.5" customHeight="1">
      <c r="A93" s="3" t="s">
        <v>372</v>
      </c>
      <c r="B93" s="3" t="s">
        <v>373</v>
      </c>
      <c r="C93" s="3" t="s">
        <v>374</v>
      </c>
      <c r="D93" s="3" t="s">
        <v>375</v>
      </c>
      <c r="E93" s="3">
        <f>VLOOKUP($B93,temporalBoundaries!$A:$G,6,0)</f>
        <v>14761011</v>
      </c>
      <c r="F93" s="3">
        <f>VLOOKUP($B93,temporalBoundaries!$A:$G,7,0)</f>
        <v>15171217</v>
      </c>
      <c r="G93" s="1"/>
    </row>
    <row r="94" ht="16.5" customHeight="1">
      <c r="A94" s="4" t="s">
        <v>376</v>
      </c>
      <c r="B94" s="4" t="s">
        <v>377</v>
      </c>
      <c r="C94" s="4" t="s">
        <v>378</v>
      </c>
      <c r="D94" s="4" t="s">
        <v>379</v>
      </c>
      <c r="E94" s="3">
        <f>VLOOKUP($B94,temporalBoundaries!$A:$G,6,0)</f>
        <v>10990326</v>
      </c>
      <c r="F94" s="3">
        <f>VLOOKUP($B94,temporalBoundaries!$A:$G,7,0)</f>
        <v>16661018</v>
      </c>
      <c r="G94" s="1">
        <v>10</v>
      </c>
    </row>
    <row r="95" ht="16.5" customHeight="1">
      <c r="A95" s="3" t="s">
        <v>380</v>
      </c>
      <c r="B95" s="3" t="s">
        <v>381</v>
      </c>
      <c r="C95" s="3" t="s">
        <v>382</v>
      </c>
      <c r="D95" s="3" t="s">
        <v>383</v>
      </c>
      <c r="E95" s="3">
        <f>VLOOKUP($B95,temporalBoundaries!$A:$G,6,0)</f>
        <v>13800228</v>
      </c>
      <c r="F95" s="3">
        <f>VLOOKUP($B95,temporalBoundaries!$A:$G,7,0)</f>
        <v>13800228</v>
      </c>
      <c r="G95" s="1"/>
    </row>
    <row r="96" ht="16.5" customHeight="1">
      <c r="A96" s="4" t="s">
        <v>384</v>
      </c>
      <c r="B96" s="4" t="s">
        <v>385</v>
      </c>
      <c r="C96" s="4" t="s">
        <v>386</v>
      </c>
      <c r="D96" s="4" t="s">
        <v>387</v>
      </c>
      <c r="E96" s="3">
        <f>VLOOKUP($B96,temporalBoundaries!$A:$G,6,0)</f>
        <v>12409999</v>
      </c>
      <c r="F96" s="3">
        <f>VLOOKUP($B96,temporalBoundaries!$A:$G,7,0)</f>
        <v>12409999</v>
      </c>
      <c r="G96" s="1"/>
    </row>
    <row r="97" ht="16.5" customHeight="1">
      <c r="A97" s="3" t="s">
        <v>388</v>
      </c>
      <c r="B97" s="3" t="s">
        <v>389</v>
      </c>
      <c r="C97" s="3" t="s">
        <v>390</v>
      </c>
      <c r="D97" s="3" t="s">
        <v>391</v>
      </c>
      <c r="E97" s="3">
        <f>VLOOKUP($B97,temporalBoundaries!$A:$G,6,0)</f>
        <v>13440912</v>
      </c>
      <c r="F97" s="3">
        <f>VLOOKUP($B97,temporalBoundaries!$A:$G,7,0)</f>
        <v>15290706</v>
      </c>
      <c r="G97" s="1"/>
    </row>
    <row r="98" ht="16.5" customHeight="1">
      <c r="A98" s="4" t="s">
        <v>392</v>
      </c>
      <c r="B98" s="4" t="s">
        <v>393</v>
      </c>
      <c r="C98" s="4" t="s">
        <v>394</v>
      </c>
      <c r="D98" s="4" t="s">
        <v>395</v>
      </c>
      <c r="E98" s="3">
        <f>VLOOKUP($B98,temporalBoundaries!$A:$G,6,0)</f>
        <v>12550330</v>
      </c>
      <c r="F98" s="3">
        <f>VLOOKUP($B98,temporalBoundaries!$A:$G,7,0)</f>
        <v>14801231</v>
      </c>
      <c r="G98" s="1"/>
    </row>
    <row r="99" ht="16.5" customHeight="1">
      <c r="A99" s="4" t="s">
        <v>396</v>
      </c>
      <c r="B99" s="4" t="s">
        <v>397</v>
      </c>
      <c r="C99" s="4" t="s">
        <v>398</v>
      </c>
      <c r="D99" s="4" t="s">
        <v>399</v>
      </c>
      <c r="E99" s="3">
        <f>VLOOKUP($B99,temporalBoundaries!$A:$G,6,0)</f>
        <v>12530602</v>
      </c>
      <c r="F99" s="3">
        <f>VLOOKUP($B99,temporalBoundaries!$A:$G,7,0)</f>
        <v>15680225</v>
      </c>
      <c r="G99" s="1"/>
    </row>
    <row r="100" ht="16.5" customHeight="1">
      <c r="A100" s="4" t="s">
        <v>400</v>
      </c>
      <c r="B100" s="4" t="s">
        <v>401</v>
      </c>
      <c r="C100" s="4" t="s">
        <v>402</v>
      </c>
      <c r="D100" s="4" t="s">
        <v>403</v>
      </c>
      <c r="E100" s="3">
        <f>VLOOKUP($B100, temporalBoundaries!$A:$G, 6, 0)</f>
        <v>14480309</v>
      </c>
      <c r="F100" s="3">
        <f>VLOOKUP($B100, temporalBoundaries!$A:$G, 7, 0)</f>
        <v>16461208</v>
      </c>
      <c r="G100" s="1"/>
    </row>
    <row r="101" ht="16.5" customHeight="1">
      <c r="A101" s="3" t="s">
        <v>404</v>
      </c>
      <c r="B101" s="3" t="s">
        <v>405</v>
      </c>
      <c r="C101" s="3" t="s">
        <v>406</v>
      </c>
      <c r="D101" s="3" t="s">
        <v>407</v>
      </c>
      <c r="E101" s="3" t="e">
        <f>VLOOKUP($B101,temporalBoundaries!$A:$G,6,0)</f>
        <v>#N/A</v>
      </c>
      <c r="F101" s="3" t="e">
        <f>VLOOKUP($B101,temporalBoundaries!$A:$G,7,0)</f>
        <v>#N/A</v>
      </c>
      <c r="G101" s="1"/>
    </row>
    <row r="102" ht="16.5" customHeight="1">
      <c r="A102" s="3" t="s">
        <v>408</v>
      </c>
      <c r="B102" s="3" t="s">
        <v>409</v>
      </c>
      <c r="C102" s="3" t="s">
        <v>410</v>
      </c>
      <c r="D102" s="3" t="s">
        <v>411</v>
      </c>
      <c r="E102" s="3" t="e">
        <f>VLOOKUP($B102,temporalBoundaries!$A:$G,6,0)</f>
        <v>#N/A</v>
      </c>
      <c r="F102" s="3" t="e">
        <f>VLOOKUP($B102,temporalBoundaries!$A:$G,7,0)</f>
        <v>#N/A</v>
      </c>
      <c r="G102" s="1"/>
    </row>
    <row r="103" ht="16.5" customHeight="1">
      <c r="A103" s="4" t="s">
        <v>412</v>
      </c>
      <c r="B103" s="4" t="s">
        <v>413</v>
      </c>
      <c r="C103" s="4" t="s">
        <v>414</v>
      </c>
      <c r="D103" s="4" t="s">
        <v>415</v>
      </c>
      <c r="E103" s="3">
        <f>VLOOKUP($B103,temporalBoundaries!$A:$G,6,0)</f>
        <v>11901231</v>
      </c>
      <c r="F103" s="3">
        <f>VLOOKUP($B103,temporalBoundaries!$A:$G,7,0)</f>
        <v>17980805</v>
      </c>
      <c r="G103" s="1">
        <v>8</v>
      </c>
    </row>
    <row r="104" ht="16.5" customHeight="1">
      <c r="A104" s="3" t="s">
        <v>416</v>
      </c>
      <c r="B104" s="3" t="s">
        <v>417</v>
      </c>
      <c r="C104" s="3" t="s">
        <v>418</v>
      </c>
      <c r="D104" s="3" t="s">
        <v>419</v>
      </c>
      <c r="E104" s="3">
        <f>VLOOKUP($B104,temporalBoundaries!$A:$G,6,0)</f>
        <v>11811231</v>
      </c>
      <c r="F104" s="3">
        <f>VLOOKUP($B104,temporalBoundaries!$A:$G,7,0)</f>
        <v>14530117</v>
      </c>
      <c r="G104" s="1"/>
    </row>
    <row r="105" ht="16.5" customHeight="1">
      <c r="A105" s="4" t="s">
        <v>420</v>
      </c>
      <c r="B105" s="4" t="s">
        <v>421</v>
      </c>
      <c r="C105" s="4" t="s">
        <v>422</v>
      </c>
      <c r="D105" s="4" t="s">
        <v>423</v>
      </c>
      <c r="E105" s="3">
        <f>VLOOKUP($B105,temporalBoundaries!$A:$G,6,0)</f>
        <v>11040227</v>
      </c>
      <c r="F105" s="3">
        <f>VLOOKUP($B105,temporalBoundaries!$A:$G,7,0)</f>
        <v>18020520</v>
      </c>
      <c r="G105" s="1">
        <v>3</v>
      </c>
    </row>
    <row r="106" ht="16.5" customHeight="1">
      <c r="A106" s="3" t="s">
        <v>424</v>
      </c>
      <c r="B106" s="3" t="s">
        <v>425</v>
      </c>
      <c r="C106" s="3" t="s">
        <v>426</v>
      </c>
      <c r="D106" s="3" t="s">
        <v>427</v>
      </c>
      <c r="E106" s="3">
        <f>VLOOKUP($B106,temporalBoundaries!$A:$G,6,0)</f>
        <v>12200101</v>
      </c>
      <c r="F106" s="3">
        <f>VLOOKUP($B106,temporalBoundaries!$A:$G,7,0)</f>
        <v>13251206</v>
      </c>
      <c r="G106" s="1">
        <v>14</v>
      </c>
    </row>
    <row r="107" ht="16.5" customHeight="1">
      <c r="A107" s="4" t="s">
        <v>428</v>
      </c>
      <c r="B107" s="4" t="s">
        <v>429</v>
      </c>
      <c r="C107" s="4" t="s">
        <v>430</v>
      </c>
      <c r="D107" s="4" t="s">
        <v>431</v>
      </c>
      <c r="E107" s="3">
        <f>VLOOKUP($B107,temporalBoundaries!$A:$G,6,0)</f>
        <v>11421231</v>
      </c>
      <c r="F107" s="3">
        <f>VLOOKUP($B107,temporalBoundaries!$A:$G,7,0)</f>
        <v>13970627</v>
      </c>
      <c r="G107" s="1">
        <v>1</v>
      </c>
    </row>
    <row r="108" ht="16.5" customHeight="1">
      <c r="A108" s="3" t="s">
        <v>432</v>
      </c>
      <c r="B108" s="3" t="s">
        <v>433</v>
      </c>
      <c r="C108" s="3" t="s">
        <v>434</v>
      </c>
      <c r="D108" s="3" t="s">
        <v>435</v>
      </c>
      <c r="E108" s="3">
        <f>VLOOKUP($B108,temporalBoundaries!$A:$G,6,0)</f>
        <v>13050325</v>
      </c>
      <c r="F108" s="3">
        <f>VLOOKUP($B108,temporalBoundaries!$A:$G,7,0)</f>
        <v>13281221</v>
      </c>
      <c r="G108" s="1">
        <v>5</v>
      </c>
    </row>
    <row r="109" ht="16.5" customHeight="1">
      <c r="A109" s="4" t="s">
        <v>436</v>
      </c>
      <c r="B109" s="4" t="s">
        <v>437</v>
      </c>
      <c r="C109" s="4" t="s">
        <v>438</v>
      </c>
      <c r="D109" s="4" t="s">
        <v>439</v>
      </c>
      <c r="E109" s="3">
        <f>VLOOKUP($B109,temporalBoundaries!$A:$G,6,0)</f>
        <v>12950921</v>
      </c>
      <c r="F109" s="3">
        <f>VLOOKUP($B109,temporalBoundaries!$A:$G,7,0)</f>
        <v>17731231</v>
      </c>
      <c r="G109" s="1">
        <v>4</v>
      </c>
    </row>
    <row r="110" ht="16.5" customHeight="1">
      <c r="A110" s="3" t="s">
        <v>440</v>
      </c>
      <c r="B110" s="3" t="s">
        <v>441</v>
      </c>
      <c r="C110" s="3" t="s">
        <v>442</v>
      </c>
      <c r="D110" s="3" t="s">
        <v>443</v>
      </c>
      <c r="E110" s="3">
        <f>VLOOKUP($B110,temporalBoundaries!$A:$G,6,0)</f>
        <v>11440725</v>
      </c>
      <c r="F110" s="3">
        <f>VLOOKUP($B110,temporalBoundaries!$A:$G,7,0)</f>
        <v>17880616</v>
      </c>
      <c r="G110" s="1">
        <v>2</v>
      </c>
    </row>
    <row r="111" ht="16.5" customHeight="1">
      <c r="A111" s="4" t="s">
        <v>444</v>
      </c>
      <c r="B111" s="4" t="s">
        <v>445</v>
      </c>
      <c r="C111" s="4" t="s">
        <v>446</v>
      </c>
      <c r="D111" s="4"/>
      <c r="E111" s="3">
        <f>VLOOKUP($B111,temporalBoundaries!$A:$G,6,0)</f>
        <v>10061207</v>
      </c>
      <c r="F111" s="3">
        <f>VLOOKUP($B111,temporalBoundaries!$A:$G,7,0)</f>
        <v>19080724</v>
      </c>
      <c r="G111" s="1">
        <v>15</v>
      </c>
    </row>
    <row r="112" ht="16.5" customHeight="1">
      <c r="A112" s="3" t="s">
        <v>447</v>
      </c>
      <c r="B112" s="3" t="s">
        <v>448</v>
      </c>
      <c r="C112" s="3" t="s">
        <v>449</v>
      </c>
      <c r="D112" s="3" t="s">
        <v>450</v>
      </c>
      <c r="E112" s="3">
        <f>VLOOKUP($B112,temporalBoundaries!$A:$G,6,0)</f>
        <v>9959999</v>
      </c>
      <c r="F112" s="3">
        <f>VLOOKUP($B112,temporalBoundaries!$A:$G,7,0)</f>
        <v>17840321</v>
      </c>
      <c r="G112" s="1"/>
    </row>
    <row r="113" ht="16.5" customHeight="1">
      <c r="A113" s="4" t="s">
        <v>451</v>
      </c>
      <c r="B113" s="4" t="s">
        <v>452</v>
      </c>
      <c r="C113" s="4" t="s">
        <v>453</v>
      </c>
      <c r="D113" s="4" t="s">
        <v>454</v>
      </c>
      <c r="E113" s="3">
        <f>VLOOKUP($B113,temporalBoundaries!$A:$G,6,0)</f>
        <v>10940729</v>
      </c>
      <c r="F113" s="3">
        <f>VLOOKUP($B113,temporalBoundaries!$A:$G,7,0)</f>
        <v>14780523</v>
      </c>
      <c r="G113" s="1">
        <v>49</v>
      </c>
    </row>
    <row r="114" ht="16.5" customHeight="1">
      <c r="A114" s="3" t="s">
        <v>455</v>
      </c>
      <c r="B114" s="3" t="s">
        <v>456</v>
      </c>
      <c r="C114" s="3" t="s">
        <v>457</v>
      </c>
      <c r="D114" s="3" t="s">
        <v>458</v>
      </c>
      <c r="E114" s="3">
        <f>VLOOKUP($B114,temporalBoundaries!$A:$G,6,0)</f>
        <v>11880101</v>
      </c>
      <c r="F114" s="3">
        <f>VLOOKUP($B114,temporalBoundaries!$A:$G,7,0)</f>
        <v>19920914</v>
      </c>
      <c r="G114" s="1">
        <v>8</v>
      </c>
    </row>
    <row r="115" ht="16.5" customHeight="1">
      <c r="A115" s="4" t="s">
        <v>459</v>
      </c>
      <c r="B115" s="4" t="s">
        <v>460</v>
      </c>
      <c r="C115" s="4" t="s">
        <v>461</v>
      </c>
      <c r="D115" s="4" t="s">
        <v>462</v>
      </c>
      <c r="E115" s="3">
        <f>VLOOKUP($B115,temporalBoundaries!$A:$G,6,0)</f>
        <v>12220220</v>
      </c>
      <c r="F115" s="3">
        <f>VLOOKUP($B115,temporalBoundaries!$A:$G,7,0)</f>
        <v>15020504</v>
      </c>
      <c r="G115" s="1">
        <v>34</v>
      </c>
    </row>
    <row r="116" ht="16.5" customHeight="1">
      <c r="A116" s="3" t="s">
        <v>463</v>
      </c>
      <c r="B116" s="3" t="s">
        <v>464</v>
      </c>
      <c r="C116" s="3" t="s">
        <v>465</v>
      </c>
      <c r="D116" s="3" t="s">
        <v>466</v>
      </c>
      <c r="E116" s="3">
        <f>VLOOKUP($B116,temporalBoundaries!$A:$G,6,0)</f>
        <v>12761231</v>
      </c>
      <c r="F116" s="3">
        <f>VLOOKUP($B116,temporalBoundaries!$A:$G,7,0)</f>
        <v>17290712</v>
      </c>
      <c r="G116" s="1">
        <v>1</v>
      </c>
    </row>
    <row r="117" ht="16.5" customHeight="1">
      <c r="A117" s="4" t="s">
        <v>467</v>
      </c>
      <c r="B117" s="4" t="s">
        <v>468</v>
      </c>
      <c r="C117" s="4" t="s">
        <v>469</v>
      </c>
      <c r="D117" s="4" t="s">
        <v>470</v>
      </c>
      <c r="E117" s="3">
        <f>VLOOKUP($B117,temporalBoundaries!$A:$G,6,0)</f>
        <v>11121231</v>
      </c>
      <c r="F117" s="3">
        <f>VLOOKUP($B117,temporalBoundaries!$A:$G,7,0)</f>
        <v>18521231</v>
      </c>
      <c r="G117" s="1">
        <v>21</v>
      </c>
    </row>
    <row r="118" ht="16.5" customHeight="1">
      <c r="A118" s="3" t="s">
        <v>471</v>
      </c>
      <c r="B118" s="3" t="s">
        <v>472</v>
      </c>
      <c r="C118" s="3" t="s">
        <v>473</v>
      </c>
      <c r="D118" s="3" t="s">
        <v>474</v>
      </c>
      <c r="E118" s="3">
        <f>VLOOKUP($B118,temporalBoundaries!$A:$G,6,0)</f>
        <v>13721111</v>
      </c>
      <c r="F118" s="3">
        <f>VLOOKUP($B118,temporalBoundaries!$A:$G,7,0)</f>
        <v>13721111</v>
      </c>
      <c r="G118" s="1">
        <v>7</v>
      </c>
    </row>
    <row r="119" ht="16.5" customHeight="1">
      <c r="A119" s="4" t="s">
        <v>475</v>
      </c>
      <c r="B119" s="4" t="s">
        <v>476</v>
      </c>
      <c r="C119" s="4" t="s">
        <v>477</v>
      </c>
      <c r="D119" s="4" t="s">
        <v>478</v>
      </c>
      <c r="E119" s="3">
        <f>VLOOKUP($B119,temporalBoundaries!$A:$G,6,0)</f>
        <v>13779999</v>
      </c>
      <c r="F119" s="3">
        <f>VLOOKUP($B119,temporalBoundaries!$A:$G,7,0)</f>
        <v>15510709</v>
      </c>
      <c r="G119" s="1"/>
    </row>
    <row r="120" ht="16.5" customHeight="1">
      <c r="A120" s="3" t="s">
        <v>479</v>
      </c>
      <c r="B120" s="3" t="s">
        <v>480</v>
      </c>
      <c r="C120" s="3" t="s">
        <v>481</v>
      </c>
      <c r="D120" s="3" t="s">
        <v>482</v>
      </c>
      <c r="E120" s="3">
        <f>VLOOKUP($B120,temporalBoundaries!$A:$G,6,0)</f>
        <v>13400831</v>
      </c>
      <c r="F120" s="3">
        <f>VLOOKUP($B120,temporalBoundaries!$A:$G,7,0)</f>
        <v>14190302</v>
      </c>
      <c r="G120" s="1">
        <v>6</v>
      </c>
    </row>
    <row r="121" ht="16.5" customHeight="1">
      <c r="A121" s="4" t="s">
        <v>483</v>
      </c>
      <c r="B121" s="4" t="s">
        <v>484</v>
      </c>
      <c r="C121" s="4" t="s">
        <v>485</v>
      </c>
      <c r="D121" s="4" t="s">
        <v>486</v>
      </c>
      <c r="E121" s="3">
        <f>VLOOKUP($B121,temporalBoundaries!$A:$G,6,0)</f>
        <v>10021101</v>
      </c>
      <c r="F121" s="3">
        <f>VLOOKUP($B121,temporalBoundaries!$A:$G,7,0)</f>
        <v>17300613</v>
      </c>
      <c r="G121" s="1">
        <v>22</v>
      </c>
    </row>
    <row r="122" ht="16.5" customHeight="1">
      <c r="A122" s="3" t="s">
        <v>487</v>
      </c>
      <c r="B122" s="3" t="s">
        <v>488</v>
      </c>
      <c r="C122" s="3" t="s">
        <v>489</v>
      </c>
      <c r="D122" s="3" t="s">
        <v>490</v>
      </c>
      <c r="E122" s="3">
        <f>VLOOKUP($B122,temporalBoundaries!$A:$G,6,0)</f>
        <v>13960000</v>
      </c>
      <c r="F122" s="3">
        <f>VLOOKUP($B122,temporalBoundaries!$A:$G,7,0)</f>
        <v>16070228</v>
      </c>
      <c r="G122" s="1"/>
    </row>
    <row r="123" ht="16.5" customHeight="1">
      <c r="A123" s="4" t="s">
        <v>491</v>
      </c>
      <c r="B123" s="4" t="s">
        <v>492</v>
      </c>
      <c r="C123" s="4" t="s">
        <v>493</v>
      </c>
      <c r="D123" s="4" t="s">
        <v>494</v>
      </c>
      <c r="E123" s="3">
        <f>VLOOKUP($B123,temporalBoundaries!$A:$G,6,0)</f>
        <v>12580107</v>
      </c>
      <c r="F123" s="3">
        <f>VLOOKUP($B123,temporalBoundaries!$A:$G,7,0)</f>
        <v>12890101</v>
      </c>
      <c r="G123" s="1">
        <v>26</v>
      </c>
    </row>
    <row r="124" ht="16.5" customHeight="1">
      <c r="A124" s="3" t="s">
        <v>495</v>
      </c>
      <c r="B124" s="3" t="s">
        <v>496</v>
      </c>
      <c r="C124" s="3" t="s">
        <v>497</v>
      </c>
      <c r="D124" s="3" t="s">
        <v>498</v>
      </c>
      <c r="E124" s="3">
        <f>VLOOKUP($B124,temporalBoundaries!$A:$G,6,0)</f>
        <v>9931231</v>
      </c>
      <c r="F124" s="3">
        <f>VLOOKUP($B124,temporalBoundaries!$A:$G,7,0)</f>
        <v>16001211</v>
      </c>
      <c r="G124" s="1">
        <v>6</v>
      </c>
    </row>
    <row r="125" ht="16.5" customHeight="1">
      <c r="A125" s="4" t="s">
        <v>499</v>
      </c>
      <c r="B125" s="4" t="s">
        <v>500</v>
      </c>
      <c r="C125" s="4" t="s">
        <v>501</v>
      </c>
      <c r="D125" s="4" t="s">
        <v>502</v>
      </c>
      <c r="E125" s="3">
        <f>VLOOKUP($B125,temporalBoundaries!$A:$G,6,0)</f>
        <v>12270801</v>
      </c>
      <c r="F125" s="3">
        <f>VLOOKUP($B125,temporalBoundaries!$A:$G,7,0)</f>
        <v>17190217</v>
      </c>
      <c r="G125" s="1">
        <v>44</v>
      </c>
    </row>
    <row r="126" ht="16.5" customHeight="1">
      <c r="A126" s="3" t="s">
        <v>503</v>
      </c>
      <c r="B126" s="3" t="s">
        <v>504</v>
      </c>
      <c r="C126" s="3" t="s">
        <v>505</v>
      </c>
      <c r="D126" s="3" t="s">
        <v>506</v>
      </c>
      <c r="E126" s="3">
        <f>VLOOKUP($B126,temporalBoundaries!$A:$G,6,0)</f>
        <v>11839999</v>
      </c>
      <c r="F126" s="3">
        <f>VLOOKUP($B126,temporalBoundaries!$A:$G,7,0)</f>
        <v>18691101</v>
      </c>
      <c r="G126" s="1">
        <v>136</v>
      </c>
    </row>
    <row r="127" ht="16.5" customHeight="1">
      <c r="A127" s="4" t="s">
        <v>507</v>
      </c>
      <c r="B127" s="4" t="s">
        <v>508</v>
      </c>
      <c r="C127" s="4" t="s">
        <v>509</v>
      </c>
      <c r="D127" s="4" t="s">
        <v>510</v>
      </c>
      <c r="E127" s="3">
        <f>VLOOKUP($B127,temporalBoundaries!$A:$G,6,0)</f>
        <v>12570808</v>
      </c>
      <c r="F127" s="3">
        <f>VLOOKUP($B127,temporalBoundaries!$A:$G,7,0)</f>
        <v>17990930</v>
      </c>
      <c r="G127" s="1">
        <v>4</v>
      </c>
    </row>
    <row r="128" ht="16.5" customHeight="1">
      <c r="A128" s="3" t="s">
        <v>511</v>
      </c>
      <c r="B128" s="3" t="s">
        <v>512</v>
      </c>
      <c r="C128" s="3" t="s">
        <v>513</v>
      </c>
      <c r="D128" s="3" t="s">
        <v>514</v>
      </c>
      <c r="E128" s="3">
        <f>VLOOKUP($B128,temporalBoundaries!$A:$G,6,0)</f>
        <v>10720819</v>
      </c>
      <c r="F128" s="3">
        <f>VLOOKUP($B128,temporalBoundaries!$A:$G,7,0)</f>
        <v>19510922</v>
      </c>
      <c r="G128" s="1">
        <v>5</v>
      </c>
    </row>
    <row r="129" ht="16.5" customHeight="1">
      <c r="A129" s="4" t="s">
        <v>515</v>
      </c>
      <c r="B129" s="4" t="s">
        <v>516</v>
      </c>
      <c r="C129" s="4" t="s">
        <v>517</v>
      </c>
      <c r="D129" s="4" t="s">
        <v>518</v>
      </c>
      <c r="E129" s="3">
        <f>VLOOKUP($B129,temporalBoundaries!$A:$G,6,0)</f>
        <v>13180911</v>
      </c>
      <c r="F129" s="3">
        <f>VLOOKUP($B129,temporalBoundaries!$A:$G,7,0)</f>
        <v>13930205</v>
      </c>
      <c r="G129" s="1"/>
    </row>
    <row r="130" ht="16.5" customHeight="1">
      <c r="A130" s="3" t="s">
        <v>519</v>
      </c>
      <c r="B130" s="3" t="s">
        <v>520</v>
      </c>
      <c r="C130" s="3" t="s">
        <v>521</v>
      </c>
      <c r="D130" s="3" t="s">
        <v>522</v>
      </c>
      <c r="E130" s="3">
        <f>VLOOKUP($B130,temporalBoundaries!$A:$G,6,0)</f>
        <v>8600508</v>
      </c>
      <c r="F130" s="3">
        <f>VLOOKUP($B130,temporalBoundaries!$A:$G,7,0)</f>
        <v>14001129</v>
      </c>
      <c r="G130" s="1"/>
    </row>
    <row r="131" ht="16.5" customHeight="1">
      <c r="A131" s="4" t="s">
        <v>523</v>
      </c>
      <c r="B131" s="4" t="s">
        <v>524</v>
      </c>
      <c r="C131" s="4" t="s">
        <v>525</v>
      </c>
      <c r="D131" s="4" t="s">
        <v>526</v>
      </c>
      <c r="E131" s="3">
        <f>VLOOKUP($B131,temporalBoundaries!$A:$G,6,0)</f>
        <v>14441121</v>
      </c>
      <c r="F131" s="3">
        <f>VLOOKUP($B131,temporalBoundaries!$A:$G,7,0)</f>
        <v>15450811</v>
      </c>
      <c r="G131" s="1">
        <v>13</v>
      </c>
    </row>
    <row r="132" ht="16.5" customHeight="1">
      <c r="A132" s="3" t="s">
        <v>527</v>
      </c>
      <c r="B132" s="3" t="s">
        <v>528</v>
      </c>
      <c r="C132" s="3" t="s">
        <v>529</v>
      </c>
      <c r="D132" s="3" t="s">
        <v>530</v>
      </c>
      <c r="E132" s="3">
        <f>VLOOKUP($B132,temporalBoundaries!$A:$G,6,0)</f>
        <v>11371231</v>
      </c>
      <c r="F132" s="3">
        <f>VLOOKUP($B132,temporalBoundaries!$A:$G,7,0)</f>
        <v>18571216</v>
      </c>
      <c r="G132" s="1">
        <v>14</v>
      </c>
    </row>
    <row r="133" ht="16.5" customHeight="1">
      <c r="A133" s="4" t="s">
        <v>531</v>
      </c>
      <c r="B133" s="4" t="s">
        <v>532</v>
      </c>
      <c r="C133" s="4" t="s">
        <v>533</v>
      </c>
      <c r="D133" s="4" t="s">
        <v>534</v>
      </c>
      <c r="E133" s="3">
        <f>VLOOKUP($B133,temporalBoundaries!$A:$G,6,0)</f>
        <v>10000</v>
      </c>
      <c r="F133" s="3">
        <f>VLOOKUP($B133,temporalBoundaries!$A:$G,7,0)</f>
        <v>16001223</v>
      </c>
      <c r="G133" s="1">
        <v>32</v>
      </c>
    </row>
    <row r="134" ht="16.5" customHeight="1">
      <c r="A134" s="3" t="s">
        <v>535</v>
      </c>
      <c r="B134" s="3" t="s">
        <v>536</v>
      </c>
      <c r="C134" s="3" t="s">
        <v>537</v>
      </c>
      <c r="D134" s="3" t="s">
        <v>538</v>
      </c>
      <c r="E134" s="3">
        <f>VLOOKUP($B134,temporalBoundaries!$A:$G,6,0)</f>
        <v>12960121</v>
      </c>
      <c r="F134" s="3">
        <f>VLOOKUP($B134,temporalBoundaries!$A:$G,7,0)</f>
        <v>19171109</v>
      </c>
      <c r="G134" s="1">
        <v>6</v>
      </c>
    </row>
    <row r="135" ht="16.5" customHeight="1">
      <c r="A135" s="4" t="s">
        <v>539</v>
      </c>
      <c r="B135" s="4" t="s">
        <v>540</v>
      </c>
      <c r="C135" s="4" t="s">
        <v>541</v>
      </c>
      <c r="D135" s="4" t="s">
        <v>542</v>
      </c>
      <c r="E135" s="3">
        <f>VLOOKUP($B135,temporalBoundaries!$A:$G,6,0)</f>
        <v>12040404</v>
      </c>
      <c r="F135" s="3">
        <f>VLOOKUP($B135,temporalBoundaries!$A:$G,7,0)</f>
        <v>16001210</v>
      </c>
      <c r="G135" s="1">
        <v>9</v>
      </c>
    </row>
    <row r="136" ht="16.5" customHeight="1">
      <c r="A136" s="3" t="s">
        <v>543</v>
      </c>
      <c r="B136" s="3" t="s">
        <v>544</v>
      </c>
      <c r="C136" s="3" t="s">
        <v>545</v>
      </c>
      <c r="D136" s="3" t="s">
        <v>546</v>
      </c>
      <c r="E136" s="3">
        <f>VLOOKUP($B136,temporalBoundaries!$A:$G,6,0)</f>
        <v>12881125</v>
      </c>
      <c r="F136" s="3">
        <f>VLOOKUP($B136,temporalBoundaries!$A:$G,7,0)</f>
        <v>14510227</v>
      </c>
      <c r="G136" s="1">
        <v>18</v>
      </c>
    </row>
    <row r="137" ht="16.5" customHeight="1">
      <c r="A137" s="4" t="s">
        <v>547</v>
      </c>
      <c r="B137" s="4" t="s">
        <v>548</v>
      </c>
      <c r="C137" s="4" t="s">
        <v>549</v>
      </c>
      <c r="D137" s="4" t="s">
        <v>550</v>
      </c>
      <c r="E137" s="3">
        <f>VLOOKUP($B137,temporalBoundaries!$A:$G,6,0)</f>
        <v>11090424</v>
      </c>
      <c r="F137" s="3">
        <f>VLOOKUP($B137,temporalBoundaries!$A:$G,7,0)</f>
        <v>19590510</v>
      </c>
      <c r="G137" s="1">
        <v>7</v>
      </c>
    </row>
    <row r="138" ht="16.5" customHeight="1">
      <c r="A138" s="3" t="s">
        <v>551</v>
      </c>
      <c r="B138" s="3" t="s">
        <v>552</v>
      </c>
      <c r="C138" s="3" t="s">
        <v>553</v>
      </c>
      <c r="D138" s="3" t="s">
        <v>554</v>
      </c>
      <c r="E138" s="3">
        <f>VLOOKUP($B138,temporalBoundaries!$A:$G,6,0)</f>
        <v>10020720</v>
      </c>
      <c r="F138" s="3">
        <f>VLOOKUP($B138,temporalBoundaries!$A:$G,7,0)</f>
        <v>10020720</v>
      </c>
      <c r="G138" s="1">
        <v>29</v>
      </c>
    </row>
    <row r="139" ht="16.5" customHeight="1">
      <c r="A139" s="4" t="s">
        <v>555</v>
      </c>
      <c r="B139" s="4" t="s">
        <v>556</v>
      </c>
      <c r="C139" s="4" t="s">
        <v>557</v>
      </c>
      <c r="D139" s="4" t="s">
        <v>558</v>
      </c>
      <c r="E139" s="3">
        <f>VLOOKUP($B139,temporalBoundaries!$A:$G,6,0)</f>
        <v>10051207</v>
      </c>
      <c r="F139" s="3">
        <f>VLOOKUP($B139,temporalBoundaries!$A:$G,7,0)</f>
        <v>19810403</v>
      </c>
      <c r="G139" s="1">
        <v>21</v>
      </c>
    </row>
    <row r="140" ht="16.5" customHeight="1">
      <c r="A140" s="3" t="s">
        <v>559</v>
      </c>
      <c r="B140" s="3" t="s">
        <v>560</v>
      </c>
      <c r="C140" s="3" t="s">
        <v>561</v>
      </c>
      <c r="D140" s="3" t="s">
        <v>450</v>
      </c>
      <c r="E140" s="3">
        <f>VLOOKUP($B140,temporalBoundaries!$A:$G,6,0)</f>
        <v>12640418</v>
      </c>
      <c r="F140" s="3">
        <f>VLOOKUP($B140,temporalBoundaries!$A:$G,7,0)</f>
        <v>17761128</v>
      </c>
      <c r="G140" s="1"/>
    </row>
    <row r="141" ht="16.5" customHeight="1">
      <c r="A141" s="4" t="s">
        <v>562</v>
      </c>
      <c r="B141" s="4" t="s">
        <v>563</v>
      </c>
      <c r="C141" s="4" t="s">
        <v>564</v>
      </c>
      <c r="D141" s="4" t="s">
        <v>565</v>
      </c>
      <c r="E141" s="3">
        <f>VLOOKUP($B141,temporalBoundaries!$A:$G,6,0)</f>
        <v>11220123</v>
      </c>
      <c r="F141" s="3">
        <f>VLOOKUP($B141,temporalBoundaries!$A:$G,7,0)</f>
        <v>16500601</v>
      </c>
      <c r="G141" s="1">
        <v>2</v>
      </c>
    </row>
    <row r="142" ht="16.5" customHeight="1">
      <c r="A142" s="3" t="s">
        <v>566</v>
      </c>
      <c r="B142" s="3" t="s">
        <v>567</v>
      </c>
      <c r="C142" s="3" t="s">
        <v>568</v>
      </c>
      <c r="D142" s="3" t="s">
        <v>569</v>
      </c>
      <c r="E142" s="3">
        <f>VLOOKUP($B142,temporalBoundaries!$A:$G,6,0)</f>
        <v>10990326</v>
      </c>
      <c r="F142" s="3">
        <f>VLOOKUP($B142,temporalBoundaries!$A:$G,7,0)</f>
        <v>18200703</v>
      </c>
      <c r="G142" s="1">
        <v>60</v>
      </c>
    </row>
    <row r="143" ht="16.5" customHeight="1">
      <c r="A143" s="4" t="s">
        <v>570</v>
      </c>
      <c r="B143" s="4" t="s">
        <v>571</v>
      </c>
      <c r="C143" s="4" t="s">
        <v>572</v>
      </c>
      <c r="D143" s="4" t="s">
        <v>573</v>
      </c>
      <c r="E143" s="3">
        <f>VLOOKUP($B143,temporalBoundaries!$A:$G,6,0)</f>
        <v>10950308</v>
      </c>
      <c r="F143" s="3">
        <f>VLOOKUP($B143,temporalBoundaries!$A:$G,7,0)</f>
        <v>15160915</v>
      </c>
      <c r="G143" s="1">
        <v>1</v>
      </c>
    </row>
    <row r="144" ht="16.5" customHeight="1">
      <c r="A144" s="3" t="s">
        <v>574</v>
      </c>
      <c r="B144" s="3" t="s">
        <v>575</v>
      </c>
      <c r="C144" s="3" t="s">
        <v>576</v>
      </c>
      <c r="D144" s="3" t="s">
        <v>577</v>
      </c>
      <c r="E144" s="3">
        <f>VLOOKUP($B144,temporalBoundaries!$A:$G,6,0)</f>
        <v>10990125</v>
      </c>
      <c r="F144" s="3">
        <f>VLOOKUP($B144,temporalBoundaries!$A:$G,7,0)</f>
        <v>16580920</v>
      </c>
      <c r="G144" s="1">
        <v>7</v>
      </c>
    </row>
    <row r="145" ht="16.5" customHeight="1">
      <c r="A145" s="4" t="s">
        <v>578</v>
      </c>
      <c r="B145" s="4" t="s">
        <v>579</v>
      </c>
      <c r="C145" s="4" t="s">
        <v>580</v>
      </c>
      <c r="D145" s="4" t="s">
        <v>581</v>
      </c>
      <c r="E145" s="3" t="str">
        <f>VLOOKUP($B145,temporalBoundaries!$A:$G,6,0)</f>
        <v>NaN</v>
      </c>
      <c r="F145" s="3" t="str">
        <f>VLOOKUP($B145,temporalBoundaries!$A:$G,7,0)</f>
        <v>NaN</v>
      </c>
      <c r="G145" s="1"/>
    </row>
    <row r="146" ht="16.5" customHeight="1">
      <c r="A146" s="3" t="s">
        <v>582</v>
      </c>
      <c r="B146" s="3" t="s">
        <v>583</v>
      </c>
      <c r="C146" s="3" t="s">
        <v>584</v>
      </c>
      <c r="D146" s="3" t="s">
        <v>585</v>
      </c>
      <c r="E146" s="3">
        <f>VLOOKUP($B146,temporalBoundaries!$A:$G,6,0)</f>
        <v>11020503</v>
      </c>
      <c r="F146" s="3">
        <f>VLOOKUP($B146,temporalBoundaries!$A:$G,7,0)</f>
        <v>15640718</v>
      </c>
      <c r="G146" s="1">
        <v>1</v>
      </c>
    </row>
    <row r="147" ht="16.5" customHeight="1">
      <c r="A147" s="4" t="s">
        <v>586</v>
      </c>
      <c r="B147" s="4" t="s">
        <v>587</v>
      </c>
      <c r="C147" s="4" t="s">
        <v>588</v>
      </c>
      <c r="D147" s="4" t="s">
        <v>589</v>
      </c>
      <c r="E147" s="3">
        <f>VLOOKUP($B147,temporalBoundaries!$A:$G,6,0)</f>
        <v>12529999</v>
      </c>
      <c r="F147" s="3">
        <f>VLOOKUP($B147,temporalBoundaries!$A:$G,7,0)</f>
        <v>16290917</v>
      </c>
      <c r="G147" s="1"/>
    </row>
    <row r="148" ht="16.5" customHeight="1">
      <c r="A148" s="3" t="s">
        <v>590</v>
      </c>
      <c r="B148" s="3" t="s">
        <v>591</v>
      </c>
      <c r="C148" s="3" t="s">
        <v>592</v>
      </c>
      <c r="D148" s="3" t="s">
        <v>593</v>
      </c>
      <c r="E148" s="3">
        <f>VLOOKUP($B148,temporalBoundaries!$A:$G,6,0)</f>
        <v>11560108</v>
      </c>
      <c r="F148" s="3">
        <f>VLOOKUP($B148,temporalBoundaries!$A:$G,7,0)</f>
        <v>14881202</v>
      </c>
      <c r="G148" s="1">
        <v>1</v>
      </c>
    </row>
    <row r="149" ht="16.5" customHeight="1">
      <c r="A149" s="4" t="s">
        <v>594</v>
      </c>
      <c r="B149" s="4" t="s">
        <v>595</v>
      </c>
      <c r="C149" s="4" t="s">
        <v>596</v>
      </c>
      <c r="D149" s="4" t="s">
        <v>597</v>
      </c>
      <c r="E149" s="3">
        <f>VLOOKUP($B149,temporalBoundaries!$A:$G,6,0)</f>
        <v>12501006</v>
      </c>
      <c r="F149" s="3">
        <f>VLOOKUP($B149,temporalBoundaries!$A:$G,7,0)</f>
        <v>16700711</v>
      </c>
      <c r="G149" s="1">
        <v>17</v>
      </c>
    </row>
    <row r="150" ht="16.5" customHeight="1">
      <c r="A150" s="3" t="s">
        <v>598</v>
      </c>
      <c r="B150" s="3" t="s">
        <v>599</v>
      </c>
      <c r="C150" s="3" t="s">
        <v>600</v>
      </c>
      <c r="D150" s="3" t="s">
        <v>601</v>
      </c>
      <c r="E150" s="3">
        <f>VLOOKUP($B150,temporalBoundaries!$A:$G,6,0)</f>
        <v>11069999</v>
      </c>
      <c r="F150" s="3">
        <f>VLOOKUP($B150,temporalBoundaries!$A:$G,7,0)</f>
        <v>17800603</v>
      </c>
      <c r="G150" s="1">
        <v>4</v>
      </c>
    </row>
    <row r="151" ht="16.5" customHeight="1">
      <c r="A151" s="4" t="s">
        <v>602</v>
      </c>
      <c r="B151" s="4" t="s">
        <v>603</v>
      </c>
      <c r="C151" s="4" t="s">
        <v>604</v>
      </c>
      <c r="D151" s="4" t="s">
        <v>605</v>
      </c>
      <c r="E151" s="3">
        <f>VLOOKUP($B151,temporalBoundaries!$A:$G,6,0)</f>
        <v>11930629</v>
      </c>
      <c r="F151" s="3">
        <f>VLOOKUP($B151,temporalBoundaries!$A:$G,7,0)</f>
        <v>15500423</v>
      </c>
      <c r="G151" s="1">
        <v>1</v>
      </c>
    </row>
    <row r="152" ht="16.5" customHeight="1">
      <c r="A152" s="4" t="s">
        <v>606</v>
      </c>
      <c r="B152" s="4" t="s">
        <v>607</v>
      </c>
      <c r="C152" s="4" t="s">
        <v>608</v>
      </c>
      <c r="D152" s="4" t="s">
        <v>609</v>
      </c>
      <c r="E152" s="3">
        <f>VLOOKUP($B152,temporalBoundaries!$A:$G,6,0)</f>
        <v>11619999</v>
      </c>
      <c r="F152" s="3">
        <f>VLOOKUP($B152,temporalBoundaries!$A:$G,7,0)</f>
        <v>16001205</v>
      </c>
      <c r="G152" s="1">
        <v>3</v>
      </c>
    </row>
    <row r="153" ht="16.5" customHeight="1">
      <c r="A153" s="3" t="s">
        <v>610</v>
      </c>
      <c r="B153" s="3" t="s">
        <v>611</v>
      </c>
      <c r="C153" s="3" t="s">
        <v>612</v>
      </c>
      <c r="D153" s="3" t="s">
        <v>613</v>
      </c>
      <c r="E153" s="3">
        <f>VLOOKUP($B153,temporalBoundaries!$A:$G,6,0)</f>
        <v>12520312</v>
      </c>
      <c r="F153" s="3">
        <f>VLOOKUP($B153,temporalBoundaries!$A:$G,7,0)</f>
        <v>12601226</v>
      </c>
      <c r="G153" s="1">
        <v>16</v>
      </c>
    </row>
    <row r="154" ht="16.5" customHeight="1">
      <c r="A154" s="4" t="s">
        <v>614</v>
      </c>
      <c r="B154" s="4" t="s">
        <v>615</v>
      </c>
      <c r="C154" s="4" t="s">
        <v>616</v>
      </c>
      <c r="D154" s="4" t="s">
        <v>617</v>
      </c>
      <c r="E154" s="3">
        <f>VLOOKUP($B154,temporalBoundaries!$A:$G,6,0)</f>
        <v>11380430</v>
      </c>
      <c r="F154" s="3">
        <f>VLOOKUP($B154,temporalBoundaries!$A:$G,7,0)</f>
        <v>17971118</v>
      </c>
      <c r="G154" s="1">
        <v>26</v>
      </c>
    </row>
    <row r="155" ht="16.5" customHeight="1">
      <c r="A155" s="3" t="s">
        <v>618</v>
      </c>
      <c r="B155" s="3" t="s">
        <v>619</v>
      </c>
      <c r="C155" s="3" t="s">
        <v>620</v>
      </c>
      <c r="D155" s="3" t="s">
        <v>621</v>
      </c>
      <c r="E155" s="3">
        <f>VLOOKUP($B155,temporalBoundaries!$A:$G,6,0)</f>
        <v>13150499</v>
      </c>
      <c r="F155" s="3">
        <f>VLOOKUP($B155,temporalBoundaries!$A:$G,7,0)</f>
        <v>17420517</v>
      </c>
      <c r="G155" s="1">
        <v>28</v>
      </c>
    </row>
    <row r="156" ht="16.5" customHeight="1">
      <c r="A156" s="4" t="s">
        <v>622</v>
      </c>
      <c r="B156" s="4" t="s">
        <v>623</v>
      </c>
      <c r="C156" s="4" t="s">
        <v>624</v>
      </c>
      <c r="D156" s="4" t="s">
        <v>625</v>
      </c>
      <c r="E156" s="3" t="e">
        <f>VLOOKUP($B156,temporalBoundaries!$A:$G,6,0)</f>
        <v>#N/A</v>
      </c>
      <c r="F156" s="3" t="e">
        <f>VLOOKUP($B156,temporalBoundaries!$A:$G,7,0)</f>
        <v>#N/A</v>
      </c>
      <c r="G156" s="1"/>
    </row>
    <row r="157" ht="16.5" customHeight="1">
      <c r="A157" s="4" t="s">
        <v>626</v>
      </c>
      <c r="B157" s="4" t="s">
        <v>627</v>
      </c>
      <c r="C157" s="4" t="s">
        <v>628</v>
      </c>
      <c r="D157" s="4" t="s">
        <v>629</v>
      </c>
      <c r="E157" s="3">
        <f>VLOOKUP($B157,temporalBoundaries!$A:$G,6,0)</f>
        <v>14420331</v>
      </c>
      <c r="F157" s="3">
        <f>VLOOKUP($B157,temporalBoundaries!$A:$G,7,0)</f>
        <v>14820708</v>
      </c>
      <c r="G157" s="1"/>
    </row>
    <row r="158" ht="16.5" customHeight="1">
      <c r="A158" s="4" t="s">
        <v>630</v>
      </c>
      <c r="B158" s="4" t="s">
        <v>631</v>
      </c>
      <c r="C158" s="4" t="s">
        <v>632</v>
      </c>
      <c r="D158" s="4" t="s">
        <v>633</v>
      </c>
      <c r="E158" s="3">
        <f>VLOOKUP($B158,temporalBoundaries!$A:$G,6,0)</f>
        <v>14220503</v>
      </c>
      <c r="F158" s="3">
        <f>VLOOKUP($B158,temporalBoundaries!$A:$G,7,0)</f>
        <v>17610922</v>
      </c>
      <c r="G158" s="1">
        <v>6</v>
      </c>
    </row>
    <row r="159" ht="16.5" customHeight="1">
      <c r="A159" s="4" t="s">
        <v>634</v>
      </c>
      <c r="B159" s="4" t="s">
        <v>635</v>
      </c>
      <c r="C159" s="4" t="s">
        <v>636</v>
      </c>
      <c r="D159" s="4" t="s">
        <v>637</v>
      </c>
      <c r="E159" s="3">
        <f>VLOOKUP($B159,temporalBoundaries!$A:$G,6,0)</f>
        <v>16860713</v>
      </c>
      <c r="F159" s="3">
        <f>VLOOKUP($B159,temporalBoundaries!$A:$G,7,0)</f>
        <v>16860713</v>
      </c>
      <c r="G159" s="1">
        <v>1</v>
      </c>
    </row>
    <row r="160" ht="16.5" customHeight="1">
      <c r="A160" s="4" t="s">
        <v>638</v>
      </c>
      <c r="B160" s="4" t="s">
        <v>639</v>
      </c>
      <c r="C160" s="4" t="s">
        <v>640</v>
      </c>
      <c r="D160" s="4" t="s">
        <v>641</v>
      </c>
      <c r="E160" s="3">
        <f>VLOOKUP($B160,temporalBoundaries!$A:$G,6,0)</f>
        <v>15610602</v>
      </c>
      <c r="F160" s="3">
        <f>VLOOKUP($B160,temporalBoundaries!$A:$G,7,0)</f>
        <v>15610602</v>
      </c>
      <c r="G160" s="1"/>
    </row>
    <row r="161" ht="16.5" customHeight="1">
      <c r="A161" s="3" t="s">
        <v>642</v>
      </c>
      <c r="B161" s="3" t="s">
        <v>643</v>
      </c>
      <c r="C161" s="3" t="s">
        <v>644</v>
      </c>
      <c r="D161" s="3" t="s">
        <v>645</v>
      </c>
      <c r="E161" s="3">
        <f>VLOOKUP($B161,temporalBoundaries!$A:$G,6,0)</f>
        <v>13950529</v>
      </c>
      <c r="F161" s="3">
        <f>VLOOKUP($B161,temporalBoundaries!$A:$G,7,0)</f>
        <v>17151101</v>
      </c>
      <c r="G161" s="1"/>
    </row>
    <row r="162" ht="16.5" customHeight="1">
      <c r="A162" s="4" t="s">
        <v>646</v>
      </c>
      <c r="B162" s="4" t="s">
        <v>647</v>
      </c>
      <c r="C162" s="4" t="s">
        <v>648</v>
      </c>
      <c r="D162" s="4" t="s">
        <v>649</v>
      </c>
      <c r="E162" s="3">
        <f>VLOOKUP($B162,temporalBoundaries!$A:$G,6,0)</f>
        <v>13830913</v>
      </c>
      <c r="F162" s="3">
        <f>VLOOKUP($B162,temporalBoundaries!$A:$G,7,0)</f>
        <v>16391218</v>
      </c>
      <c r="G162" s="1"/>
    </row>
    <row r="163" ht="16.5" customHeight="1">
      <c r="A163" s="3" t="s">
        <v>650</v>
      </c>
      <c r="B163" s="3" t="s">
        <v>651</v>
      </c>
      <c r="C163" s="3" t="s">
        <v>652</v>
      </c>
      <c r="D163" s="3" t="s">
        <v>653</v>
      </c>
      <c r="E163" s="3">
        <f>VLOOKUP($B163,temporalBoundaries!$A:$G,6,0)</f>
        <v>13810827</v>
      </c>
      <c r="F163" s="3">
        <f>VLOOKUP($B163,temporalBoundaries!$A:$G,7,0)</f>
        <v>17770808</v>
      </c>
      <c r="G163" s="1"/>
    </row>
    <row r="164" ht="16.5" customHeight="1">
      <c r="A164" s="3" t="s">
        <v>654</v>
      </c>
      <c r="B164" s="3" t="s">
        <v>655</v>
      </c>
      <c r="C164" s="3" t="s">
        <v>656</v>
      </c>
      <c r="D164" s="3" t="s">
        <v>657</v>
      </c>
      <c r="E164" s="3">
        <f>VLOOKUP($B164,temporalBoundaries!$A:$G,6,0)</f>
        <v>16370929</v>
      </c>
      <c r="F164" s="3">
        <f>VLOOKUP($B164,temporalBoundaries!$A:$G,7,0)</f>
        <v>17030920</v>
      </c>
      <c r="G164" s="1"/>
    </row>
    <row r="165" ht="16.5" customHeight="1">
      <c r="A165" s="4" t="s">
        <v>658</v>
      </c>
      <c r="B165" s="4" t="s">
        <v>659</v>
      </c>
      <c r="C165" s="4" t="s">
        <v>660</v>
      </c>
      <c r="D165" s="4" t="s">
        <v>661</v>
      </c>
      <c r="E165" s="3">
        <f>VLOOKUP($B165,temporalBoundaries!$A:$G,6,0)</f>
        <v>17341027</v>
      </c>
      <c r="F165" s="3">
        <f>VLOOKUP($B165,temporalBoundaries!$A:$G,7,0)</f>
        <v>17341027</v>
      </c>
      <c r="G165" s="1"/>
    </row>
    <row r="166" ht="16.5" customHeight="1">
      <c r="A166" s="3" t="s">
        <v>662</v>
      </c>
      <c r="B166" s="3" t="s">
        <v>663</v>
      </c>
      <c r="C166" s="3" t="s">
        <v>664</v>
      </c>
      <c r="D166" s="3" t="s">
        <v>665</v>
      </c>
      <c r="E166" s="3">
        <f>VLOOKUP($B166,temporalBoundaries!$A:$G,6,0)</f>
        <v>11390409</v>
      </c>
      <c r="F166" s="3">
        <f>VLOOKUP($B166,temporalBoundaries!$A:$G,7,0)</f>
        <v>18060131</v>
      </c>
      <c r="G166" s="1">
        <v>26</v>
      </c>
    </row>
    <row r="167" ht="16.5" customHeight="1">
      <c r="A167" s="3" t="s">
        <v>666</v>
      </c>
      <c r="B167" s="3" t="s">
        <v>667</v>
      </c>
      <c r="C167" s="3" t="s">
        <v>668</v>
      </c>
      <c r="D167" s="3" t="s">
        <v>669</v>
      </c>
      <c r="E167" s="3">
        <f>VLOOKUP($B167,temporalBoundaries!$A:$G,6,0)</f>
        <v>8610306</v>
      </c>
      <c r="F167" s="3">
        <f>VLOOKUP($B167,temporalBoundaries!$A:$G,7,0)</f>
        <v>15001103</v>
      </c>
      <c r="G167" s="1">
        <v>14</v>
      </c>
    </row>
    <row r="168" ht="16.5" customHeight="1">
      <c r="A168" s="4" t="s">
        <v>670</v>
      </c>
      <c r="B168" s="4" t="s">
        <v>671</v>
      </c>
      <c r="C168" s="4" t="s">
        <v>672</v>
      </c>
      <c r="D168" s="4" t="s">
        <v>673</v>
      </c>
      <c r="E168" s="3">
        <f>VLOOKUP($B168,temporalBoundaries!$A:$G,6,0)</f>
        <v>10040617</v>
      </c>
      <c r="F168" s="3">
        <f>VLOOKUP($B168,temporalBoundaries!$A:$G,7,0)</f>
        <v>15970713</v>
      </c>
      <c r="G168" s="1">
        <v>58</v>
      </c>
    </row>
    <row r="169" ht="16.5" customHeight="1">
      <c r="A169" s="4" t="s">
        <v>674</v>
      </c>
      <c r="B169" s="4" t="s">
        <v>675</v>
      </c>
      <c r="C169" s="4" t="s">
        <v>676</v>
      </c>
      <c r="D169" s="4" t="s">
        <v>677</v>
      </c>
      <c r="E169" s="3" t="e">
        <f>VLOOKUP($B169,temporalBoundaries!$A:$G,6,0)</f>
        <v>#N/A</v>
      </c>
      <c r="F169" s="3" t="e">
        <f>VLOOKUP($B169,temporalBoundaries!$A:$G,7,0)</f>
        <v>#N/A</v>
      </c>
      <c r="G169" s="1"/>
    </row>
    <row r="170" ht="16.5" customHeight="1">
      <c r="A170" s="3" t="s">
        <v>678</v>
      </c>
      <c r="B170" s="3" t="s">
        <v>679</v>
      </c>
      <c r="C170" s="3" t="s">
        <v>680</v>
      </c>
      <c r="D170" s="3" t="s">
        <v>681</v>
      </c>
      <c r="E170" s="3">
        <f>VLOOKUP($B170,temporalBoundaries!$A:$G,6,0)</f>
        <v>12381015</v>
      </c>
      <c r="F170" s="3">
        <f>VLOOKUP($B170,temporalBoundaries!$A:$G,7,0)</f>
        <v>15140918</v>
      </c>
      <c r="G170" s="1">
        <v>16</v>
      </c>
    </row>
    <row r="171" ht="16.5" customHeight="1">
      <c r="A171" s="4" t="s">
        <v>682</v>
      </c>
      <c r="B171" s="4" t="s">
        <v>683</v>
      </c>
      <c r="C171" s="4" t="s">
        <v>684</v>
      </c>
      <c r="D171" s="4" t="s">
        <v>685</v>
      </c>
      <c r="E171" s="3">
        <f>VLOOKUP($B171,temporalBoundaries!$A:$G,6,0)</f>
        <v>16690327</v>
      </c>
      <c r="F171" s="3">
        <f>VLOOKUP($B171,temporalBoundaries!$A:$G,7,0)</f>
        <v>17410217</v>
      </c>
      <c r="G171" s="1">
        <v>18</v>
      </c>
    </row>
    <row r="172" ht="16.5" customHeight="1">
      <c r="A172" s="3" t="s">
        <v>686</v>
      </c>
      <c r="B172" s="3" t="s">
        <v>687</v>
      </c>
      <c r="C172" s="3" t="s">
        <v>688</v>
      </c>
      <c r="D172" s="3" t="s">
        <v>689</v>
      </c>
      <c r="E172" s="3">
        <f>VLOOKUP($B172,temporalBoundaries!$A:$G,6,0)</f>
        <v>13320713</v>
      </c>
      <c r="F172" s="3">
        <f>VLOOKUP($B172,temporalBoundaries!$A:$G,7,0)</f>
        <v>17811115</v>
      </c>
      <c r="G172" s="1">
        <v>33</v>
      </c>
    </row>
    <row r="173" ht="16.5" customHeight="1">
      <c r="A173" s="4" t="s">
        <v>690</v>
      </c>
      <c r="B173" s="4" t="s">
        <v>691</v>
      </c>
      <c r="C173" s="4" t="s">
        <v>692</v>
      </c>
      <c r="D173" s="4" t="s">
        <v>693</v>
      </c>
      <c r="E173" s="3">
        <f>VLOOKUP($B173,temporalBoundaries!$A:$G,6,0)</f>
        <v>13921114</v>
      </c>
      <c r="F173" s="3">
        <f>VLOOKUP($B173,temporalBoundaries!$A:$G,7,0)</f>
        <v>17570209</v>
      </c>
      <c r="G173" s="1"/>
    </row>
    <row r="174" ht="16.5" customHeight="1">
      <c r="A174" s="3" t="s">
        <v>694</v>
      </c>
      <c r="B174" s="3" t="s">
        <v>695</v>
      </c>
      <c r="C174" s="3" t="s">
        <v>696</v>
      </c>
      <c r="D174" s="3" t="s">
        <v>697</v>
      </c>
      <c r="E174" s="3">
        <f>VLOOKUP($B174,temporalBoundaries!$A:$G,6,0)</f>
        <v>16840302</v>
      </c>
      <c r="F174" s="3">
        <f>VLOOKUP($B174,temporalBoundaries!$A:$G,7,0)</f>
        <v>16840302</v>
      </c>
      <c r="G174" s="1"/>
    </row>
    <row r="175" ht="16.5" customHeight="1">
      <c r="A175" s="4" t="s">
        <v>698</v>
      </c>
      <c r="B175" s="4" t="s">
        <v>699</v>
      </c>
      <c r="C175" s="4" t="s">
        <v>700</v>
      </c>
      <c r="D175" s="4" t="s">
        <v>701</v>
      </c>
      <c r="E175" s="3">
        <f>VLOOKUP($B175,temporalBoundaries!$A:$G,6,0)</f>
        <v>13849999</v>
      </c>
      <c r="F175" s="3">
        <f>VLOOKUP($B175,temporalBoundaries!$A:$G,7,0)</f>
        <v>15240505</v>
      </c>
      <c r="G175" s="1">
        <v>4</v>
      </c>
    </row>
    <row r="176" ht="16.5" customHeight="1">
      <c r="A176" s="3" t="s">
        <v>702</v>
      </c>
      <c r="B176" s="3" t="s">
        <v>703</v>
      </c>
      <c r="C176" s="3" t="s">
        <v>704</v>
      </c>
      <c r="D176" s="3" t="s">
        <v>705</v>
      </c>
      <c r="E176" s="3">
        <f>VLOOKUP($B176,temporalBoundaries!$A:$G,6,0)</f>
        <v>15111007</v>
      </c>
      <c r="F176" s="3">
        <f>VLOOKUP($B176,temporalBoundaries!$A:$G,7,0)</f>
        <v>15240624</v>
      </c>
      <c r="G176" s="1">
        <v>2</v>
      </c>
    </row>
    <row r="177" ht="16.5" customHeight="1">
      <c r="A177" s="4" t="s">
        <v>706</v>
      </c>
      <c r="B177" s="4" t="s">
        <v>707</v>
      </c>
      <c r="C177" s="4" t="s">
        <v>708</v>
      </c>
      <c r="D177" s="4" t="s">
        <v>709</v>
      </c>
      <c r="E177" s="3">
        <f>VLOOKUP($B177,temporalBoundaries!$A:$G,6,0)</f>
        <v>13120617</v>
      </c>
      <c r="F177" s="3">
        <f>VLOOKUP($B177,temporalBoundaries!$A:$G,7,0)</f>
        <v>17471107</v>
      </c>
      <c r="G177" s="1"/>
    </row>
    <row r="178" ht="16.5" customHeight="1">
      <c r="A178" s="3" t="s">
        <v>710</v>
      </c>
      <c r="B178" s="3" t="s">
        <v>711</v>
      </c>
      <c r="C178" s="3" t="s">
        <v>712</v>
      </c>
      <c r="D178" s="3" t="s">
        <v>713</v>
      </c>
      <c r="E178" s="3">
        <f>VLOOKUP($B178,temporalBoundaries!$A:$G,6,0)</f>
        <v>12090403</v>
      </c>
      <c r="F178" s="3">
        <f>VLOOKUP($B178,temporalBoundaries!$A:$G,7,0)</f>
        <v>17820426</v>
      </c>
      <c r="G178" s="1">
        <v>2</v>
      </c>
    </row>
    <row r="179" ht="16.5" customHeight="1">
      <c r="A179" s="4" t="s">
        <v>714</v>
      </c>
      <c r="B179" s="4" t="s">
        <v>715</v>
      </c>
      <c r="C179" s="4" t="s">
        <v>716</v>
      </c>
      <c r="D179" s="4" t="s">
        <v>717</v>
      </c>
      <c r="E179" s="3">
        <f>VLOOKUP($B179,temporalBoundaries!$A:$G,6,0)</f>
        <v>13000312</v>
      </c>
      <c r="F179" s="3">
        <f>VLOOKUP($B179,temporalBoundaries!$A:$G,7,0)</f>
        <v>17550503</v>
      </c>
      <c r="G179" s="1"/>
    </row>
    <row r="180" ht="16.5" customHeight="1">
      <c r="A180" s="3" t="s">
        <v>718</v>
      </c>
      <c r="B180" s="3" t="s">
        <v>719</v>
      </c>
      <c r="C180" s="3" t="s">
        <v>720</v>
      </c>
      <c r="D180" s="3" t="s">
        <v>721</v>
      </c>
      <c r="E180" s="3">
        <f>VLOOKUP($B180,temporalBoundaries!$A:$G,6,0)</f>
        <v>15310623</v>
      </c>
      <c r="F180" s="3">
        <f>VLOOKUP($B180,temporalBoundaries!$A:$G,7,0)</f>
        <v>16911020</v>
      </c>
      <c r="G180" s="1"/>
    </row>
    <row r="181" ht="16.5" customHeight="1">
      <c r="A181" s="3" t="s">
        <v>722</v>
      </c>
      <c r="B181" s="3" t="s">
        <v>723</v>
      </c>
      <c r="C181" s="3" t="s">
        <v>724</v>
      </c>
      <c r="D181" s="3" t="s">
        <v>725</v>
      </c>
      <c r="E181" s="3">
        <f>VLOOKUP($B181,temporalBoundaries!$A:$G,6,0)</f>
        <v>12220119</v>
      </c>
      <c r="F181" s="3">
        <f>VLOOKUP($B181,temporalBoundaries!$A:$G,7,0)</f>
        <v>14661221</v>
      </c>
      <c r="G181" s="1">
        <v>34</v>
      </c>
    </row>
    <row r="182" ht="16.5" customHeight="1">
      <c r="A182" s="4" t="s">
        <v>726</v>
      </c>
      <c r="B182" s="4" t="s">
        <v>727</v>
      </c>
      <c r="C182" s="4" t="s">
        <v>728</v>
      </c>
      <c r="D182" s="4" t="s">
        <v>729</v>
      </c>
      <c r="E182" s="3">
        <f>VLOOKUP($B182,temporalBoundaries!$A:$G,6,0)</f>
        <v>13420824</v>
      </c>
      <c r="F182" s="3">
        <f>VLOOKUP($B182,temporalBoundaries!$A:$G,7,0)</f>
        <v>15230312</v>
      </c>
      <c r="G182" s="1">
        <v>7</v>
      </c>
    </row>
    <row r="183" ht="16.5" customHeight="1">
      <c r="A183" s="3" t="s">
        <v>730</v>
      </c>
      <c r="B183" s="3" t="s">
        <v>731</v>
      </c>
      <c r="C183" s="3" t="s">
        <v>732</v>
      </c>
      <c r="D183" s="3" t="s">
        <v>733</v>
      </c>
      <c r="E183" s="3">
        <f>VLOOKUP($B183,temporalBoundaries!$A:$G,6,0)</f>
        <v>14070511</v>
      </c>
      <c r="F183" s="3">
        <f>VLOOKUP($B183,temporalBoundaries!$A:$G,7,0)</f>
        <v>17460525</v>
      </c>
      <c r="G183" s="1"/>
    </row>
    <row r="184" ht="16.5" customHeight="1">
      <c r="A184" s="4" t="s">
        <v>734</v>
      </c>
      <c r="B184" s="4" t="s">
        <v>735</v>
      </c>
      <c r="C184" s="4" t="s">
        <v>736</v>
      </c>
      <c r="D184" s="4" t="s">
        <v>737</v>
      </c>
      <c r="E184" s="3">
        <f>VLOOKUP($B184,temporalBoundaries!$A:$G,6,0)</f>
        <v>12870226</v>
      </c>
      <c r="F184" s="3">
        <f>VLOOKUP($B184,temporalBoundaries!$A:$G,7,0)</f>
        <v>17540220</v>
      </c>
      <c r="G184" s="1">
        <v>5</v>
      </c>
    </row>
    <row r="185" ht="16.5" customHeight="1">
      <c r="A185" s="4" t="s">
        <v>738</v>
      </c>
      <c r="B185" s="4" t="s">
        <v>739</v>
      </c>
      <c r="C185" s="4" t="s">
        <v>740</v>
      </c>
      <c r="D185" s="4" t="s">
        <v>741</v>
      </c>
      <c r="E185" s="3">
        <f>VLOOKUP($B185,temporalBoundaries!$A:$G,6,0)</f>
        <v>12860226</v>
      </c>
      <c r="F185" s="3">
        <f>VLOOKUP($B185,temporalBoundaries!$A:$G,7,0)</f>
        <v>17800110</v>
      </c>
      <c r="G185" s="1">
        <v>19</v>
      </c>
    </row>
    <row r="186" ht="16.5" customHeight="1">
      <c r="A186" s="3" t="s">
        <v>742</v>
      </c>
      <c r="B186" s="3" t="s">
        <v>743</v>
      </c>
      <c r="C186" s="3" t="s">
        <v>744</v>
      </c>
      <c r="D186" s="3" t="s">
        <v>745</v>
      </c>
      <c r="E186" s="3">
        <f>VLOOKUP($B186,temporalBoundaries!$A:$G,6,0)</f>
        <v>12890503</v>
      </c>
      <c r="F186" s="3">
        <f>VLOOKUP($B186,temporalBoundaries!$A:$G,7,0)</f>
        <v>17541101</v>
      </c>
      <c r="G186" s="1">
        <v>1</v>
      </c>
    </row>
    <row r="187" ht="16.5" customHeight="1">
      <c r="A187" s="3" t="s">
        <v>746</v>
      </c>
      <c r="B187" s="3" t="s">
        <v>747</v>
      </c>
      <c r="C187" s="3" t="s">
        <v>748</v>
      </c>
      <c r="D187" s="3" t="s">
        <v>749</v>
      </c>
      <c r="E187" s="3">
        <f>VLOOKUP($B187,temporalBoundaries!$A:$G,6,0)</f>
        <v>10451017</v>
      </c>
      <c r="F187" s="3">
        <f>VLOOKUP($B187,temporalBoundaries!$A:$G,7,0)</f>
        <v>19081126</v>
      </c>
      <c r="G187" s="1">
        <v>21</v>
      </c>
    </row>
    <row r="188" ht="16.5" customHeight="1">
      <c r="A188" s="4" t="s">
        <v>750</v>
      </c>
      <c r="B188" s="4" t="s">
        <v>751</v>
      </c>
      <c r="C188" s="4" t="s">
        <v>752</v>
      </c>
      <c r="D188" s="4" t="s">
        <v>753</v>
      </c>
      <c r="E188" s="3">
        <f>VLOOKUP($B188,temporalBoundaries!$A:$G,6,0)</f>
        <v>12961018</v>
      </c>
      <c r="F188" s="3">
        <f>VLOOKUP($B188,temporalBoundaries!$A:$G,7,0)</f>
        <v>17801018</v>
      </c>
      <c r="G188" s="1">
        <v>6</v>
      </c>
    </row>
    <row r="189" ht="16.5" customHeight="1">
      <c r="A189" s="3" t="s">
        <v>754</v>
      </c>
      <c r="B189" s="3" t="s">
        <v>755</v>
      </c>
      <c r="C189" s="3" t="s">
        <v>756</v>
      </c>
      <c r="D189" s="3" t="s">
        <v>757</v>
      </c>
      <c r="E189" s="3">
        <f>VLOOKUP($B189,temporalBoundaries!$A:$G,6,0)</f>
        <v>12000901</v>
      </c>
      <c r="F189" s="3">
        <f>VLOOKUP($B189,temporalBoundaries!$A:$G,7,0)</f>
        <v>17820604</v>
      </c>
      <c r="G189" s="1">
        <v>7</v>
      </c>
    </row>
    <row r="190" ht="16.5" customHeight="1">
      <c r="A190" s="4" t="s">
        <v>758</v>
      </c>
      <c r="B190" s="4" t="s">
        <v>759</v>
      </c>
      <c r="C190" s="4" t="s">
        <v>760</v>
      </c>
      <c r="D190" s="4" t="s">
        <v>761</v>
      </c>
      <c r="E190" s="3">
        <f>VLOOKUP($B190,temporalBoundaries!$A:$G,6,0)</f>
        <v>13860212</v>
      </c>
      <c r="F190" s="3">
        <f>VLOOKUP($B190,temporalBoundaries!$A:$G,7,0)</f>
        <v>15080125</v>
      </c>
      <c r="G190" s="1">
        <v>17</v>
      </c>
    </row>
    <row r="191" ht="16.5" customHeight="1">
      <c r="A191" s="3" t="s">
        <v>762</v>
      </c>
      <c r="B191" s="3" t="s">
        <v>763</v>
      </c>
      <c r="C191" s="3" t="s">
        <v>764</v>
      </c>
      <c r="D191" s="3" t="s">
        <v>765</v>
      </c>
      <c r="E191" s="3">
        <f>VLOOKUP($B191,temporalBoundaries!$A:$G,6,0)</f>
        <v>17100403</v>
      </c>
      <c r="F191" s="3">
        <f>VLOOKUP($B191,temporalBoundaries!$A:$G,7,0)</f>
        <v>17531115</v>
      </c>
      <c r="G191" s="1"/>
    </row>
    <row r="192" ht="16.5" customHeight="1">
      <c r="A192" s="4" t="s">
        <v>766</v>
      </c>
      <c r="B192" s="4" t="s">
        <v>767</v>
      </c>
      <c r="C192" s="4" t="s">
        <v>768</v>
      </c>
      <c r="D192" s="4" t="s">
        <v>769</v>
      </c>
      <c r="E192" s="3">
        <f>VLOOKUP($B192,temporalBoundaries!$A:$G,6,0)</f>
        <v>13380325</v>
      </c>
      <c r="F192" s="3">
        <f>VLOOKUP($B192,temporalBoundaries!$A:$G,7,0)</f>
        <v>17720309</v>
      </c>
      <c r="G192" s="1">
        <v>1</v>
      </c>
    </row>
    <row r="193" ht="16.5" customHeight="1">
      <c r="A193" s="4" t="s">
        <v>770</v>
      </c>
      <c r="B193" s="4" t="s">
        <v>771</v>
      </c>
      <c r="C193" s="4" t="s">
        <v>772</v>
      </c>
      <c r="D193" s="4" t="s">
        <v>773</v>
      </c>
      <c r="E193" s="3">
        <f>VLOOKUP($B193,temporalBoundaries!$A:$G,6,0)</f>
        <v>16840513</v>
      </c>
      <c r="F193" s="3">
        <f>VLOOKUP($B193,temporalBoundaries!$A:$G,7,0)</f>
        <v>16840513</v>
      </c>
      <c r="G193" s="1"/>
    </row>
    <row r="194" ht="16.5" customHeight="1">
      <c r="A194" s="3" t="s">
        <v>774</v>
      </c>
      <c r="B194" s="3" t="s">
        <v>775</v>
      </c>
      <c r="C194" s="3" t="s">
        <v>776</v>
      </c>
      <c r="D194" s="3" t="s">
        <v>777</v>
      </c>
      <c r="E194" s="3">
        <f>VLOOKUP($B194,temporalBoundaries!$A:$G,6,0)</f>
        <v>12580223</v>
      </c>
      <c r="F194" s="3">
        <f>VLOOKUP($B194,temporalBoundaries!$A:$G,7,0)</f>
        <v>18411228</v>
      </c>
      <c r="G194" s="1">
        <v>1</v>
      </c>
    </row>
    <row r="195" ht="16.5" customHeight="1">
      <c r="A195" s="3" t="s">
        <v>778</v>
      </c>
      <c r="B195" s="3" t="s">
        <v>779</v>
      </c>
      <c r="C195" s="3" t="s">
        <v>780</v>
      </c>
      <c r="D195" s="3" t="s">
        <v>781</v>
      </c>
      <c r="E195" s="3">
        <f>VLOOKUP($B195,temporalBoundaries!$A:$G,6,0)</f>
        <v>14050807</v>
      </c>
      <c r="F195" s="3">
        <f>VLOOKUP($B195,temporalBoundaries!$A:$G,7,0)</f>
        <v>17350307</v>
      </c>
      <c r="G195" s="1"/>
    </row>
    <row r="196" ht="16.5" customHeight="1">
      <c r="A196" s="3" t="s">
        <v>782</v>
      </c>
      <c r="B196" s="3" t="s">
        <v>783</v>
      </c>
      <c r="C196" s="3" t="s">
        <v>784</v>
      </c>
      <c r="D196" s="3" t="s">
        <v>785</v>
      </c>
      <c r="E196" s="3">
        <f>VLOOKUP($B196,temporalBoundaries!$A:$G,6,0)</f>
        <v>16330904</v>
      </c>
      <c r="F196" s="3">
        <f>VLOOKUP($B196,temporalBoundaries!$A:$G,7,0)</f>
        <v>16430412</v>
      </c>
      <c r="G196" s="1"/>
    </row>
    <row r="197" ht="16.5" customHeight="1">
      <c r="A197" s="3" t="s">
        <v>786</v>
      </c>
      <c r="B197" s="3" t="s">
        <v>787</v>
      </c>
      <c r="C197" s="3" t="s">
        <v>788</v>
      </c>
      <c r="D197" s="3" t="s">
        <v>789</v>
      </c>
      <c r="E197" s="3">
        <f>VLOOKUP($B197,temporalBoundaries!$A:$G,6,0)</f>
        <v>16790622</v>
      </c>
      <c r="F197" s="3">
        <f>VLOOKUP($B197,temporalBoundaries!$A:$G,7,0)</f>
        <v>16800425</v>
      </c>
      <c r="G197" s="1"/>
    </row>
    <row r="198" ht="16.5" customHeight="1">
      <c r="A198" s="4" t="s">
        <v>790</v>
      </c>
      <c r="B198" s="4" t="s">
        <v>791</v>
      </c>
      <c r="C198" s="4" t="s">
        <v>792</v>
      </c>
      <c r="D198" s="4" t="s">
        <v>793</v>
      </c>
      <c r="E198" s="3">
        <f>VLOOKUP($B198,temporalBoundaries!$A:$G,6,0)</f>
        <v>13420419</v>
      </c>
      <c r="F198" s="3">
        <f>VLOOKUP($B198,temporalBoundaries!$A:$G,7,0)</f>
        <v>15970106</v>
      </c>
      <c r="G198" s="1"/>
    </row>
    <row r="199" ht="16.5" customHeight="1">
      <c r="A199" s="3" t="s">
        <v>794</v>
      </c>
      <c r="B199" s="3" t="s">
        <v>795</v>
      </c>
      <c r="C199" s="3" t="s">
        <v>796</v>
      </c>
      <c r="D199" s="3" t="s">
        <v>797</v>
      </c>
      <c r="E199" s="3">
        <f>VLOOKUP($B199,temporalBoundaries!$A:$G,6,0)</f>
        <v>13790107</v>
      </c>
      <c r="F199" s="3">
        <f>VLOOKUP($B199,temporalBoundaries!$A:$G,7,0)</f>
        <v>17560221</v>
      </c>
      <c r="G199" s="1"/>
    </row>
    <row r="200" ht="16.5" customHeight="1">
      <c r="A200" s="4" t="s">
        <v>798</v>
      </c>
      <c r="B200" s="4" t="s">
        <v>799</v>
      </c>
      <c r="C200" s="4" t="s">
        <v>800</v>
      </c>
      <c r="D200" s="4" t="s">
        <v>801</v>
      </c>
      <c r="E200" s="3">
        <f>VLOOKUP($B200,temporalBoundaries!$A:$G,6,0)</f>
        <v>13151007</v>
      </c>
      <c r="F200" s="3">
        <f>VLOOKUP($B200,temporalBoundaries!$A:$G,7,0)</f>
        <v>15220603</v>
      </c>
      <c r="G200" s="1">
        <v>17</v>
      </c>
    </row>
    <row r="201" ht="16.5" customHeight="1">
      <c r="A201" s="4" t="s">
        <v>802</v>
      </c>
      <c r="B201" s="4" t="s">
        <v>803</v>
      </c>
      <c r="C201" s="4" t="s">
        <v>804</v>
      </c>
      <c r="D201" s="4" t="s">
        <v>805</v>
      </c>
      <c r="E201" s="3" t="str">
        <f>VLOOKUP($B201,temporalBoundaries!$A:$G,6,0)</f>
        <v>NaN</v>
      </c>
      <c r="F201" s="3" t="str">
        <f>VLOOKUP($B201,temporalBoundaries!$A:$G,7,0)</f>
        <v>NaN</v>
      </c>
      <c r="G201" s="1"/>
    </row>
    <row r="202" ht="16.5" customHeight="1">
      <c r="A202" s="3" t="s">
        <v>806</v>
      </c>
      <c r="B202" s="3" t="s">
        <v>807</v>
      </c>
      <c r="C202" s="3" t="s">
        <v>808</v>
      </c>
      <c r="D202" s="3" t="s">
        <v>809</v>
      </c>
      <c r="E202" s="3">
        <f>VLOOKUP($B202,temporalBoundaries!$A:$G,6,0)</f>
        <v>12780727</v>
      </c>
      <c r="F202" s="3">
        <f>VLOOKUP($B202,temporalBoundaries!$A:$G,7,0)</f>
        <v>14070611</v>
      </c>
      <c r="G202" s="1"/>
    </row>
    <row r="203" ht="16.5" customHeight="1">
      <c r="A203" s="4" t="s">
        <v>810</v>
      </c>
      <c r="B203" s="4" t="s">
        <v>811</v>
      </c>
      <c r="C203" s="4" t="s">
        <v>812</v>
      </c>
      <c r="D203" s="4" t="s">
        <v>813</v>
      </c>
      <c r="E203" s="3">
        <f>VLOOKUP($B203,temporalBoundaries!$A:$G,6,0)</f>
        <v>13800228</v>
      </c>
      <c r="F203" s="3">
        <f>VLOOKUP($B203,temporalBoundaries!$A:$G,7,0)</f>
        <v>13800228</v>
      </c>
      <c r="G203" s="1"/>
    </row>
    <row r="204" ht="16.5" customHeight="1">
      <c r="A204" s="3" t="s">
        <v>814</v>
      </c>
      <c r="B204" s="3" t="s">
        <v>815</v>
      </c>
      <c r="C204" s="3" t="s">
        <v>816</v>
      </c>
      <c r="D204" s="3" t="s">
        <v>817</v>
      </c>
      <c r="E204" s="3">
        <f>VLOOKUP($B204,temporalBoundaries!$A:$G,6,0)</f>
        <v>12740310</v>
      </c>
      <c r="F204" s="3">
        <f>VLOOKUP($B204,temporalBoundaries!$A:$G,7,0)</f>
        <v>15780229</v>
      </c>
      <c r="G204" s="1">
        <v>130</v>
      </c>
    </row>
    <row r="205" ht="16.5" customHeight="1">
      <c r="A205" s="4" t="s">
        <v>818</v>
      </c>
      <c r="B205" s="4" t="s">
        <v>819</v>
      </c>
      <c r="C205" s="4" t="s">
        <v>820</v>
      </c>
      <c r="D205" s="4" t="s">
        <v>821</v>
      </c>
      <c r="E205" s="3">
        <f>VLOOKUP($B205,temporalBoundaries!$A:$G,6,0)</f>
        <v>13740917</v>
      </c>
      <c r="F205" s="3">
        <f>VLOOKUP($B205,temporalBoundaries!$A:$G,7,0)</f>
        <v>14750706</v>
      </c>
      <c r="G205" s="1"/>
    </row>
    <row r="206" ht="16.5" customHeight="1">
      <c r="A206" s="4" t="s">
        <v>822</v>
      </c>
      <c r="B206" s="4" t="s">
        <v>823</v>
      </c>
      <c r="C206" s="4" t="s">
        <v>824</v>
      </c>
      <c r="D206" s="4" t="s">
        <v>825</v>
      </c>
      <c r="E206" s="3">
        <f>VLOOKUP($B206,temporalBoundaries!$A:$G,6,0)</f>
        <v>14000719</v>
      </c>
      <c r="F206" s="3">
        <f>VLOOKUP($B206,temporalBoundaries!$A:$G,7,0)</f>
        <v>15000401</v>
      </c>
      <c r="G206" s="1"/>
    </row>
    <row r="207" ht="16.5" customHeight="1">
      <c r="A207" s="3" t="s">
        <v>826</v>
      </c>
      <c r="B207" s="3" t="s">
        <v>827</v>
      </c>
      <c r="C207" s="3" t="s">
        <v>828</v>
      </c>
      <c r="D207" s="3" t="s">
        <v>829</v>
      </c>
      <c r="E207" s="3">
        <f>VLOOKUP($B207,temporalBoundaries!$A:$G,6,0)</f>
        <v>11670120</v>
      </c>
      <c r="F207" s="3">
        <f>VLOOKUP($B207,temporalBoundaries!$A:$G,7,0)</f>
        <v>15010710</v>
      </c>
      <c r="G207" s="1"/>
    </row>
    <row r="208" ht="16.5" customHeight="1">
      <c r="A208" s="4" t="s">
        <v>830</v>
      </c>
      <c r="B208" s="4" t="s">
        <v>831</v>
      </c>
      <c r="C208" s="4" t="s">
        <v>832</v>
      </c>
      <c r="D208" s="4" t="s">
        <v>833</v>
      </c>
      <c r="E208" s="3">
        <f>VLOOKUP($B208,temporalBoundaries!$A:$G,6,0)</f>
        <v>11151231</v>
      </c>
      <c r="F208" s="3">
        <f>VLOOKUP($B208,temporalBoundaries!$A:$G,7,0)</f>
        <v>15261123</v>
      </c>
      <c r="G208" s="1"/>
    </row>
    <row r="209" ht="16.5" customHeight="1">
      <c r="A209" s="3" t="s">
        <v>834</v>
      </c>
      <c r="B209" s="3" t="s">
        <v>835</v>
      </c>
      <c r="C209" s="3" t="s">
        <v>836</v>
      </c>
      <c r="D209" s="3" t="s">
        <v>837</v>
      </c>
      <c r="E209" s="3">
        <f>VLOOKUP($B209,temporalBoundaries!$A:$G,6,0)</f>
        <v>16600417</v>
      </c>
      <c r="F209" s="3">
        <f>VLOOKUP($B209,temporalBoundaries!$A:$G,7,0)</f>
        <v>17811016</v>
      </c>
      <c r="G209" s="1"/>
    </row>
    <row r="210" ht="16.5" customHeight="1">
      <c r="A210" s="4" t="s">
        <v>838</v>
      </c>
      <c r="B210" s="4" t="s">
        <v>839</v>
      </c>
      <c r="C210" s="4" t="s">
        <v>840</v>
      </c>
      <c r="D210" s="4" t="s">
        <v>841</v>
      </c>
      <c r="E210" s="3" t="e">
        <f>VLOOKUP($B210,temporalBoundaries!$A:$G,6,0)</f>
        <v>#N/A</v>
      </c>
      <c r="F210" s="3" t="e">
        <f>VLOOKUP($B210,temporalBoundaries!$A:$G,7,0)</f>
        <v>#N/A</v>
      </c>
      <c r="G210" s="1"/>
    </row>
    <row r="211" ht="16.5" customHeight="1">
      <c r="A211" s="3" t="s">
        <v>842</v>
      </c>
      <c r="B211" s="3" t="s">
        <v>843</v>
      </c>
      <c r="C211" s="3" t="s">
        <v>844</v>
      </c>
      <c r="D211" s="3" t="s">
        <v>845</v>
      </c>
      <c r="E211" s="3">
        <f>VLOOKUP($B211,temporalBoundaries!$A:$G,6,0)</f>
        <v>12850701</v>
      </c>
      <c r="F211" s="3">
        <f>VLOOKUP($B211,temporalBoundaries!$A:$G,7,0)</f>
        <v>15100125</v>
      </c>
      <c r="G211" s="1">
        <v>9</v>
      </c>
    </row>
    <row r="212" ht="16.5" customHeight="1">
      <c r="A212" s="3" t="s">
        <v>846</v>
      </c>
      <c r="B212" s="3" t="s">
        <v>847</v>
      </c>
      <c r="C212" s="3" t="s">
        <v>848</v>
      </c>
      <c r="D212" s="3" t="s">
        <v>849</v>
      </c>
      <c r="E212" s="3">
        <f>VLOOKUP($B212,temporalBoundaries!$A:$G,6,0)</f>
        <v>13420805</v>
      </c>
      <c r="F212" s="3">
        <f>VLOOKUP($B212,temporalBoundaries!$A:$G,7,0)</f>
        <v>14121118</v>
      </c>
      <c r="G212" s="1"/>
    </row>
    <row r="213" ht="16.5" customHeight="1">
      <c r="A213" s="4" t="s">
        <v>850</v>
      </c>
      <c r="B213" s="4" t="s">
        <v>851</v>
      </c>
      <c r="C213" s="4" t="s">
        <v>852</v>
      </c>
      <c r="D213" s="4" t="s">
        <v>853</v>
      </c>
      <c r="E213" s="3" t="e">
        <f>VLOOKUP($B213,temporalBoundaries!$A:$G,6,0)</f>
        <v>#N/A</v>
      </c>
      <c r="F213" s="3" t="e">
        <f>VLOOKUP($B213,temporalBoundaries!$A:$G,7,0)</f>
        <v>#N/A</v>
      </c>
      <c r="G213" s="1"/>
    </row>
    <row r="214" ht="16.5" customHeight="1">
      <c r="A214" s="3" t="s">
        <v>854</v>
      </c>
      <c r="B214" s="3" t="s">
        <v>855</v>
      </c>
      <c r="C214" s="3" t="s">
        <v>856</v>
      </c>
      <c r="D214" s="3" t="s">
        <v>857</v>
      </c>
      <c r="E214" s="3">
        <f>VLOOKUP($B214,temporalBoundaries!$A:$G,6,0)</f>
        <v>14830404</v>
      </c>
      <c r="F214" s="3">
        <f>VLOOKUP($B214,temporalBoundaries!$A:$G,7,0)</f>
        <v>14830404</v>
      </c>
      <c r="G214" s="1"/>
    </row>
    <row r="215" ht="16.5" customHeight="1">
      <c r="A215" s="4" t="s">
        <v>858</v>
      </c>
      <c r="B215" s="4" t="s">
        <v>859</v>
      </c>
      <c r="C215" s="4" t="s">
        <v>860</v>
      </c>
      <c r="D215" s="4" t="s">
        <v>861</v>
      </c>
      <c r="E215" s="3">
        <f>VLOOKUP($B215,temporalBoundaries!$A:$G,6,0)</f>
        <v>12631231</v>
      </c>
      <c r="F215" s="3">
        <f>VLOOKUP($B215,temporalBoundaries!$A:$G,7,0)</f>
        <v>18401124</v>
      </c>
      <c r="G215" s="1"/>
    </row>
    <row r="216" ht="16.5" customHeight="1">
      <c r="A216" s="3" t="s">
        <v>862</v>
      </c>
      <c r="B216" s="3" t="s">
        <v>863</v>
      </c>
      <c r="C216" s="3" t="s">
        <v>864</v>
      </c>
      <c r="D216" s="3" t="s">
        <v>865</v>
      </c>
      <c r="E216" s="3">
        <f>VLOOKUP($B216,temporalBoundaries!$A:$G,6,0)</f>
        <v>12561223</v>
      </c>
      <c r="F216" s="3">
        <f>VLOOKUP($B216,temporalBoundaries!$A:$G,7,0)</f>
        <v>15231004</v>
      </c>
      <c r="G216" s="1"/>
    </row>
    <row r="217" ht="16.5" customHeight="1">
      <c r="A217" s="4" t="s">
        <v>866</v>
      </c>
      <c r="B217" s="4" t="s">
        <v>867</v>
      </c>
      <c r="C217" s="4" t="s">
        <v>868</v>
      </c>
      <c r="D217" s="4" t="s">
        <v>869</v>
      </c>
      <c r="E217" s="3">
        <f>VLOOKUP($B217,temporalBoundaries!$A:$G,6,0)</f>
        <v>15010624</v>
      </c>
      <c r="F217" s="3">
        <f>VLOOKUP($B217,temporalBoundaries!$A:$G,7,0)</f>
        <v>15010624</v>
      </c>
      <c r="G217" s="1"/>
    </row>
    <row r="218" ht="16.5" customHeight="1">
      <c r="A218" s="3" t="s">
        <v>870</v>
      </c>
      <c r="B218" s="3" t="s">
        <v>871</v>
      </c>
      <c r="C218" s="3" t="s">
        <v>872</v>
      </c>
      <c r="D218" s="3" t="s">
        <v>873</v>
      </c>
      <c r="E218" s="3">
        <f>VLOOKUP($B218,temporalBoundaries!$A:$G,6,0)</f>
        <v>11450428</v>
      </c>
      <c r="F218" s="3">
        <f>VLOOKUP($B218,temporalBoundaries!$A:$G,7,0)</f>
        <v>15230220</v>
      </c>
      <c r="G218" s="1"/>
    </row>
    <row r="219" ht="16.5" customHeight="1">
      <c r="A219" s="3" t="s">
        <v>874</v>
      </c>
      <c r="B219" s="3" t="s">
        <v>875</v>
      </c>
      <c r="C219" s="3" t="s">
        <v>876</v>
      </c>
      <c r="D219" s="3" t="s">
        <v>877</v>
      </c>
      <c r="E219" s="3">
        <f>VLOOKUP($B219,temporalBoundaries!$A:$G,6,0)</f>
        <v>13980525</v>
      </c>
      <c r="F219" s="3">
        <f>VLOOKUP($B219,temporalBoundaries!$A:$G,7,0)</f>
        <v>15120211</v>
      </c>
      <c r="G219" s="1"/>
    </row>
    <row r="220" ht="16.5" customHeight="1">
      <c r="A220" s="3" t="s">
        <v>878</v>
      </c>
      <c r="B220" s="3" t="s">
        <v>879</v>
      </c>
      <c r="C220" s="3" t="s">
        <v>880</v>
      </c>
      <c r="D220" s="3" t="s">
        <v>881</v>
      </c>
      <c r="E220" s="3">
        <f>VLOOKUP($B220,temporalBoundaries!$A:$G,6,0)</f>
        <v>9930114</v>
      </c>
      <c r="F220" s="3">
        <f>VLOOKUP($B220,temporalBoundaries!$A:$G,7,0)</f>
        <v>19480408</v>
      </c>
      <c r="G220" s="1">
        <v>170</v>
      </c>
    </row>
    <row r="221" ht="16.5" customHeight="1">
      <c r="A221" s="4" t="s">
        <v>882</v>
      </c>
      <c r="B221" s="4" t="s">
        <v>883</v>
      </c>
      <c r="C221" s="4" t="s">
        <v>884</v>
      </c>
      <c r="D221" s="4" t="s">
        <v>885</v>
      </c>
      <c r="E221" s="3">
        <f>VLOOKUP($B221,temporalBoundaries!$A:$G,6,0)</f>
        <v>12170708</v>
      </c>
      <c r="F221" s="3">
        <f>VLOOKUP($B221,temporalBoundaries!$A:$G,7,0)</f>
        <v>15161205</v>
      </c>
      <c r="G221" s="1"/>
    </row>
    <row r="222" ht="16.5" customHeight="1">
      <c r="A222" s="3" t="s">
        <v>886</v>
      </c>
      <c r="B222" s="3" t="s">
        <v>887</v>
      </c>
      <c r="C222" s="3" t="s">
        <v>888</v>
      </c>
      <c r="D222" s="3" t="s">
        <v>889</v>
      </c>
      <c r="E222" s="3">
        <f>VLOOKUP($B222,temporalBoundaries!$A:$G,6,0)</f>
        <v>13390304</v>
      </c>
      <c r="F222" s="3">
        <f>VLOOKUP($B222,temporalBoundaries!$A:$G,7,0)</f>
        <v>15080626</v>
      </c>
      <c r="G222" s="1"/>
    </row>
    <row r="223" ht="16.5" customHeight="1">
      <c r="A223" s="4" t="s">
        <v>890</v>
      </c>
      <c r="B223" s="4" t="s">
        <v>891</v>
      </c>
      <c r="C223" s="4" t="s">
        <v>892</v>
      </c>
      <c r="D223" s="4" t="s">
        <v>893</v>
      </c>
      <c r="E223" s="3">
        <f>VLOOKUP($B223,temporalBoundaries!$A:$G,6,0)</f>
        <v>13580406</v>
      </c>
      <c r="F223" s="3">
        <f>VLOOKUP($B223,temporalBoundaries!$A:$G,7,0)</f>
        <v>15210617</v>
      </c>
      <c r="G223" s="1"/>
    </row>
    <row r="224" ht="16.5" customHeight="1">
      <c r="A224" s="3" t="s">
        <v>894</v>
      </c>
      <c r="B224" s="3" t="s">
        <v>895</v>
      </c>
      <c r="C224" s="3" t="s">
        <v>896</v>
      </c>
      <c r="D224" s="3" t="s">
        <v>897</v>
      </c>
      <c r="E224" s="3">
        <f>VLOOKUP($B224,temporalBoundaries!$A:$G,6,0)</f>
        <v>12970718</v>
      </c>
      <c r="F224" s="3">
        <f>VLOOKUP($B224,temporalBoundaries!$A:$G,7,0)</f>
        <v>15230530</v>
      </c>
      <c r="G224" s="1"/>
    </row>
    <row r="225" ht="16.5" customHeight="1">
      <c r="A225" s="4" t="s">
        <v>898</v>
      </c>
      <c r="B225" s="4" t="s">
        <v>899</v>
      </c>
      <c r="C225" s="4" t="s">
        <v>900</v>
      </c>
      <c r="D225" s="4" t="s">
        <v>901</v>
      </c>
      <c r="E225" s="3">
        <f>VLOOKUP($B225,temporalBoundaries!$A:$G,6,0)</f>
        <v>13670512</v>
      </c>
      <c r="F225" s="3">
        <f>VLOOKUP($B225,temporalBoundaries!$A:$G,7,0)</f>
        <v>15240826</v>
      </c>
      <c r="G225" s="1"/>
    </row>
    <row r="226" ht="16.5" customHeight="1">
      <c r="A226" s="3" t="s">
        <v>902</v>
      </c>
      <c r="B226" s="3" t="s">
        <v>903</v>
      </c>
      <c r="C226" s="3" t="s">
        <v>904</v>
      </c>
      <c r="D226" s="3" t="s">
        <v>905</v>
      </c>
      <c r="E226" s="3">
        <f>VLOOKUP($B226,temporalBoundaries!$A:$G,6,0)</f>
        <v>13490829</v>
      </c>
      <c r="F226" s="3">
        <f>VLOOKUP($B226,temporalBoundaries!$A:$G,7,0)</f>
        <v>14060211</v>
      </c>
      <c r="G226" s="1"/>
    </row>
    <row r="227" ht="16.5" customHeight="1">
      <c r="A227" s="4" t="s">
        <v>906</v>
      </c>
      <c r="B227" s="4" t="s">
        <v>907</v>
      </c>
      <c r="C227" s="4" t="s">
        <v>908</v>
      </c>
      <c r="D227" s="4" t="s">
        <v>909</v>
      </c>
      <c r="E227" s="3">
        <f>VLOOKUP($B227,temporalBoundaries!$A:$G,6,0)</f>
        <v>13420207</v>
      </c>
      <c r="F227" s="3">
        <f>VLOOKUP($B227,temporalBoundaries!$A:$G,7,0)</f>
        <v>14550827</v>
      </c>
      <c r="G227" s="1"/>
    </row>
    <row r="228" ht="16.5" customHeight="1">
      <c r="A228" s="3" t="s">
        <v>910</v>
      </c>
      <c r="B228" s="3" t="s">
        <v>911</v>
      </c>
      <c r="C228" s="3" t="s">
        <v>912</v>
      </c>
      <c r="D228" s="3" t="s">
        <v>913</v>
      </c>
      <c r="E228" s="3">
        <f>VLOOKUP($B228,temporalBoundaries!$A:$G,6,0)</f>
        <v>12131231</v>
      </c>
      <c r="F228" s="3">
        <f>VLOOKUP($B228,temporalBoundaries!$A:$G,7,0)</f>
        <v>15260307</v>
      </c>
      <c r="G228" s="1"/>
    </row>
    <row r="229" ht="16.5" customHeight="1">
      <c r="A229" s="4" t="s">
        <v>914</v>
      </c>
      <c r="B229" s="4" t="s">
        <v>915</v>
      </c>
      <c r="C229" s="4" t="s">
        <v>916</v>
      </c>
      <c r="D229" s="4" t="s">
        <v>917</v>
      </c>
      <c r="E229" s="3">
        <f>VLOOKUP($B229,temporalBoundaries!$A:$G,6,0)</f>
        <v>12520201</v>
      </c>
      <c r="F229" s="3">
        <f>VLOOKUP($B229,temporalBoundaries!$A:$G,7,0)</f>
        <v>12520201</v>
      </c>
      <c r="G229" s="1"/>
    </row>
    <row r="230" ht="16.5" customHeight="1">
      <c r="A230" s="3" t="s">
        <v>918</v>
      </c>
      <c r="B230" s="3" t="s">
        <v>919</v>
      </c>
      <c r="C230" s="3" t="s">
        <v>920</v>
      </c>
      <c r="D230" s="3" t="s">
        <v>921</v>
      </c>
      <c r="E230" s="3">
        <f>VLOOKUP($B230,temporalBoundaries!$A:$G,6,0)</f>
        <v>13360312</v>
      </c>
      <c r="F230" s="3">
        <f>VLOOKUP($B230,temporalBoundaries!$A:$G,7,0)</f>
        <v>13360312</v>
      </c>
      <c r="G230" s="1"/>
    </row>
    <row r="231" ht="16.5" customHeight="1">
      <c r="A231" s="4" t="s">
        <v>922</v>
      </c>
      <c r="B231" s="4" t="s">
        <v>923</v>
      </c>
      <c r="C231" s="4" t="s">
        <v>924</v>
      </c>
      <c r="D231" s="4" t="s">
        <v>925</v>
      </c>
      <c r="E231" s="3" t="str">
        <f>VLOOKUP($B231,temporalBoundaries!$A:$G,6,0)</f>
        <v>NaN</v>
      </c>
      <c r="F231" s="3" t="str">
        <f>VLOOKUP($B231,temporalBoundaries!$A:$G,7,0)</f>
        <v>NaN</v>
      </c>
      <c r="G231" s="1"/>
    </row>
    <row r="232" ht="16.5" customHeight="1">
      <c r="A232" s="4" t="s">
        <v>926</v>
      </c>
      <c r="B232" s="4" t="s">
        <v>927</v>
      </c>
      <c r="C232" s="4" t="s">
        <v>928</v>
      </c>
      <c r="D232" s="4" t="s">
        <v>929</v>
      </c>
      <c r="E232" s="3">
        <f>VLOOKUP($B232,temporalBoundaries!$A:$G,6,0)</f>
        <v>12931229</v>
      </c>
      <c r="F232" s="3">
        <f>VLOOKUP($B232,temporalBoundaries!$A:$G,7,0)</f>
        <v>15221104</v>
      </c>
      <c r="G232" s="1"/>
    </row>
    <row r="233" ht="16.5" customHeight="1">
      <c r="A233" s="3" t="s">
        <v>930</v>
      </c>
      <c r="B233" s="3" t="s">
        <v>931</v>
      </c>
      <c r="C233" s="3" t="s">
        <v>932</v>
      </c>
      <c r="D233" s="3" t="s">
        <v>933</v>
      </c>
      <c r="E233" s="3">
        <f>VLOOKUP($B233,temporalBoundaries!$A:$G,6,0)</f>
        <v>14330810</v>
      </c>
      <c r="F233" s="3">
        <f>VLOOKUP($B233,temporalBoundaries!$A:$G,7,0)</f>
        <v>14330810</v>
      </c>
      <c r="G233" s="1"/>
    </row>
    <row r="234" ht="16.5" customHeight="1">
      <c r="A234" s="4" t="s">
        <v>934</v>
      </c>
      <c r="B234" s="4" t="s">
        <v>935</v>
      </c>
      <c r="C234" s="4" t="s">
        <v>936</v>
      </c>
      <c r="D234" s="4" t="s">
        <v>937</v>
      </c>
      <c r="E234" s="3">
        <f>VLOOKUP($B234,temporalBoundaries!$A:$G,6,0)</f>
        <v>12831121</v>
      </c>
      <c r="F234" s="3">
        <f>VLOOKUP($B234,temporalBoundaries!$A:$G,7,0)</f>
        <v>15230128</v>
      </c>
      <c r="G234" s="1"/>
    </row>
    <row r="235" ht="16.5" customHeight="1">
      <c r="A235" s="3" t="s">
        <v>938</v>
      </c>
      <c r="B235" s="3" t="s">
        <v>939</v>
      </c>
      <c r="C235" s="3" t="s">
        <v>940</v>
      </c>
      <c r="D235" s="3" t="s">
        <v>941</v>
      </c>
      <c r="E235" s="3">
        <f>VLOOKUP($B235,temporalBoundaries!$A:$G,6,0)</f>
        <v>13211214</v>
      </c>
      <c r="F235" s="3">
        <f>VLOOKUP($B235,temporalBoundaries!$A:$G,7,0)</f>
        <v>14440605</v>
      </c>
      <c r="G235" s="1"/>
    </row>
    <row r="236" ht="16.5" customHeight="1">
      <c r="A236" s="4" t="s">
        <v>942</v>
      </c>
      <c r="B236" s="4" t="s">
        <v>943</v>
      </c>
      <c r="C236" s="4" t="s">
        <v>944</v>
      </c>
      <c r="D236" s="4" t="s">
        <v>945</v>
      </c>
      <c r="E236" s="3">
        <f>VLOOKUP($B236,temporalBoundaries!$A:$G,6,0)</f>
        <v>13620202</v>
      </c>
      <c r="F236" s="3">
        <f>VLOOKUP($B236,temporalBoundaries!$A:$G,7,0)</f>
        <v>13620202</v>
      </c>
      <c r="G236" s="1"/>
    </row>
    <row r="237" ht="16.5" customHeight="1">
      <c r="A237" s="3" t="s">
        <v>946</v>
      </c>
      <c r="B237" s="3" t="s">
        <v>947</v>
      </c>
      <c r="C237" s="3" t="s">
        <v>948</v>
      </c>
      <c r="D237" s="3" t="s">
        <v>949</v>
      </c>
      <c r="E237" s="3">
        <f>VLOOKUP($B237,temporalBoundaries!$A:$G,6,0)</f>
        <v>12730114</v>
      </c>
      <c r="F237" s="3">
        <f>VLOOKUP($B237,temporalBoundaries!$A:$G,7,0)</f>
        <v>15240403</v>
      </c>
      <c r="G237" s="1"/>
    </row>
    <row r="238" ht="16.5" customHeight="1">
      <c r="A238" s="4" t="s">
        <v>950</v>
      </c>
      <c r="B238" s="4" t="s">
        <v>951</v>
      </c>
      <c r="C238" s="4" t="s">
        <v>952</v>
      </c>
      <c r="D238" s="4" t="s">
        <v>953</v>
      </c>
      <c r="E238" s="3">
        <f>VLOOKUP($B238,temporalBoundaries!$A:$G,6,0)</f>
        <v>12550409</v>
      </c>
      <c r="F238" s="3">
        <f>VLOOKUP($B238,temporalBoundaries!$A:$G,7,0)</f>
        <v>18610322</v>
      </c>
      <c r="G238" s="1">
        <v>6</v>
      </c>
    </row>
    <row r="239" ht="16.5" customHeight="1">
      <c r="A239" s="3" t="s">
        <v>954</v>
      </c>
      <c r="B239" s="3" t="s">
        <v>955</v>
      </c>
      <c r="C239" s="3" t="s">
        <v>956</v>
      </c>
      <c r="D239" s="3" t="s">
        <v>957</v>
      </c>
      <c r="E239" s="3" t="e">
        <f>VLOOKUP($B239,temporalBoundaries!$A:$G,6,0)</f>
        <v>#N/A</v>
      </c>
      <c r="F239" s="3" t="e">
        <f>VLOOKUP($B239,temporalBoundaries!$A:$G,7,0)</f>
        <v>#N/A</v>
      </c>
      <c r="G239" s="1"/>
    </row>
    <row r="240" ht="16.5" customHeight="1">
      <c r="A240" s="4" t="s">
        <v>958</v>
      </c>
      <c r="B240" s="4" t="s">
        <v>959</v>
      </c>
      <c r="C240" s="4" t="s">
        <v>960</v>
      </c>
      <c r="D240" s="4" t="s">
        <v>961</v>
      </c>
      <c r="E240" s="3">
        <f>VLOOKUP($B240,temporalBoundaries!$A:$G,6,0)</f>
        <v>12261231</v>
      </c>
      <c r="F240" s="3">
        <f>VLOOKUP($B240,temporalBoundaries!$A:$G,7,0)</f>
        <v>15210209</v>
      </c>
      <c r="G240" s="1"/>
    </row>
    <row r="241" ht="16.5" customHeight="1">
      <c r="A241" s="3" t="s">
        <v>962</v>
      </c>
      <c r="B241" s="3" t="s">
        <v>963</v>
      </c>
      <c r="C241" s="3" t="s">
        <v>964</v>
      </c>
      <c r="D241" s="3" t="s">
        <v>965</v>
      </c>
      <c r="E241" s="3" t="str">
        <f>VLOOKUP($B241,temporalBoundaries!$A:$G,6,0)</f>
        <v>NaN</v>
      </c>
      <c r="F241" s="3" t="str">
        <f>VLOOKUP($B241,temporalBoundaries!$A:$G,7,0)</f>
        <v>NaN</v>
      </c>
      <c r="G241" s="1"/>
    </row>
    <row r="242" ht="16.5" customHeight="1">
      <c r="A242" s="3" t="s">
        <v>966</v>
      </c>
      <c r="B242" s="3" t="s">
        <v>967</v>
      </c>
      <c r="C242" s="3" t="s">
        <v>968</v>
      </c>
      <c r="D242" s="3" t="s">
        <v>969</v>
      </c>
      <c r="E242" s="3" t="e">
        <f>VLOOKUP($B242,temporalBoundaries!$A:$G,6,0)</f>
        <v>#N/A</v>
      </c>
      <c r="F242" s="3" t="e">
        <f>VLOOKUP($B242,temporalBoundaries!$A:$G,7,0)</f>
        <v>#N/A</v>
      </c>
      <c r="G242" s="1"/>
    </row>
    <row r="243" ht="16.5" customHeight="1">
      <c r="A243" s="4" t="s">
        <v>970</v>
      </c>
      <c r="B243" s="4" t="s">
        <v>971</v>
      </c>
      <c r="C243" s="4" t="s">
        <v>972</v>
      </c>
      <c r="D243" s="4" t="s">
        <v>973</v>
      </c>
      <c r="E243" s="3" t="e">
        <f>VLOOKUP($B243,temporalBoundaries!$A:$G,6,0)</f>
        <v>#N/A</v>
      </c>
      <c r="F243" s="3" t="e">
        <f>VLOOKUP($B243,temporalBoundaries!$A:$G,7,0)</f>
        <v>#N/A</v>
      </c>
      <c r="G243" s="1"/>
    </row>
    <row r="244" ht="16.5" customHeight="1">
      <c r="A244" s="3" t="s">
        <v>974</v>
      </c>
      <c r="B244" s="3" t="s">
        <v>975</v>
      </c>
      <c r="C244" s="3" t="s">
        <v>976</v>
      </c>
      <c r="D244" s="3" t="s">
        <v>977</v>
      </c>
      <c r="E244" s="3">
        <f>VLOOKUP($B244,temporalBoundaries!$A:$G,6,0)</f>
        <v>13460509</v>
      </c>
      <c r="F244" s="3">
        <f>VLOOKUP($B244,temporalBoundaries!$A:$G,7,0)</f>
        <v>15061104</v>
      </c>
      <c r="G244" s="1"/>
    </row>
    <row r="245" ht="16.5" customHeight="1">
      <c r="A245" s="4" t="s">
        <v>978</v>
      </c>
      <c r="B245" s="4" t="s">
        <v>979</v>
      </c>
      <c r="C245" s="4" t="s">
        <v>980</v>
      </c>
      <c r="D245" s="4" t="s">
        <v>981</v>
      </c>
      <c r="E245" s="3">
        <f>VLOOKUP($B245,temporalBoundaries!$A:$G,6,0)</f>
        <v>12940524</v>
      </c>
      <c r="F245" s="3">
        <f>VLOOKUP($B245,temporalBoundaries!$A:$G,7,0)</f>
        <v>17850104</v>
      </c>
      <c r="G245" s="1"/>
    </row>
    <row r="246" ht="16.5" customHeight="1">
      <c r="A246" s="3" t="s">
        <v>982</v>
      </c>
      <c r="B246" s="3" t="s">
        <v>983</v>
      </c>
      <c r="C246" s="3" t="s">
        <v>984</v>
      </c>
      <c r="D246" s="3" t="s">
        <v>985</v>
      </c>
      <c r="E246" s="3">
        <f>VLOOKUP($B246,temporalBoundaries!$A:$G,6,0)</f>
        <v>11970399</v>
      </c>
      <c r="F246" s="3">
        <f>VLOOKUP($B246,temporalBoundaries!$A:$G,7,0)</f>
        <v>19080820</v>
      </c>
      <c r="G246" s="1"/>
    </row>
    <row r="247" ht="16.5" customHeight="1">
      <c r="A247" s="4" t="s">
        <v>986</v>
      </c>
      <c r="B247" s="4" t="s">
        <v>987</v>
      </c>
      <c r="C247" s="4" t="s">
        <v>988</v>
      </c>
      <c r="D247" s="4" t="s">
        <v>989</v>
      </c>
      <c r="E247" s="3">
        <f>VLOOKUP($B247,temporalBoundaries!$A:$G,6,0)</f>
        <v>17240309</v>
      </c>
      <c r="F247" s="3">
        <f>VLOOKUP($B247,temporalBoundaries!$A:$G,7,0)</f>
        <v>17350502</v>
      </c>
      <c r="G247" s="1"/>
    </row>
    <row r="248" ht="16.5" customHeight="1">
      <c r="A248" s="3" t="s">
        <v>990</v>
      </c>
      <c r="B248" s="3" t="s">
        <v>991</v>
      </c>
      <c r="C248" s="3" t="s">
        <v>992</v>
      </c>
      <c r="D248" s="3" t="s">
        <v>993</v>
      </c>
      <c r="E248" s="3">
        <f>VLOOKUP($B248,temporalBoundaries!$A:$G,6,0)</f>
        <v>17110820</v>
      </c>
      <c r="F248" s="3">
        <f>VLOOKUP($B248,temporalBoundaries!$A:$G,7,0)</f>
        <v>19211115</v>
      </c>
      <c r="G248" s="1"/>
    </row>
    <row r="249" ht="16.5" customHeight="1">
      <c r="A249" s="4" t="s">
        <v>994</v>
      </c>
      <c r="B249" s="4" t="s">
        <v>995</v>
      </c>
      <c r="C249" s="4" t="s">
        <v>996</v>
      </c>
      <c r="D249" s="4" t="s">
        <v>997</v>
      </c>
      <c r="E249" s="3">
        <f>VLOOKUP($B249,temporalBoundaries!$A:$G,6,0)</f>
        <v>12330825</v>
      </c>
      <c r="F249" s="3">
        <f>VLOOKUP($B249,temporalBoundaries!$A:$G,7,0)</f>
        <v>18530412</v>
      </c>
      <c r="G249" s="1">
        <v>24</v>
      </c>
    </row>
    <row r="250" ht="16.5" customHeight="1">
      <c r="A250" s="4" t="s">
        <v>998</v>
      </c>
      <c r="B250" s="4" t="s">
        <v>999</v>
      </c>
      <c r="C250" s="4" t="s">
        <v>1000</v>
      </c>
      <c r="D250" s="4" t="s">
        <v>1001</v>
      </c>
      <c r="E250" s="3">
        <f>VLOOKUP($B250,temporalBoundaries!$A:$G,6,0)</f>
        <v>14080214</v>
      </c>
      <c r="F250" s="3">
        <f>VLOOKUP($B250,temporalBoundaries!$A:$G,7,0)</f>
        <v>17150425</v>
      </c>
      <c r="G250" s="1"/>
    </row>
    <row r="251" ht="16.5" customHeight="1">
      <c r="A251" s="3" t="s">
        <v>1002</v>
      </c>
      <c r="B251" s="3" t="s">
        <v>1003</v>
      </c>
      <c r="C251" s="3" t="s">
        <v>1004</v>
      </c>
      <c r="D251" s="3" t="s">
        <v>1005</v>
      </c>
      <c r="E251" s="3">
        <f>VLOOKUP($B251,temporalBoundaries!$A:$G,6,0)</f>
        <v>12930226</v>
      </c>
      <c r="F251" s="3">
        <f>VLOOKUP($B251,temporalBoundaries!$A:$G,7,0)</f>
        <v>16970705</v>
      </c>
      <c r="G251" s="1"/>
    </row>
    <row r="252" ht="16.5" customHeight="1">
      <c r="A252" s="4" t="s">
        <v>1006</v>
      </c>
      <c r="B252" s="4" t="s">
        <v>1007</v>
      </c>
      <c r="C252" s="4" t="s">
        <v>1008</v>
      </c>
      <c r="D252" s="4" t="s">
        <v>1009</v>
      </c>
      <c r="E252" s="3">
        <f>VLOOKUP($B252,temporalBoundaries!$A:$G,6,0)</f>
        <v>14301130</v>
      </c>
      <c r="F252" s="3">
        <f>VLOOKUP($B252,temporalBoundaries!$A:$G,7,0)</f>
        <v>16350928</v>
      </c>
      <c r="G252" s="1"/>
    </row>
    <row r="253" ht="16.5" customHeight="1">
      <c r="A253" s="3" t="s">
        <v>1010</v>
      </c>
      <c r="B253" s="3" t="s">
        <v>1011</v>
      </c>
      <c r="C253" s="3" t="s">
        <v>1012</v>
      </c>
      <c r="D253" s="3" t="s">
        <v>1013</v>
      </c>
      <c r="E253" s="3">
        <f>VLOOKUP($B253,temporalBoundaries!$A:$G,6,0)</f>
        <v>16490302</v>
      </c>
      <c r="F253" s="3">
        <f>VLOOKUP($B253,temporalBoundaries!$A:$G,7,0)</f>
        <v>18731111</v>
      </c>
      <c r="G253" s="1">
        <v>4</v>
      </c>
    </row>
    <row r="254" ht="16.5" customHeight="1">
      <c r="A254" s="4" t="s">
        <v>1014</v>
      </c>
      <c r="B254" s="4" t="s">
        <v>1015</v>
      </c>
      <c r="C254" s="4" t="s">
        <v>1016</v>
      </c>
      <c r="D254" s="4" t="s">
        <v>1017</v>
      </c>
      <c r="E254" s="3">
        <f>VLOOKUP($B254,temporalBoundaries!$A:$G,6,0)</f>
        <v>12899999</v>
      </c>
      <c r="F254" s="3">
        <f>VLOOKUP($B254,temporalBoundaries!$A:$G,7,0)</f>
        <v>17040910</v>
      </c>
      <c r="G254" s="1"/>
    </row>
    <row r="255" ht="16.5" customHeight="1">
      <c r="A255" s="3" t="s">
        <v>1018</v>
      </c>
      <c r="B255" s="3" t="s">
        <v>1019</v>
      </c>
      <c r="C255" s="3" t="s">
        <v>1020</v>
      </c>
      <c r="D255" s="3" t="s">
        <v>1021</v>
      </c>
      <c r="E255" s="3">
        <f>VLOOKUP($B255,temporalBoundaries!$A:$G,6,0)</f>
        <v>16691004</v>
      </c>
      <c r="F255" s="3">
        <f>VLOOKUP($B255,temporalBoundaries!$A:$G,7,0)</f>
        <v>16691004</v>
      </c>
      <c r="G255" s="1"/>
    </row>
    <row r="256" ht="16.5" customHeight="1">
      <c r="A256" s="3" t="s">
        <v>1022</v>
      </c>
      <c r="B256" s="3" t="s">
        <v>1023</v>
      </c>
      <c r="C256" s="3" t="s">
        <v>1024</v>
      </c>
      <c r="D256" s="3" t="s">
        <v>1025</v>
      </c>
      <c r="E256" s="3">
        <f>VLOOKUP($B256,temporalBoundaries!$A:$G,6,0)</f>
        <v>18530304</v>
      </c>
      <c r="F256" s="3">
        <f>VLOOKUP($B256,temporalBoundaries!$A:$G,7,0)</f>
        <v>18530304</v>
      </c>
      <c r="G256" s="1">
        <v>1</v>
      </c>
    </row>
    <row r="257" ht="16.5" customHeight="1">
      <c r="A257" s="4" t="s">
        <v>1026</v>
      </c>
      <c r="B257" s="4" t="s">
        <v>1027</v>
      </c>
      <c r="C257" s="4" t="s">
        <v>1028</v>
      </c>
      <c r="D257" s="4" t="s">
        <v>1029</v>
      </c>
      <c r="E257" s="3">
        <f>VLOOKUP($B257,temporalBoundaries!$A:$G,6,0)</f>
        <v>12720521</v>
      </c>
      <c r="F257" s="3">
        <f>VLOOKUP($B257,temporalBoundaries!$A:$G,7,0)</f>
        <v>14240214</v>
      </c>
      <c r="G257" s="1"/>
    </row>
    <row r="258" ht="16.5" customHeight="1">
      <c r="A258" s="3" t="s">
        <v>1030</v>
      </c>
      <c r="B258" s="3" t="s">
        <v>1031</v>
      </c>
      <c r="C258" s="3" t="s">
        <v>1032</v>
      </c>
      <c r="D258" s="3" t="s">
        <v>1033</v>
      </c>
      <c r="E258" s="3">
        <f>VLOOKUP($B258,temporalBoundaries!$A:$G,6,0)</f>
        <v>14220805</v>
      </c>
      <c r="F258" s="3">
        <f>VLOOKUP($B258,temporalBoundaries!$A:$G,7,0)</f>
        <v>15470929</v>
      </c>
      <c r="G258" s="1"/>
    </row>
    <row r="259" ht="16.5" customHeight="1">
      <c r="A259" s="3" t="s">
        <v>1034</v>
      </c>
      <c r="B259" s="3" t="s">
        <v>1035</v>
      </c>
      <c r="C259" s="3" t="s">
        <v>1036</v>
      </c>
      <c r="D259" s="3" t="s">
        <v>1037</v>
      </c>
      <c r="E259" s="3">
        <f>VLOOKUP($B259,temporalBoundaries!$A:$G,6,0)</f>
        <v>13950605</v>
      </c>
      <c r="F259" s="3">
        <f>VLOOKUP($B259,temporalBoundaries!$A:$G,7,0)</f>
        <v>15031231</v>
      </c>
      <c r="G259" s="1"/>
    </row>
    <row r="260" ht="16.5" customHeight="1">
      <c r="A260" s="3" t="s">
        <v>1038</v>
      </c>
      <c r="B260" s="3" t="s">
        <v>1039</v>
      </c>
      <c r="C260" s="3" t="s">
        <v>1040</v>
      </c>
      <c r="D260" s="3" t="s">
        <v>1041</v>
      </c>
      <c r="E260" s="3">
        <f>VLOOKUP($B260,temporalBoundaries!$A:$G,6,0)</f>
        <v>13500202</v>
      </c>
      <c r="F260" s="3">
        <f>VLOOKUP($B260,temporalBoundaries!$A:$G,7,0)</f>
        <v>15740412</v>
      </c>
      <c r="G260" s="1"/>
    </row>
    <row r="261" ht="16.5" customHeight="1">
      <c r="A261" s="4" t="s">
        <v>1042</v>
      </c>
      <c r="B261" s="4" t="s">
        <v>1043</v>
      </c>
      <c r="C261" s="4" t="s">
        <v>1044</v>
      </c>
      <c r="D261" s="4" t="s">
        <v>1045</v>
      </c>
      <c r="E261" s="3">
        <f>VLOOKUP($B261,temporalBoundaries!$A:$G,6,0)</f>
        <v>10019999</v>
      </c>
      <c r="F261" s="3">
        <f>VLOOKUP($B261,temporalBoundaries!$A:$G,7,0)</f>
        <v>18010602</v>
      </c>
      <c r="G261" s="1">
        <v>5</v>
      </c>
    </row>
    <row r="262" ht="16.5" customHeight="1">
      <c r="A262" s="4" t="s">
        <v>1046</v>
      </c>
      <c r="B262" s="4" t="s">
        <v>1047</v>
      </c>
      <c r="C262" s="4" t="s">
        <v>1048</v>
      </c>
      <c r="D262" s="4" t="s">
        <v>1049</v>
      </c>
      <c r="E262" s="3">
        <f>VLOOKUP($B262,temporalBoundaries!$A:$G,6,0)</f>
        <v>13490529</v>
      </c>
      <c r="F262" s="3">
        <f>VLOOKUP($B262,temporalBoundaries!$A:$G,7,0)</f>
        <v>17010523</v>
      </c>
      <c r="G262" s="1">
        <v>15</v>
      </c>
    </row>
    <row r="263" ht="16.5" customHeight="1">
      <c r="A263" s="3" t="s">
        <v>1050</v>
      </c>
      <c r="B263" s="3" t="s">
        <v>1051</v>
      </c>
      <c r="C263" s="3" t="s">
        <v>1052</v>
      </c>
      <c r="D263" s="3" t="s">
        <v>1053</v>
      </c>
      <c r="E263" s="3">
        <f>VLOOKUP($B263,temporalBoundaries!$A:$G,6,0)</f>
        <v>12680207</v>
      </c>
      <c r="F263" s="3">
        <f>VLOOKUP($B263,temporalBoundaries!$A:$G,7,0)</f>
        <v>17910724</v>
      </c>
      <c r="G263" s="1">
        <v>7</v>
      </c>
    </row>
    <row r="264" ht="16.5" customHeight="1">
      <c r="A264" s="4" t="s">
        <v>1054</v>
      </c>
      <c r="B264" s="4" t="s">
        <v>1055</v>
      </c>
      <c r="C264" s="4" t="s">
        <v>1056</v>
      </c>
      <c r="D264" s="4" t="s">
        <v>1057</v>
      </c>
      <c r="E264" s="3">
        <f>VLOOKUP($B264,temporalBoundaries!$A:$G,6,0)</f>
        <v>11331010</v>
      </c>
      <c r="F264" s="3">
        <f>VLOOKUP($B264,temporalBoundaries!$A:$G,7,0)</f>
        <v>17960609</v>
      </c>
      <c r="G264" s="1">
        <v>1</v>
      </c>
    </row>
    <row r="265" ht="16.5" customHeight="1">
      <c r="A265" s="3" t="s">
        <v>1058</v>
      </c>
      <c r="B265" s="3" t="s">
        <v>1059</v>
      </c>
      <c r="C265" s="3" t="s">
        <v>1060</v>
      </c>
      <c r="D265" s="3" t="s">
        <v>1061</v>
      </c>
      <c r="E265" s="3">
        <f>VLOOKUP($B265,temporalBoundaries!$A:$G,6,0)</f>
        <v>1640729</v>
      </c>
      <c r="F265" s="3">
        <f>VLOOKUP($B265,temporalBoundaries!$A:$G,7,0)</f>
        <v>17930129</v>
      </c>
      <c r="G265" s="1">
        <v>1</v>
      </c>
    </row>
    <row r="266" ht="16.5" customHeight="1">
      <c r="A266" s="3" t="s">
        <v>1062</v>
      </c>
      <c r="B266" s="3" t="s">
        <v>1063</v>
      </c>
      <c r="C266" s="3" t="s">
        <v>1064</v>
      </c>
      <c r="D266" s="3" t="s">
        <v>1065</v>
      </c>
      <c r="E266" s="3">
        <f>VLOOKUP($B266,temporalBoundaries!$A:$G,6,0)</f>
        <v>13101206</v>
      </c>
      <c r="F266" s="3">
        <f>VLOOKUP($B266,temporalBoundaries!$A:$G,7,0)</f>
        <v>17870509</v>
      </c>
      <c r="G266" s="1">
        <v>9</v>
      </c>
    </row>
    <row r="267" ht="16.5" customHeight="1">
      <c r="A267" s="3" t="s">
        <v>1066</v>
      </c>
      <c r="B267" s="3" t="s">
        <v>1067</v>
      </c>
      <c r="C267" s="3" t="s">
        <v>1068</v>
      </c>
      <c r="D267" s="3" t="s">
        <v>1069</v>
      </c>
      <c r="E267" s="3">
        <f>VLOOKUP($B267,temporalBoundaries!$A:$G,6,0)</f>
        <v>11141231</v>
      </c>
      <c r="F267" s="3">
        <f>VLOOKUP($B267,temporalBoundaries!$A:$G,7,0)</f>
        <v>17920522</v>
      </c>
      <c r="G267" s="1">
        <v>13</v>
      </c>
    </row>
    <row r="268" ht="16.5" customHeight="1">
      <c r="A268" s="4" t="s">
        <v>1070</v>
      </c>
      <c r="B268" s="4" t="s">
        <v>1071</v>
      </c>
      <c r="C268" s="4" t="s">
        <v>1072</v>
      </c>
      <c r="D268" s="4" t="s">
        <v>1073</v>
      </c>
      <c r="E268" s="3">
        <f>VLOOKUP($B268,temporalBoundaries!$A:$G,6,0)</f>
        <v>12191206</v>
      </c>
      <c r="F268" s="3">
        <f>VLOOKUP($B268,temporalBoundaries!$A:$G,7,0)</f>
        <v>17971212</v>
      </c>
      <c r="G268" s="1">
        <v>22</v>
      </c>
    </row>
    <row r="269" ht="16.5" customHeight="1">
      <c r="A269" s="3" t="s">
        <v>1074</v>
      </c>
      <c r="B269" s="3" t="s">
        <v>1075</v>
      </c>
      <c r="C269" s="3" t="s">
        <v>1076</v>
      </c>
      <c r="D269" s="3" t="s">
        <v>1077</v>
      </c>
      <c r="E269" s="3">
        <f>VLOOKUP($B269,temporalBoundaries!$A:$G,6,0)</f>
        <v>12140906</v>
      </c>
      <c r="F269" s="3">
        <f>VLOOKUP($B269,temporalBoundaries!$A:$G,7,0)</f>
        <v>18000526</v>
      </c>
      <c r="G269" s="1">
        <v>11</v>
      </c>
    </row>
    <row r="270" ht="16.5" customHeight="1">
      <c r="A270" s="4" t="s">
        <v>1078</v>
      </c>
      <c r="B270" s="4" t="s">
        <v>1079</v>
      </c>
      <c r="C270" s="4" t="s">
        <v>1080</v>
      </c>
      <c r="D270" s="4" t="s">
        <v>1081</v>
      </c>
      <c r="E270" s="3">
        <f>VLOOKUP($B270,temporalBoundaries!$A:$G,6,0)</f>
        <v>10730303</v>
      </c>
      <c r="F270" s="3">
        <f>VLOOKUP($B270,temporalBoundaries!$A:$G,7,0)</f>
        <v>18020131</v>
      </c>
      <c r="G270" s="1"/>
    </row>
    <row r="271" ht="16.5" customHeight="1">
      <c r="A271" s="4" t="s">
        <v>1082</v>
      </c>
      <c r="B271" s="4" t="s">
        <v>1083</v>
      </c>
      <c r="C271" s="4" t="s">
        <v>1084</v>
      </c>
      <c r="D271" s="4" t="s">
        <v>1085</v>
      </c>
      <c r="E271" s="3">
        <f>VLOOKUP($B271,temporalBoundaries!$A:$G,6,0)</f>
        <v>12030327</v>
      </c>
      <c r="F271" s="3">
        <f>VLOOKUP($B271,temporalBoundaries!$A:$G,7,0)</f>
        <v>15200821</v>
      </c>
      <c r="G271" s="1">
        <v>52</v>
      </c>
    </row>
    <row r="272" ht="16.5" customHeight="1">
      <c r="A272" s="4" t="s">
        <v>1086</v>
      </c>
      <c r="B272" s="4" t="s">
        <v>1087</v>
      </c>
      <c r="C272" s="4" t="s">
        <v>1088</v>
      </c>
      <c r="D272" s="4" t="s">
        <v>1089</v>
      </c>
      <c r="E272" s="3">
        <f>VLOOKUP($B272,temporalBoundaries!$A:$G,6,0)</f>
        <v>12280711</v>
      </c>
      <c r="F272" s="3">
        <f>VLOOKUP($B272,temporalBoundaries!$A:$G,7,0)</f>
        <v>17930623</v>
      </c>
      <c r="G272" s="1">
        <v>8</v>
      </c>
    </row>
    <row r="273" ht="16.5" customHeight="1">
      <c r="A273" s="4" t="s">
        <v>1090</v>
      </c>
      <c r="B273" s="4" t="s">
        <v>1091</v>
      </c>
      <c r="C273" s="4" t="s">
        <v>1092</v>
      </c>
      <c r="D273" s="4" t="s">
        <v>1093</v>
      </c>
      <c r="E273" s="3">
        <f>VLOOKUP($B273,temporalBoundaries!$A:$G,6,0)</f>
        <v>11399999</v>
      </c>
      <c r="F273" s="3">
        <f>VLOOKUP($B273,temporalBoundaries!$A:$G,7,0)</f>
        <v>17910928</v>
      </c>
      <c r="G273" s="1">
        <v>25</v>
      </c>
    </row>
    <row r="274" ht="16.5" customHeight="1">
      <c r="A274" s="3" t="s">
        <v>1094</v>
      </c>
      <c r="B274" s="3" t="s">
        <v>1095</v>
      </c>
      <c r="C274" s="3" t="s">
        <v>1096</v>
      </c>
      <c r="D274" s="3" t="s">
        <v>1097</v>
      </c>
      <c r="E274" s="3">
        <f>VLOOKUP($B274,temporalBoundaries!$A:$G,6,0)</f>
        <v>12460920</v>
      </c>
      <c r="F274" s="3">
        <f>VLOOKUP($B274,temporalBoundaries!$A:$G,7,0)</f>
        <v>17861226</v>
      </c>
      <c r="G274" s="1">
        <v>16</v>
      </c>
    </row>
    <row r="275" ht="16.5" customHeight="1">
      <c r="A275" s="4" t="s">
        <v>1098</v>
      </c>
      <c r="B275" s="4" t="s">
        <v>1099</v>
      </c>
      <c r="C275" s="4" t="s">
        <v>1100</v>
      </c>
      <c r="D275" s="4" t="s">
        <v>1101</v>
      </c>
      <c r="E275" s="3">
        <f>VLOOKUP($B275,temporalBoundaries!$A:$G,6,0)</f>
        <v>12560126</v>
      </c>
      <c r="F275" s="3">
        <f>VLOOKUP($B275,temporalBoundaries!$A:$G,7,0)</f>
        <v>17601224</v>
      </c>
      <c r="G275" s="1">
        <v>13</v>
      </c>
    </row>
    <row r="276" ht="16.5" customHeight="1">
      <c r="A276" s="3" t="s">
        <v>1102</v>
      </c>
      <c r="B276" s="3" t="s">
        <v>1103</v>
      </c>
      <c r="C276" s="3" t="s">
        <v>1104</v>
      </c>
      <c r="D276" s="3" t="s">
        <v>1105</v>
      </c>
      <c r="E276" s="3">
        <f>VLOOKUP($B276,temporalBoundaries!$A:$G,6,0)</f>
        <v>13330315</v>
      </c>
      <c r="F276" s="3">
        <f>VLOOKUP($B276,temporalBoundaries!$A:$G,7,0)</f>
        <v>16800221</v>
      </c>
      <c r="G276" s="1"/>
    </row>
    <row r="277" ht="16.5" customHeight="1">
      <c r="A277" s="4" t="s">
        <v>1106</v>
      </c>
      <c r="B277" s="4" t="s">
        <v>1107</v>
      </c>
      <c r="C277" s="4" t="s">
        <v>1108</v>
      </c>
      <c r="D277" s="4" t="s">
        <v>1109</v>
      </c>
      <c r="E277" s="3">
        <f>VLOOKUP($B277,temporalBoundaries!$A:$G,6,0)</f>
        <v>11681221</v>
      </c>
      <c r="F277" s="3">
        <f>VLOOKUP($B277,temporalBoundaries!$A:$G,7,0)</f>
        <v>17831129</v>
      </c>
      <c r="G277" s="1">
        <v>1</v>
      </c>
    </row>
    <row r="278" ht="16.5" customHeight="1">
      <c r="A278" s="3" t="s">
        <v>1110</v>
      </c>
      <c r="B278" s="3" t="s">
        <v>1111</v>
      </c>
      <c r="C278" s="3" t="s">
        <v>1112</v>
      </c>
      <c r="D278" s="3" t="s">
        <v>1113</v>
      </c>
      <c r="E278" s="3">
        <f>VLOOKUP($B278,temporalBoundaries!$A:$G,6,0)</f>
        <v>12700408</v>
      </c>
      <c r="F278" s="3">
        <f>VLOOKUP($B278,temporalBoundaries!$A:$G,7,0)</f>
        <v>17950721</v>
      </c>
      <c r="G278" s="1">
        <v>14</v>
      </c>
    </row>
    <row r="279" ht="16.5" customHeight="1">
      <c r="A279" s="4" t="s">
        <v>1114</v>
      </c>
      <c r="B279" s="4" t="s">
        <v>1115</v>
      </c>
      <c r="C279" s="4" t="s">
        <v>1116</v>
      </c>
      <c r="D279" s="4" t="s">
        <v>1117</v>
      </c>
      <c r="E279" s="3">
        <f>VLOOKUP($B279,temporalBoundaries!$A:$G,6,0)</f>
        <v>12890106</v>
      </c>
      <c r="F279" s="3">
        <f>VLOOKUP($B279,temporalBoundaries!$A:$G,7,0)</f>
        <v>19040605</v>
      </c>
      <c r="G279" s="1">
        <v>3</v>
      </c>
    </row>
    <row r="280" ht="16.5" customHeight="1">
      <c r="A280" s="3" t="s">
        <v>1118</v>
      </c>
      <c r="B280" s="3" t="s">
        <v>1119</v>
      </c>
      <c r="C280" s="3" t="s">
        <v>1120</v>
      </c>
      <c r="D280" s="3" t="s">
        <v>1121</v>
      </c>
      <c r="E280" s="3">
        <f>VLOOKUP($B280,temporalBoundaries!$A:$G,6,0)</f>
        <v>12590713</v>
      </c>
      <c r="F280" s="3">
        <f>VLOOKUP($B280,temporalBoundaries!$A:$G,7,0)</f>
        <v>16310321</v>
      </c>
      <c r="G280" s="1">
        <v>8</v>
      </c>
    </row>
    <row r="281" ht="16.5" customHeight="1">
      <c r="A281" s="4" t="s">
        <v>1122</v>
      </c>
      <c r="B281" s="4" t="s">
        <v>1123</v>
      </c>
      <c r="C281" s="4" t="s">
        <v>1124</v>
      </c>
      <c r="D281" s="4" t="s">
        <v>1125</v>
      </c>
      <c r="E281" s="3">
        <f>VLOOKUP($B281,temporalBoundaries!$A:$G,6,0)</f>
        <v>12120111</v>
      </c>
      <c r="F281" s="3">
        <f>VLOOKUP($B281,temporalBoundaries!$A:$G,7,0)</f>
        <v>17040412</v>
      </c>
      <c r="G281" s="1"/>
    </row>
    <row r="282" ht="16.5" customHeight="1">
      <c r="A282" s="3" t="s">
        <v>1126</v>
      </c>
      <c r="B282" s="3" t="s">
        <v>1127</v>
      </c>
      <c r="C282" s="3" t="s">
        <v>1128</v>
      </c>
      <c r="D282" s="3" t="s">
        <v>1129</v>
      </c>
      <c r="E282" s="3">
        <f>VLOOKUP($B282,temporalBoundaries!$A:$G,6,0)</f>
        <v>7940222</v>
      </c>
      <c r="F282" s="3">
        <f>VLOOKUP($B282,temporalBoundaries!$A:$G,7,0)</f>
        <v>18000125</v>
      </c>
      <c r="G282" s="1">
        <v>99</v>
      </c>
    </row>
    <row r="283" ht="16.5" customHeight="1">
      <c r="A283" s="3" t="s">
        <v>1130</v>
      </c>
      <c r="B283" s="3" t="s">
        <v>1131</v>
      </c>
      <c r="C283" s="3" t="s">
        <v>1132</v>
      </c>
      <c r="D283" s="3" t="s">
        <v>1133</v>
      </c>
      <c r="E283" s="3">
        <f>VLOOKUP($B283,temporalBoundaries!$A:$G,6,0)</f>
        <v>7909999</v>
      </c>
      <c r="F283" s="3">
        <f>VLOOKUP($B283,temporalBoundaries!$A:$G,7,0)</f>
        <v>18011031</v>
      </c>
      <c r="G283" s="1">
        <v>45</v>
      </c>
    </row>
    <row r="284" ht="16.5" customHeight="1">
      <c r="A284" s="4" t="s">
        <v>1134</v>
      </c>
      <c r="B284" s="4" t="s">
        <v>1135</v>
      </c>
      <c r="C284" s="4" t="s">
        <v>1136</v>
      </c>
      <c r="D284" s="4" t="s">
        <v>1137</v>
      </c>
      <c r="E284" s="3">
        <f>VLOOKUP($B284,temporalBoundaries!$A:$G,6,0)</f>
        <v>10100419</v>
      </c>
      <c r="F284" s="3">
        <f>VLOOKUP($B284,temporalBoundaries!$A:$G,7,0)</f>
        <v>18010521</v>
      </c>
      <c r="G284" s="1">
        <v>9</v>
      </c>
    </row>
    <row r="285" ht="16.5" customHeight="1">
      <c r="A285" s="3" t="s">
        <v>1138</v>
      </c>
      <c r="B285" s="3" t="s">
        <v>1139</v>
      </c>
      <c r="C285" s="3" t="s">
        <v>1140</v>
      </c>
      <c r="D285" s="3" t="s">
        <v>1141</v>
      </c>
      <c r="E285" s="3">
        <f>VLOOKUP($B285,temporalBoundaries!$A:$G,6,0)</f>
        <v>13560305</v>
      </c>
      <c r="F285" s="3">
        <f>VLOOKUP($B285,temporalBoundaries!$A:$G,7,0)</f>
        <v>18020603</v>
      </c>
      <c r="G285" s="1">
        <v>1</v>
      </c>
    </row>
    <row r="286" ht="16.5" customHeight="1">
      <c r="A286" s="3" t="s">
        <v>1142</v>
      </c>
      <c r="B286" s="3" t="s">
        <v>1143</v>
      </c>
      <c r="C286" s="3" t="s">
        <v>1144</v>
      </c>
      <c r="D286" s="3" t="s">
        <v>1145</v>
      </c>
      <c r="E286" s="3">
        <f>VLOOKUP($B286,temporalBoundaries!$A:$G,6,0)</f>
        <v>12000409</v>
      </c>
      <c r="F286" s="3">
        <f>VLOOKUP($B286,temporalBoundaries!$A:$G,7,0)</f>
        <v>17960807</v>
      </c>
      <c r="G286" s="1">
        <v>18</v>
      </c>
    </row>
    <row r="287" ht="16.5" customHeight="1">
      <c r="A287" s="3" t="s">
        <v>1146</v>
      </c>
      <c r="B287" s="3" t="s">
        <v>1147</v>
      </c>
      <c r="C287" s="3" t="s">
        <v>1148</v>
      </c>
      <c r="D287" s="3" t="s">
        <v>1149</v>
      </c>
      <c r="E287" s="3" t="e">
        <f>VLOOKUP($B287,temporalBoundaries!$A:$G,6,0)</f>
        <v>#N/A</v>
      </c>
      <c r="F287" s="3" t="e">
        <f>VLOOKUP($B287,temporalBoundaries!$A:$G,7,0)</f>
        <v>#N/A</v>
      </c>
      <c r="G287" s="1"/>
    </row>
    <row r="288" ht="16.5" customHeight="1">
      <c r="A288" s="4" t="s">
        <v>1150</v>
      </c>
      <c r="B288" s="4" t="s">
        <v>1151</v>
      </c>
      <c r="C288" s="4" t="s">
        <v>1152</v>
      </c>
      <c r="D288" s="4" t="s">
        <v>1153</v>
      </c>
      <c r="E288" s="3">
        <f>VLOOKUP($B288,temporalBoundaries!$A:$G,6,0)</f>
        <v>11370101</v>
      </c>
      <c r="F288" s="3">
        <f>VLOOKUP($B288,temporalBoundaries!$A:$G,7,0)</f>
        <v>18000501</v>
      </c>
      <c r="G288" s="1">
        <v>37</v>
      </c>
    </row>
    <row r="289" ht="16.5" customHeight="1">
      <c r="A289" s="4" t="s">
        <v>1154</v>
      </c>
      <c r="B289" s="4" t="s">
        <v>1155</v>
      </c>
      <c r="C289" s="4" t="s">
        <v>1156</v>
      </c>
      <c r="D289" s="4" t="s">
        <v>1157</v>
      </c>
      <c r="E289" s="3">
        <f>VLOOKUP($B289,temporalBoundaries!$A:$G,6,0)</f>
        <v>11470101</v>
      </c>
      <c r="F289" s="3">
        <f>VLOOKUP($B289,temporalBoundaries!$A:$G,7,0)</f>
        <v>17850503</v>
      </c>
      <c r="G289" s="1">
        <v>32</v>
      </c>
    </row>
    <row r="290" ht="16.5" customHeight="1">
      <c r="A290" s="3" t="s">
        <v>1158</v>
      </c>
      <c r="B290" s="3" t="s">
        <v>1159</v>
      </c>
      <c r="C290" s="3" t="s">
        <v>1160</v>
      </c>
      <c r="D290" s="3" t="s">
        <v>1161</v>
      </c>
      <c r="E290" s="3">
        <f>VLOOKUP($B290,temporalBoundaries!$A:$G,6,0)</f>
        <v>11580522</v>
      </c>
      <c r="F290" s="3">
        <f>VLOOKUP($B290,temporalBoundaries!$A:$G,7,0)</f>
        <v>17940225</v>
      </c>
      <c r="G290" s="1">
        <v>12</v>
      </c>
    </row>
    <row r="291" ht="16.5" customHeight="1">
      <c r="A291" s="4" t="s">
        <v>1162</v>
      </c>
      <c r="B291" s="4" t="s">
        <v>1163</v>
      </c>
      <c r="C291" s="4" t="s">
        <v>1164</v>
      </c>
      <c r="D291" s="4" t="s">
        <v>1165</v>
      </c>
      <c r="E291" s="3">
        <f>VLOOKUP($B291,temporalBoundaries!$A:$G,6,0)</f>
        <v>10930101</v>
      </c>
      <c r="F291" s="3">
        <f>VLOOKUP($B291,temporalBoundaries!$A:$G,7,0)</f>
        <v>18010827</v>
      </c>
      <c r="G291" s="1">
        <v>38</v>
      </c>
    </row>
    <row r="292" ht="16.5" customHeight="1">
      <c r="A292" s="3" t="s">
        <v>1166</v>
      </c>
      <c r="B292" s="3" t="s">
        <v>1167</v>
      </c>
      <c r="C292" s="3" t="s">
        <v>1168</v>
      </c>
      <c r="D292" s="3" t="s">
        <v>1169</v>
      </c>
      <c r="E292" s="3" t="e">
        <f>VLOOKUP($B292,temporalBoundaries!$A:$G,6,0)</f>
        <v>#N/A</v>
      </c>
      <c r="F292" s="3" t="e">
        <f>VLOOKUP($B292,temporalBoundaries!$A:$G,7,0)</f>
        <v>#N/A</v>
      </c>
      <c r="G292" s="1"/>
    </row>
    <row r="293" ht="16.5" customHeight="1">
      <c r="A293" s="4" t="s">
        <v>1170</v>
      </c>
      <c r="B293" s="4" t="s">
        <v>1171</v>
      </c>
      <c r="C293" s="4" t="s">
        <v>1172</v>
      </c>
      <c r="D293" s="4" t="s">
        <v>1173</v>
      </c>
      <c r="E293" s="3" t="e">
        <f>VLOOKUP($B293,temporalBoundaries!$A:$G,6,0)</f>
        <v>#N/A</v>
      </c>
      <c r="F293" s="3" t="e">
        <f>VLOOKUP($B293,temporalBoundaries!$A:$G,7,0)</f>
        <v>#N/A</v>
      </c>
      <c r="G293" s="1"/>
    </row>
    <row r="294" ht="16.5" customHeight="1">
      <c r="A294" s="3" t="s">
        <v>1174</v>
      </c>
      <c r="B294" s="3" t="s">
        <v>1175</v>
      </c>
      <c r="C294" s="3" t="s">
        <v>1176</v>
      </c>
      <c r="D294" s="3" t="s">
        <v>1177</v>
      </c>
      <c r="E294" s="3">
        <f>VLOOKUP($B294,temporalBoundaries!$A:$G,6,0)</f>
        <v>10361112</v>
      </c>
      <c r="F294" s="3">
        <f>VLOOKUP($B294,temporalBoundaries!$A:$G,7,0)</f>
        <v>17601010</v>
      </c>
      <c r="G294" s="1">
        <v>16</v>
      </c>
    </row>
    <row r="295" ht="16.5" customHeight="1">
      <c r="A295" s="4" t="s">
        <v>1178</v>
      </c>
      <c r="B295" s="4" t="s">
        <v>1179</v>
      </c>
      <c r="C295" s="4" t="s">
        <v>1180</v>
      </c>
      <c r="D295" s="4" t="s">
        <v>1181</v>
      </c>
      <c r="E295" s="3">
        <f>VLOOKUP($B295,temporalBoundaries!$A:$G,6,0)</f>
        <v>12230201</v>
      </c>
      <c r="F295" s="3">
        <f>VLOOKUP($B295,temporalBoundaries!$A:$G,7,0)</f>
        <v>12230201</v>
      </c>
      <c r="G295" s="1">
        <v>45</v>
      </c>
    </row>
    <row r="296" ht="16.5" customHeight="1">
      <c r="A296" s="3" t="s">
        <v>1182</v>
      </c>
      <c r="B296" s="3" t="s">
        <v>1183</v>
      </c>
      <c r="C296" s="3" t="s">
        <v>1184</v>
      </c>
      <c r="D296" s="3" t="s">
        <v>1185</v>
      </c>
      <c r="E296" s="3">
        <f>VLOOKUP($B296,temporalBoundaries!$A:$G,6,0)</f>
        <v>11090414</v>
      </c>
      <c r="F296" s="3">
        <f>VLOOKUP($B296,temporalBoundaries!$A:$G,7,0)</f>
        <v>16121124</v>
      </c>
      <c r="G296" s="1"/>
    </row>
    <row r="297" ht="16.5" customHeight="1">
      <c r="A297" s="4" t="s">
        <v>1186</v>
      </c>
      <c r="B297" s="4" t="s">
        <v>1187</v>
      </c>
      <c r="C297" s="4" t="s">
        <v>1188</v>
      </c>
      <c r="D297" s="4" t="s">
        <v>1189</v>
      </c>
      <c r="E297" s="3">
        <f>VLOOKUP($B297,temporalBoundaries!$A:$G,6,0)</f>
        <v>11151101</v>
      </c>
      <c r="F297" s="3">
        <f>VLOOKUP($B297,temporalBoundaries!$A:$G,7,0)</f>
        <v>17970127</v>
      </c>
      <c r="G297" s="1"/>
    </row>
    <row r="298" ht="16.5" customHeight="1">
      <c r="A298" s="3" t="s">
        <v>1190</v>
      </c>
      <c r="B298" s="3" t="s">
        <v>1191</v>
      </c>
      <c r="C298" s="3" t="s">
        <v>1192</v>
      </c>
      <c r="D298" s="3" t="s">
        <v>1193</v>
      </c>
      <c r="E298" s="3">
        <f>VLOOKUP($B298,temporalBoundaries!$A:$G,6,0)</f>
        <v>11510202</v>
      </c>
      <c r="F298" s="3">
        <f>VLOOKUP($B298,temporalBoundaries!$A:$G,7,0)</f>
        <v>17951030</v>
      </c>
      <c r="G298" s="1">
        <v>11</v>
      </c>
    </row>
    <row r="299" ht="16.5" customHeight="1">
      <c r="A299" s="4" t="s">
        <v>1194</v>
      </c>
      <c r="B299" s="4" t="s">
        <v>1195</v>
      </c>
      <c r="C299" s="4" t="s">
        <v>1196</v>
      </c>
      <c r="D299" s="4" t="s">
        <v>1197</v>
      </c>
      <c r="E299" s="3" t="e">
        <f>VLOOKUP($B299,temporalBoundaries!$A:$G,6,0)</f>
        <v>#N/A</v>
      </c>
      <c r="F299" s="3" t="e">
        <f>VLOOKUP($B299,temporalBoundaries!$A:$G,7,0)</f>
        <v>#N/A</v>
      </c>
      <c r="G299" s="1"/>
    </row>
    <row r="300" ht="16.5" customHeight="1">
      <c r="A300" s="3" t="s">
        <v>1198</v>
      </c>
      <c r="B300" s="3" t="s">
        <v>1199</v>
      </c>
      <c r="C300" s="3" t="s">
        <v>1200</v>
      </c>
      <c r="D300" s="3" t="s">
        <v>1201</v>
      </c>
      <c r="E300" s="3" t="e">
        <f>VLOOKUP($B300,temporalBoundaries!$A:$G,6,0)</f>
        <v>#N/A</v>
      </c>
      <c r="F300" s="3" t="e">
        <f>VLOOKUP($B300,temporalBoundaries!$A:$G,7,0)</f>
        <v>#N/A</v>
      </c>
      <c r="G300" s="1"/>
    </row>
    <row r="301" ht="16.5" customHeight="1">
      <c r="A301" s="4" t="s">
        <v>1202</v>
      </c>
      <c r="B301" s="4" t="s">
        <v>1203</v>
      </c>
      <c r="C301" s="4" t="s">
        <v>1204</v>
      </c>
      <c r="D301" s="4" t="s">
        <v>1205</v>
      </c>
      <c r="E301" s="3" t="e">
        <f>VLOOKUP($B301,temporalBoundaries!$A:$G,6,0)</f>
        <v>#N/A</v>
      </c>
      <c r="F301" s="3" t="e">
        <f>VLOOKUP($B301,temporalBoundaries!$A:$G,7,0)</f>
        <v>#N/A</v>
      </c>
      <c r="G301" s="1"/>
    </row>
    <row r="302" ht="16.5" customHeight="1">
      <c r="A302" s="3" t="s">
        <v>1206</v>
      </c>
      <c r="B302" s="3" t="s">
        <v>1207</v>
      </c>
      <c r="C302" s="3" t="s">
        <v>1208</v>
      </c>
      <c r="D302" s="3" t="s">
        <v>1209</v>
      </c>
      <c r="E302" s="3" t="e">
        <f>VLOOKUP($B302,temporalBoundaries!$A:$G,6,0)</f>
        <v>#N/A</v>
      </c>
      <c r="F302" s="3" t="e">
        <f>VLOOKUP($B302,temporalBoundaries!$A:$G,7,0)</f>
        <v>#N/A</v>
      </c>
      <c r="G302" s="1"/>
    </row>
    <row r="303" ht="16.5" customHeight="1">
      <c r="A303" s="4" t="s">
        <v>1210</v>
      </c>
      <c r="B303" s="4" t="s">
        <v>1211</v>
      </c>
      <c r="C303" s="4" t="s">
        <v>1212</v>
      </c>
      <c r="D303" s="4" t="s">
        <v>1213</v>
      </c>
      <c r="E303" s="3" t="e">
        <f>VLOOKUP($B303,temporalBoundaries!$A:$G,6,0)</f>
        <v>#N/A</v>
      </c>
      <c r="F303" s="3" t="e">
        <f>VLOOKUP($B303,temporalBoundaries!$A:$G,7,0)</f>
        <v>#N/A</v>
      </c>
      <c r="G303" s="1"/>
    </row>
    <row r="304" ht="16.5" customHeight="1">
      <c r="A304" s="3" t="s">
        <v>1214</v>
      </c>
      <c r="B304" s="3" t="s">
        <v>1215</v>
      </c>
      <c r="C304" s="3" t="s">
        <v>1216</v>
      </c>
      <c r="D304" s="3" t="s">
        <v>1217</v>
      </c>
      <c r="E304" s="3" t="e">
        <f>VLOOKUP($B304,temporalBoundaries!$A:$G,6,0)</f>
        <v>#N/A</v>
      </c>
      <c r="F304" s="3" t="e">
        <f>VLOOKUP($B304,temporalBoundaries!$A:$G,7,0)</f>
        <v>#N/A</v>
      </c>
      <c r="G304" s="1"/>
    </row>
    <row r="305" ht="16.5" customHeight="1">
      <c r="A305" s="4" t="s">
        <v>1218</v>
      </c>
      <c r="B305" s="4" t="s">
        <v>1219</v>
      </c>
      <c r="C305" s="4" t="s">
        <v>1220</v>
      </c>
      <c r="D305" s="4" t="s">
        <v>1221</v>
      </c>
      <c r="E305" s="3">
        <f>VLOOKUP($B305,temporalBoundaries!$A:$G,6,0)</f>
        <v>12370725</v>
      </c>
      <c r="F305" s="3">
        <f>VLOOKUP($B305,temporalBoundaries!$A:$G,7,0)</f>
        <v>17991016</v>
      </c>
      <c r="G305" s="1">
        <v>13</v>
      </c>
    </row>
    <row r="306" ht="16.5" customHeight="1">
      <c r="A306" s="3" t="s">
        <v>1222</v>
      </c>
      <c r="B306" s="3" t="s">
        <v>1223</v>
      </c>
      <c r="C306" s="3" t="s">
        <v>1224</v>
      </c>
      <c r="D306" s="3" t="s">
        <v>1225</v>
      </c>
      <c r="E306" s="3" t="e">
        <f>VLOOKUP($B306,temporalBoundaries!$A:$G,6,0)</f>
        <v>#N/A</v>
      </c>
      <c r="F306" s="3" t="e">
        <f>VLOOKUP($B306,temporalBoundaries!$A:$G,7,0)</f>
        <v>#N/A</v>
      </c>
      <c r="G306" s="1"/>
    </row>
    <row r="307" ht="16.5" customHeight="1">
      <c r="A307" s="4" t="s">
        <v>1226</v>
      </c>
      <c r="B307" s="4" t="s">
        <v>1227</v>
      </c>
      <c r="C307" s="4" t="s">
        <v>1228</v>
      </c>
      <c r="D307" s="4" t="s">
        <v>1229</v>
      </c>
      <c r="E307" s="3" t="e">
        <f>VLOOKUP($B307,temporalBoundaries!$A:$G,6,0)</f>
        <v>#N/A</v>
      </c>
      <c r="F307" s="3" t="e">
        <f>VLOOKUP($B307,temporalBoundaries!$A:$G,7,0)</f>
        <v>#N/A</v>
      </c>
      <c r="G307" s="1"/>
    </row>
    <row r="308" ht="16.5" customHeight="1">
      <c r="A308" s="3" t="s">
        <v>1230</v>
      </c>
      <c r="B308" s="3" t="s">
        <v>1231</v>
      </c>
      <c r="C308" s="3" t="s">
        <v>1232</v>
      </c>
      <c r="D308" s="3" t="s">
        <v>1233</v>
      </c>
      <c r="E308" s="3" t="e">
        <f>VLOOKUP($B308,temporalBoundaries!$A:$G,6,0)</f>
        <v>#N/A</v>
      </c>
      <c r="F308" s="3" t="e">
        <f>VLOOKUP($B308,temporalBoundaries!$A:$G,7,0)</f>
        <v>#N/A</v>
      </c>
      <c r="G308" s="1"/>
    </row>
    <row r="309" ht="16.5" customHeight="1">
      <c r="A309" s="4" t="s">
        <v>1234</v>
      </c>
      <c r="B309" s="4" t="s">
        <v>1235</v>
      </c>
      <c r="C309" s="4" t="s">
        <v>1236</v>
      </c>
      <c r="D309" s="4" t="s">
        <v>1237</v>
      </c>
      <c r="E309" s="3" t="e">
        <f>VLOOKUP($B309,temporalBoundaries!$A:$G,6,0)</f>
        <v>#N/A</v>
      </c>
      <c r="F309" s="3" t="e">
        <f>VLOOKUP($B309,temporalBoundaries!$A:$G,7,0)</f>
        <v>#N/A</v>
      </c>
      <c r="G309" s="1"/>
    </row>
    <row r="310" ht="16.5" customHeight="1">
      <c r="A310" s="3" t="s">
        <v>1238</v>
      </c>
      <c r="B310" s="3" t="s">
        <v>1239</v>
      </c>
      <c r="C310" s="3" t="s">
        <v>1240</v>
      </c>
      <c r="D310" s="3" t="s">
        <v>1241</v>
      </c>
      <c r="E310" s="3" t="e">
        <f>VLOOKUP($B310,temporalBoundaries!$A:$G,6,0)</f>
        <v>#N/A</v>
      </c>
      <c r="F310" s="3" t="e">
        <f>VLOOKUP($B310,temporalBoundaries!$A:$G,7,0)</f>
        <v>#N/A</v>
      </c>
      <c r="G310" s="1"/>
    </row>
    <row r="311" ht="16.5" customHeight="1">
      <c r="A311" s="4" t="s">
        <v>1242</v>
      </c>
      <c r="B311" s="4" t="s">
        <v>1243</v>
      </c>
      <c r="C311" s="4" t="s">
        <v>1244</v>
      </c>
      <c r="D311" s="4" t="s">
        <v>1245</v>
      </c>
      <c r="E311" s="3" t="e">
        <f>VLOOKUP($B311,temporalBoundaries!$A:$G,6,0)</f>
        <v>#N/A</v>
      </c>
      <c r="F311" s="3" t="e">
        <f>VLOOKUP($B311,temporalBoundaries!$A:$G,7,0)</f>
        <v>#N/A</v>
      </c>
      <c r="G311" s="1"/>
    </row>
    <row r="312" ht="16.5" customHeight="1">
      <c r="A312" s="3" t="s">
        <v>1246</v>
      </c>
      <c r="B312" s="3" t="s">
        <v>1247</v>
      </c>
      <c r="C312" s="3" t="s">
        <v>1248</v>
      </c>
      <c r="D312" s="3" t="s">
        <v>1249</v>
      </c>
      <c r="E312" s="3" t="e">
        <f>VLOOKUP($B312,temporalBoundaries!$A:$G,6,0)</f>
        <v>#N/A</v>
      </c>
      <c r="F312" s="3" t="e">
        <f>VLOOKUP($B312,temporalBoundaries!$A:$G,7,0)</f>
        <v>#N/A</v>
      </c>
      <c r="G312" s="1"/>
    </row>
    <row r="313" ht="16.5" customHeight="1">
      <c r="A313" s="4" t="s">
        <v>1250</v>
      </c>
      <c r="B313" s="4" t="s">
        <v>1251</v>
      </c>
      <c r="C313" s="4" t="s">
        <v>1252</v>
      </c>
      <c r="D313" s="4" t="s">
        <v>1253</v>
      </c>
      <c r="E313" s="3" t="e">
        <f>VLOOKUP($B313,temporalBoundaries!$A:$G,6,0)</f>
        <v>#N/A</v>
      </c>
      <c r="F313" s="3" t="e">
        <f>VLOOKUP($B313,temporalBoundaries!$A:$G,7,0)</f>
        <v>#N/A</v>
      </c>
      <c r="G313" s="1"/>
    </row>
    <row r="314" ht="16.5" customHeight="1">
      <c r="A314" s="3" t="s">
        <v>1254</v>
      </c>
      <c r="B314" s="3" t="s">
        <v>1255</v>
      </c>
      <c r="C314" s="3" t="s">
        <v>1256</v>
      </c>
      <c r="D314" s="3" t="s">
        <v>1257</v>
      </c>
      <c r="E314" s="3">
        <f>VLOOKUP($B314,temporalBoundaries!$A:$G,6,0)</f>
        <v>15961231</v>
      </c>
      <c r="F314" s="3">
        <f>VLOOKUP($B314,temporalBoundaries!$A:$G,7,0)</f>
        <v>16121231</v>
      </c>
      <c r="G314" s="1"/>
    </row>
    <row r="315" ht="16.5" customHeight="1">
      <c r="A315" s="4" t="s">
        <v>1258</v>
      </c>
      <c r="B315" s="4" t="s">
        <v>1259</v>
      </c>
      <c r="C315" s="4" t="s">
        <v>1260</v>
      </c>
      <c r="D315" s="4" t="s">
        <v>1261</v>
      </c>
      <c r="E315" s="3" t="e">
        <f>VLOOKUP($B315,temporalBoundaries!$A:$G,6,0)</f>
        <v>#N/A</v>
      </c>
      <c r="F315" s="3" t="e">
        <f>VLOOKUP($B315,temporalBoundaries!$A:$G,7,0)</f>
        <v>#N/A</v>
      </c>
      <c r="G315" s="1"/>
    </row>
    <row r="316" ht="16.5" customHeight="1">
      <c r="A316" s="3" t="s">
        <v>1262</v>
      </c>
      <c r="B316" s="3" t="s">
        <v>1263</v>
      </c>
      <c r="C316" s="3" t="s">
        <v>1264</v>
      </c>
      <c r="D316" s="3" t="s">
        <v>1265</v>
      </c>
      <c r="E316" s="3" t="e">
        <f>VLOOKUP($B316,temporalBoundaries!$A:$G,6,0)</f>
        <v>#N/A</v>
      </c>
      <c r="F316" s="3" t="e">
        <f>VLOOKUP($B316,temporalBoundaries!$A:$G,7,0)</f>
        <v>#N/A</v>
      </c>
      <c r="G316" s="1"/>
    </row>
    <row r="317" ht="16.5" customHeight="1">
      <c r="A317" s="4" t="s">
        <v>1266</v>
      </c>
      <c r="B317" s="4" t="s">
        <v>1267</v>
      </c>
      <c r="C317" s="4" t="s">
        <v>1268</v>
      </c>
      <c r="D317" s="4" t="s">
        <v>1269</v>
      </c>
      <c r="E317" s="3" t="e">
        <f>VLOOKUP($B317,temporalBoundaries!$A:$G,6,0)</f>
        <v>#N/A</v>
      </c>
      <c r="F317" s="3" t="e">
        <f>VLOOKUP($B317,temporalBoundaries!$A:$G,7,0)</f>
        <v>#N/A</v>
      </c>
      <c r="G317" s="1"/>
    </row>
    <row r="318" ht="16.5" customHeight="1">
      <c r="A318" s="3" t="s">
        <v>1270</v>
      </c>
      <c r="B318" s="3" t="s">
        <v>1271</v>
      </c>
      <c r="C318" s="3" t="s">
        <v>1272</v>
      </c>
      <c r="D318" s="3" t="s">
        <v>1273</v>
      </c>
      <c r="E318" s="3" t="e">
        <f>VLOOKUP($B318,temporalBoundaries!$A:$G,6,0)</f>
        <v>#N/A</v>
      </c>
      <c r="F318" s="3" t="e">
        <f>VLOOKUP($B318,temporalBoundaries!$A:$G,7,0)</f>
        <v>#N/A</v>
      </c>
      <c r="G318" s="1"/>
    </row>
    <row r="319" ht="16.5" customHeight="1">
      <c r="A319" s="4" t="s">
        <v>1274</v>
      </c>
      <c r="B319" s="4" t="s">
        <v>1275</v>
      </c>
      <c r="C319" s="4" t="s">
        <v>1276</v>
      </c>
      <c r="D319" s="4" t="s">
        <v>1277</v>
      </c>
      <c r="E319" s="3">
        <f>VLOOKUP($B319,temporalBoundaries!$A:$G,6,0)</f>
        <v>12980110</v>
      </c>
      <c r="F319" s="3">
        <f>VLOOKUP($B319,temporalBoundaries!$A:$G,7,0)</f>
        <v>17790507</v>
      </c>
      <c r="G319" s="1"/>
    </row>
    <row r="320" ht="16.5" customHeight="1">
      <c r="A320" s="3" t="s">
        <v>1278</v>
      </c>
      <c r="B320" s="3" t="s">
        <v>1279</v>
      </c>
      <c r="C320" s="3" t="s">
        <v>1280</v>
      </c>
      <c r="D320" s="3" t="s">
        <v>1281</v>
      </c>
      <c r="E320" s="3">
        <f>VLOOKUP($B320,temporalBoundaries!$A:$G,6,0)</f>
        <v>11940102</v>
      </c>
      <c r="F320" s="3">
        <f>VLOOKUP($B320,temporalBoundaries!$A:$G,7,0)</f>
        <v>18030120</v>
      </c>
      <c r="G320" s="1"/>
    </row>
    <row r="321" ht="16.5" customHeight="1">
      <c r="A321" s="4" t="s">
        <v>1282</v>
      </c>
      <c r="B321" s="4" t="s">
        <v>1283</v>
      </c>
      <c r="C321" s="4" t="s">
        <v>1284</v>
      </c>
      <c r="D321" s="4" t="s">
        <v>1285</v>
      </c>
      <c r="E321" s="3">
        <f>VLOOKUP($B321,temporalBoundaries!$A:$G,6,0)</f>
        <v>12320711</v>
      </c>
      <c r="F321" s="3">
        <f>VLOOKUP($B321,temporalBoundaries!$A:$G,7,0)</f>
        <v>17811111</v>
      </c>
      <c r="G321" s="1"/>
    </row>
    <row r="322" ht="16.5" customHeight="1">
      <c r="A322" s="3" t="s">
        <v>1286</v>
      </c>
      <c r="B322" s="3" t="s">
        <v>1287</v>
      </c>
      <c r="C322" s="3" t="s">
        <v>1288</v>
      </c>
      <c r="D322" s="3" t="s">
        <v>1289</v>
      </c>
      <c r="E322" s="3">
        <f>VLOOKUP($B322,temporalBoundaries!$A:$G,6,0)</f>
        <v>10070527</v>
      </c>
      <c r="F322" s="3">
        <f>VLOOKUP($B322,temporalBoundaries!$A:$G,7,0)</f>
        <v>17610530</v>
      </c>
      <c r="G322" s="1"/>
    </row>
    <row r="323" ht="16.5" customHeight="1">
      <c r="A323" s="4" t="s">
        <v>1290</v>
      </c>
      <c r="B323" s="4" t="s">
        <v>1291</v>
      </c>
      <c r="C323" s="4" t="s">
        <v>1292</v>
      </c>
      <c r="D323" s="4" t="s">
        <v>1293</v>
      </c>
      <c r="E323" s="3">
        <f>VLOOKUP($B323,temporalBoundaries!$A:$G,6,0)</f>
        <v>10540710</v>
      </c>
      <c r="F323" s="3">
        <f>VLOOKUP($B323,temporalBoundaries!$A:$G,7,0)</f>
        <v>18010917</v>
      </c>
      <c r="G323" s="1"/>
    </row>
    <row r="324" ht="16.5" customHeight="1">
      <c r="A324" s="4" t="s">
        <v>1294</v>
      </c>
      <c r="B324" s="4" t="s">
        <v>1295</v>
      </c>
      <c r="C324" s="4" t="s">
        <v>1296</v>
      </c>
      <c r="D324" s="4" t="s">
        <v>1297</v>
      </c>
      <c r="E324" s="3">
        <f>VLOOKUP($B324,temporalBoundaries!$A:$G,6,0)</f>
        <v>11399999</v>
      </c>
      <c r="F324" s="3">
        <f>VLOOKUP($B324,temporalBoundaries!$A:$G,7,0)</f>
        <v>17740601</v>
      </c>
      <c r="G324" s="1"/>
    </row>
    <row r="325" ht="16.5" customHeight="1">
      <c r="A325" s="4" t="s">
        <v>1298</v>
      </c>
      <c r="B325" s="4" t="s">
        <v>1299</v>
      </c>
      <c r="C325" s="4" t="s">
        <v>1300</v>
      </c>
      <c r="D325" s="4" t="s">
        <v>1301</v>
      </c>
      <c r="E325" s="3">
        <f>VLOOKUP($B325,temporalBoundaries!$A:$G,6,0)</f>
        <v>13170609</v>
      </c>
      <c r="F325" s="3">
        <f>VLOOKUP($B325,temporalBoundaries!$A:$G,7,0)</f>
        <v>17900299</v>
      </c>
      <c r="G325" s="1"/>
    </row>
    <row r="326" ht="16.5" customHeight="1">
      <c r="A326" s="4" t="s">
        <v>1302</v>
      </c>
      <c r="B326" s="4" t="s">
        <v>1303</v>
      </c>
      <c r="C326" s="4" t="s">
        <v>1304</v>
      </c>
      <c r="D326" s="4" t="s">
        <v>1305</v>
      </c>
      <c r="E326" s="3">
        <f>VLOOKUP($B326,temporalBoundaries!$A:$G,6,0)</f>
        <v>12440415</v>
      </c>
      <c r="F326" s="3">
        <f>VLOOKUP($B326,temporalBoundaries!$A:$G,7,0)</f>
        <v>15520114</v>
      </c>
      <c r="G326" s="1">
        <v>3</v>
      </c>
    </row>
    <row r="327" ht="16.5" customHeight="1">
      <c r="A327" s="4" t="s">
        <v>1306</v>
      </c>
      <c r="B327" s="4" t="s">
        <v>1307</v>
      </c>
      <c r="C327" s="4" t="s">
        <v>1308</v>
      </c>
      <c r="D327" s="4" t="s">
        <v>1309</v>
      </c>
      <c r="E327" s="3">
        <f>VLOOKUP($B327,temporalBoundaries!$A:$G,6,0)</f>
        <v>13260215</v>
      </c>
      <c r="F327" s="3">
        <f>VLOOKUP($B327,temporalBoundaries!$A:$G,7,0)</f>
        <v>15530501</v>
      </c>
      <c r="G327" s="1"/>
    </row>
    <row r="328" ht="16.5" customHeight="1">
      <c r="A328" s="4" t="s">
        <v>1310</v>
      </c>
      <c r="B328" s="4" t="s">
        <v>1311</v>
      </c>
      <c r="C328" s="4" t="s">
        <v>1312</v>
      </c>
      <c r="D328" s="4" t="s">
        <v>1313</v>
      </c>
      <c r="E328" s="3">
        <f>VLOOKUP($B328,temporalBoundaries!$A:$G,6,0)</f>
        <v>13930615</v>
      </c>
      <c r="F328" s="3">
        <f>VLOOKUP($B328,temporalBoundaries!$A:$G,7,0)</f>
        <v>15510218</v>
      </c>
      <c r="G328" s="1"/>
    </row>
    <row r="329" ht="16.5" customHeight="1">
      <c r="A329" s="3" t="s">
        <v>1314</v>
      </c>
      <c r="B329" s="3" t="s">
        <v>1315</v>
      </c>
      <c r="C329" s="3" t="s">
        <v>1316</v>
      </c>
      <c r="D329" s="3" t="s">
        <v>1317</v>
      </c>
      <c r="E329" s="3">
        <f>VLOOKUP($B329,temporalBoundaries!$A:$G,6,0)</f>
        <v>11791231</v>
      </c>
      <c r="F329" s="3">
        <f>VLOOKUP($B329,temporalBoundaries!$A:$G,7,0)</f>
        <v>16001231</v>
      </c>
      <c r="G329" s="1">
        <v>3</v>
      </c>
    </row>
    <row r="330" ht="16.5" customHeight="1">
      <c r="A330" s="4" t="s">
        <v>1318</v>
      </c>
      <c r="B330" s="4" t="s">
        <v>1319</v>
      </c>
      <c r="C330" s="4" t="s">
        <v>1320</v>
      </c>
      <c r="D330" s="4" t="s">
        <v>1321</v>
      </c>
      <c r="E330" s="3">
        <f>VLOOKUP($B330,temporalBoundaries!$A:$G,6,0)</f>
        <v>11010401</v>
      </c>
      <c r="F330" s="3">
        <f>VLOOKUP($B330,temporalBoundaries!$A:$G,7,0)</f>
        <v>16990101</v>
      </c>
      <c r="G330" s="1"/>
    </row>
    <row r="331" ht="16.5" customHeight="1">
      <c r="A331" s="3" t="s">
        <v>1322</v>
      </c>
      <c r="B331" s="3" t="s">
        <v>1323</v>
      </c>
      <c r="C331" s="3" t="s">
        <v>1324</v>
      </c>
      <c r="D331" s="3" t="s">
        <v>1325</v>
      </c>
      <c r="E331" s="3">
        <f>VLOOKUP($B331,temporalBoundaries!$A:$G,6,0)</f>
        <v>8860817</v>
      </c>
      <c r="F331" s="3">
        <f>VLOOKUP($B331,temporalBoundaries!$A:$G,7,0)</f>
        <v>16000621</v>
      </c>
      <c r="G331" s="1"/>
    </row>
    <row r="332" ht="16.5" customHeight="1">
      <c r="A332" s="4" t="s">
        <v>1326</v>
      </c>
      <c r="B332" s="4" t="s">
        <v>1327</v>
      </c>
      <c r="C332" s="4" t="s">
        <v>1328</v>
      </c>
      <c r="D332" s="4" t="s">
        <v>1329</v>
      </c>
      <c r="E332" s="3">
        <f>VLOOKUP($B332,temporalBoundaries!$A:$G,6,0)</f>
        <v>11390109</v>
      </c>
      <c r="F332" s="3">
        <f>VLOOKUP($B332,temporalBoundaries!$A:$G,7,0)</f>
        <v>13890721</v>
      </c>
      <c r="G332" s="1"/>
    </row>
    <row r="333" ht="16.5" customHeight="1">
      <c r="A333" s="3" t="s">
        <v>1330</v>
      </c>
      <c r="B333" s="3" t="s">
        <v>1331</v>
      </c>
      <c r="C333" s="3" t="s">
        <v>1332</v>
      </c>
      <c r="D333" s="3" t="s">
        <v>1333</v>
      </c>
      <c r="E333" s="3">
        <f>VLOOKUP($B333,temporalBoundaries!$A:$G,6,0)</f>
        <v>12270430</v>
      </c>
      <c r="F333" s="3">
        <f>VLOOKUP($B333,temporalBoundaries!$A:$G,7,0)</f>
        <v>15260626</v>
      </c>
      <c r="G333" s="1"/>
    </row>
    <row r="334" ht="16.5" customHeight="1">
      <c r="A334" s="4" t="s">
        <v>1334</v>
      </c>
      <c r="B334" s="4" t="s">
        <v>1335</v>
      </c>
      <c r="C334" s="4" t="s">
        <v>1336</v>
      </c>
      <c r="D334" s="4" t="s">
        <v>1337</v>
      </c>
      <c r="E334" s="3">
        <f>VLOOKUP($B334,temporalBoundaries!$A:$G,6,0)</f>
        <v>10821218</v>
      </c>
      <c r="F334" s="3">
        <f>VLOOKUP($B334,temporalBoundaries!$A:$G,7,0)</f>
        <v>14831026</v>
      </c>
      <c r="G334" s="1"/>
    </row>
    <row r="335" ht="16.5" customHeight="1">
      <c r="A335" s="3" t="s">
        <v>1338</v>
      </c>
      <c r="B335" s="3" t="s">
        <v>1339</v>
      </c>
      <c r="C335" s="3" t="s">
        <v>1340</v>
      </c>
      <c r="D335" s="3" t="s">
        <v>1341</v>
      </c>
      <c r="E335" s="3">
        <f>VLOOKUP($B335,temporalBoundaries!$A:$G,6,0)</f>
        <v>10250831</v>
      </c>
      <c r="F335" s="3">
        <f>VLOOKUP($B335,temporalBoundaries!$A:$G,7,0)</f>
        <v>16800415</v>
      </c>
      <c r="G335" s="1"/>
    </row>
    <row r="336" ht="16.5" customHeight="1">
      <c r="A336" s="4" t="s">
        <v>1342</v>
      </c>
      <c r="B336" s="4" t="s">
        <v>1343</v>
      </c>
      <c r="C336" s="4" t="s">
        <v>1344</v>
      </c>
      <c r="D336" s="4" t="s">
        <v>1345</v>
      </c>
      <c r="E336" s="3">
        <f>VLOOKUP($B336,temporalBoundaries!$A:$G,6,0)</f>
        <v>9630624</v>
      </c>
      <c r="F336" s="3">
        <f>VLOOKUP($B336,temporalBoundaries!$A:$G,7,0)</f>
        <v>17170605</v>
      </c>
      <c r="G336" s="1"/>
    </row>
    <row r="337" ht="16.5" customHeight="1">
      <c r="A337" s="3" t="s">
        <v>1346</v>
      </c>
      <c r="B337" s="3" t="s">
        <v>1347</v>
      </c>
      <c r="C337" s="3" t="s">
        <v>1348</v>
      </c>
      <c r="D337" s="3" t="s">
        <v>1349</v>
      </c>
      <c r="E337" s="3">
        <f>VLOOKUP($B337,temporalBoundaries!$A:$G,6,0)</f>
        <v>11550204</v>
      </c>
      <c r="F337" s="3">
        <f>VLOOKUP($B337,temporalBoundaries!$A:$G,7,0)</f>
        <v>14360901</v>
      </c>
      <c r="G337" s="1"/>
    </row>
    <row r="338" ht="16.5" customHeight="1">
      <c r="A338" s="4" t="s">
        <v>1350</v>
      </c>
      <c r="B338" s="4" t="s">
        <v>1351</v>
      </c>
      <c r="C338" s="4" t="s">
        <v>1352</v>
      </c>
      <c r="D338" s="4" t="s">
        <v>1353</v>
      </c>
      <c r="E338" s="3">
        <f>VLOOKUP($B338,temporalBoundaries!$A:$G,6,0)</f>
        <v>9211012</v>
      </c>
      <c r="F338" s="3">
        <f>VLOOKUP($B338,temporalBoundaries!$A:$G,7,0)</f>
        <v>16860820</v>
      </c>
      <c r="G338" s="1"/>
    </row>
    <row r="339" ht="16.5" customHeight="1">
      <c r="A339" s="3" t="s">
        <v>1354</v>
      </c>
      <c r="B339" s="3" t="s">
        <v>1355</v>
      </c>
      <c r="C339" s="3" t="s">
        <v>1356</v>
      </c>
      <c r="D339" s="3" t="s">
        <v>1357</v>
      </c>
      <c r="E339" s="3">
        <f>VLOOKUP($B339,temporalBoundaries!$A:$G,6,0)</f>
        <v>10930606</v>
      </c>
      <c r="F339" s="3">
        <f>VLOOKUP($B339,temporalBoundaries!$A:$G,7,0)</f>
        <v>14000414</v>
      </c>
      <c r="G339" s="1"/>
    </row>
    <row r="340" ht="16.5" customHeight="1">
      <c r="A340" s="4" t="s">
        <v>1358</v>
      </c>
      <c r="B340" s="4" t="s">
        <v>1359</v>
      </c>
      <c r="C340" s="4" t="s">
        <v>1360</v>
      </c>
      <c r="D340" s="4" t="s">
        <v>1361</v>
      </c>
      <c r="E340" s="3">
        <f>VLOOKUP($B340,temporalBoundaries!$A:$G,6,0)</f>
        <v>10960408</v>
      </c>
      <c r="F340" s="3">
        <f>VLOOKUP($B340,temporalBoundaries!$A:$G,7,0)</f>
        <v>12220401</v>
      </c>
      <c r="G340" s="1"/>
    </row>
    <row r="341" ht="16.5" customHeight="1">
      <c r="A341" s="3" t="s">
        <v>1362</v>
      </c>
      <c r="B341" s="3" t="s">
        <v>1363</v>
      </c>
      <c r="C341" s="3" t="s">
        <v>1364</v>
      </c>
      <c r="D341" s="3" t="s">
        <v>1365</v>
      </c>
      <c r="E341" s="3">
        <f>VLOOKUP($B341,temporalBoundaries!$A:$G,6,0)</f>
        <v>10070423</v>
      </c>
      <c r="F341" s="3">
        <f>VLOOKUP($B341,temporalBoundaries!$A:$G,7,0)</f>
        <v>14860109</v>
      </c>
      <c r="G341" s="1"/>
    </row>
    <row r="342" ht="16.5" customHeight="1">
      <c r="A342" s="4" t="s">
        <v>1366</v>
      </c>
      <c r="B342" s="4" t="s">
        <v>1367</v>
      </c>
      <c r="C342" s="4" t="s">
        <v>1368</v>
      </c>
      <c r="D342" s="4" t="s">
        <v>1369</v>
      </c>
      <c r="E342" s="3">
        <f>VLOOKUP($B342,temporalBoundaries!$A:$G,6,0)</f>
        <v>11240113</v>
      </c>
      <c r="F342" s="3">
        <f>VLOOKUP($B342,temporalBoundaries!$A:$G,7,0)</f>
        <v>15569999</v>
      </c>
      <c r="G342" s="1"/>
    </row>
    <row r="343" ht="16.5" customHeight="1">
      <c r="A343" s="3" t="s">
        <v>1370</v>
      </c>
      <c r="B343" s="3" t="s">
        <v>1371</v>
      </c>
      <c r="C343" s="3" t="s">
        <v>1372</v>
      </c>
      <c r="D343" s="3" t="s">
        <v>1373</v>
      </c>
      <c r="E343" s="3">
        <f>VLOOKUP($B343,temporalBoundaries!$A:$G,6,0)</f>
        <v>10750212</v>
      </c>
      <c r="F343" s="3">
        <f>VLOOKUP($B343,temporalBoundaries!$A:$G,7,0)</f>
        <v>12980810</v>
      </c>
      <c r="G343" s="1"/>
    </row>
    <row r="344" ht="16.5" customHeight="1">
      <c r="A344" s="4" t="s">
        <v>1374</v>
      </c>
      <c r="B344" s="4" t="s">
        <v>1375</v>
      </c>
      <c r="C344" s="4" t="s">
        <v>1376</v>
      </c>
      <c r="D344" s="4" t="s">
        <v>1377</v>
      </c>
      <c r="E344" s="3">
        <f>VLOOKUP($B344,temporalBoundaries!$A:$G,6,0)</f>
        <v>9510825</v>
      </c>
      <c r="F344" s="3">
        <f>VLOOKUP($B344,temporalBoundaries!$A:$G,7,0)</f>
        <v>16310717</v>
      </c>
      <c r="G344" s="1"/>
    </row>
    <row r="345" ht="16.5" customHeight="1">
      <c r="A345" s="4" t="s">
        <v>1378</v>
      </c>
      <c r="B345" s="4" t="s">
        <v>1379</v>
      </c>
      <c r="C345" s="4" t="s">
        <v>1380</v>
      </c>
      <c r="D345" s="4" t="s">
        <v>1381</v>
      </c>
      <c r="E345" s="3">
        <f>VLOOKUP($B345,temporalBoundaries!$A:$G,6,0)</f>
        <v>9861219</v>
      </c>
      <c r="F345" s="3">
        <f>VLOOKUP($B345,temporalBoundaries!$A:$G,7,0)</f>
        <v>13770510</v>
      </c>
      <c r="G345" s="1">
        <v>2</v>
      </c>
    </row>
    <row r="346" ht="16.5" customHeight="1">
      <c r="A346" s="3" t="s">
        <v>1382</v>
      </c>
      <c r="B346" s="3" t="s">
        <v>1383</v>
      </c>
      <c r="C346" s="3" t="s">
        <v>1384</v>
      </c>
      <c r="D346" s="3" t="s">
        <v>1385</v>
      </c>
      <c r="E346" s="3">
        <f>VLOOKUP($B346,temporalBoundaries!$A:$G,6,0)</f>
        <v>14221126</v>
      </c>
      <c r="F346" s="3">
        <f>VLOOKUP($B346,temporalBoundaries!$A:$G,7,0)</f>
        <v>17040505</v>
      </c>
      <c r="G346" s="1"/>
    </row>
    <row r="347" ht="16.5" customHeight="1">
      <c r="A347" s="3" t="s">
        <v>1386</v>
      </c>
      <c r="B347" s="3" t="s">
        <v>1387</v>
      </c>
      <c r="C347" s="3" t="s">
        <v>1388</v>
      </c>
      <c r="D347" s="3" t="s">
        <v>1389</v>
      </c>
      <c r="E347" s="3">
        <f>VLOOKUP($B347,temporalBoundaries!$A:$G,6,0)</f>
        <v>13900110</v>
      </c>
      <c r="F347" s="3">
        <f>VLOOKUP($B347,temporalBoundaries!$A:$G,7,0)</f>
        <v>17019999</v>
      </c>
      <c r="G347" s="1"/>
    </row>
    <row r="348" ht="16.5" customHeight="1">
      <c r="A348" s="4" t="s">
        <v>1390</v>
      </c>
      <c r="B348" s="4" t="s">
        <v>1391</v>
      </c>
      <c r="C348" s="4" t="s">
        <v>1392</v>
      </c>
      <c r="D348" s="4" t="s">
        <v>1393</v>
      </c>
      <c r="E348" s="3">
        <f>VLOOKUP($B348,temporalBoundaries!$A:$G,6,0)</f>
        <v>10820429</v>
      </c>
      <c r="F348" s="3">
        <f>VLOOKUP($B348,temporalBoundaries!$A:$G,7,0)</f>
        <v>15260201</v>
      </c>
      <c r="G348" s="1"/>
    </row>
    <row r="349" ht="16.5" customHeight="1">
      <c r="A349" s="3" t="s">
        <v>1394</v>
      </c>
      <c r="B349" s="3" t="s">
        <v>1395</v>
      </c>
      <c r="C349" s="3" t="s">
        <v>1396</v>
      </c>
      <c r="D349" s="3" t="s">
        <v>1397</v>
      </c>
      <c r="E349" s="3">
        <f>VLOOKUP($B349,temporalBoundaries!$A:$G,6,0)</f>
        <v>14080506</v>
      </c>
      <c r="F349" s="3">
        <f>VLOOKUP($B349,temporalBoundaries!$A:$G,7,0)</f>
        <v>14080506</v>
      </c>
      <c r="G349" s="1"/>
    </row>
    <row r="350" ht="16.5" customHeight="1">
      <c r="A350" s="4" t="s">
        <v>1398</v>
      </c>
      <c r="B350" s="4" t="s">
        <v>1399</v>
      </c>
      <c r="C350" s="4" t="s">
        <v>1400</v>
      </c>
      <c r="D350" s="4" t="s">
        <v>1401</v>
      </c>
      <c r="E350" s="3">
        <f>VLOOKUP($B350,temporalBoundaries!$A:$G,6,0)</f>
        <v>12461126</v>
      </c>
      <c r="F350" s="3">
        <f>VLOOKUP($B350,temporalBoundaries!$A:$G,7,0)</f>
        <v>15260719</v>
      </c>
      <c r="G350" s="1"/>
    </row>
    <row r="351" ht="16.5" customHeight="1">
      <c r="A351" s="3" t="s">
        <v>1402</v>
      </c>
      <c r="B351" s="3" t="s">
        <v>1403</v>
      </c>
      <c r="C351" s="3" t="s">
        <v>1404</v>
      </c>
      <c r="D351" s="3" t="s">
        <v>1405</v>
      </c>
      <c r="E351" s="3">
        <f>VLOOKUP($B351,temporalBoundaries!$A:$G,6,0)</f>
        <v>10551231</v>
      </c>
      <c r="F351" s="3">
        <f>VLOOKUP($B351,temporalBoundaries!$A:$G,7,0)</f>
        <v>15220916</v>
      </c>
      <c r="G351" s="1"/>
    </row>
    <row r="352" ht="16.5" customHeight="1">
      <c r="A352" s="4" t="s">
        <v>1406</v>
      </c>
      <c r="B352" s="4" t="s">
        <v>1407</v>
      </c>
      <c r="C352" s="4" t="s">
        <v>1408</v>
      </c>
      <c r="D352" s="4" t="s">
        <v>1409</v>
      </c>
      <c r="E352" s="3">
        <f>VLOOKUP($B352,temporalBoundaries!$A:$G,6,0)</f>
        <v>12461112</v>
      </c>
      <c r="F352" s="3">
        <f>VLOOKUP($B352,temporalBoundaries!$A:$G,7,0)</f>
        <v>15250811</v>
      </c>
      <c r="G352" s="1"/>
    </row>
    <row r="353" ht="16.5" customHeight="1">
      <c r="A353" s="3" t="s">
        <v>1410</v>
      </c>
      <c r="B353" s="3" t="s">
        <v>1411</v>
      </c>
      <c r="C353" s="3" t="s">
        <v>1412</v>
      </c>
      <c r="D353" s="3" t="s">
        <v>1413</v>
      </c>
      <c r="E353" s="3">
        <f>VLOOKUP($B353,temporalBoundaries!$A:$G,6,0)</f>
        <v>12070226</v>
      </c>
      <c r="F353" s="3">
        <f>VLOOKUP($B353,temporalBoundaries!$A:$G,7,0)</f>
        <v>14861017</v>
      </c>
      <c r="G353" s="1"/>
    </row>
    <row r="354" ht="16.5" customHeight="1">
      <c r="A354" s="4" t="s">
        <v>1414</v>
      </c>
      <c r="B354" s="4" t="s">
        <v>1415</v>
      </c>
      <c r="C354" s="4" t="s">
        <v>1416</v>
      </c>
      <c r="D354" s="4" t="s">
        <v>1417</v>
      </c>
      <c r="E354" s="3">
        <f>VLOOKUP($B354,temporalBoundaries!$A:$G,6,0)</f>
        <v>12010118</v>
      </c>
      <c r="F354" s="3">
        <f>VLOOKUP($B354,temporalBoundaries!$A:$G,7,0)</f>
        <v>15230723</v>
      </c>
      <c r="G354" s="1"/>
    </row>
    <row r="355" ht="16.5" customHeight="1">
      <c r="A355" s="3" t="s">
        <v>1418</v>
      </c>
      <c r="B355" s="3" t="s">
        <v>1419</v>
      </c>
      <c r="C355" s="3" t="s">
        <v>1420</v>
      </c>
      <c r="D355" s="3" t="s">
        <v>1421</v>
      </c>
      <c r="E355" s="3">
        <f>VLOOKUP($B355,temporalBoundaries!$A:$G,6,0)</f>
        <v>14440418</v>
      </c>
      <c r="F355" s="3">
        <f>VLOOKUP($B355,temporalBoundaries!$A:$G,7,0)</f>
        <v>15230122</v>
      </c>
      <c r="G355" s="1"/>
    </row>
    <row r="356" ht="16.5" customHeight="1">
      <c r="A356" s="4" t="s">
        <v>1422</v>
      </c>
      <c r="B356" s="4" t="s">
        <v>1423</v>
      </c>
      <c r="C356" s="4" t="s">
        <v>1424</v>
      </c>
      <c r="D356" s="4" t="s">
        <v>1425</v>
      </c>
      <c r="E356" s="3">
        <f>VLOOKUP($B356,temporalBoundaries!$A:$G,6,0)</f>
        <v>16680415</v>
      </c>
      <c r="F356" s="3">
        <f>VLOOKUP($B356,temporalBoundaries!$A:$G,7,0)</f>
        <v>18340525</v>
      </c>
      <c r="G356" s="1"/>
    </row>
    <row r="357" ht="16.5" customHeight="1">
      <c r="A357" s="4" t="s">
        <v>1426</v>
      </c>
      <c r="B357" s="4" t="s">
        <v>1427</v>
      </c>
      <c r="C357" s="4" t="s">
        <v>1428</v>
      </c>
      <c r="D357" s="4" t="s">
        <v>1429</v>
      </c>
      <c r="E357" s="3">
        <f>VLOOKUP($B357,temporalBoundaries!$A:$G,6,0)</f>
        <v>15500922</v>
      </c>
      <c r="F357" s="3">
        <f>VLOOKUP($B357,temporalBoundaries!$A:$G,7,0)</f>
        <v>16800301</v>
      </c>
      <c r="G357" s="1"/>
    </row>
    <row r="358" ht="16.5" customHeight="1">
      <c r="A358" s="4" t="s">
        <v>1430</v>
      </c>
      <c r="B358" s="4" t="s">
        <v>1431</v>
      </c>
      <c r="C358" s="4" t="s">
        <v>1432</v>
      </c>
      <c r="D358" s="4" t="s">
        <v>1433</v>
      </c>
      <c r="E358" s="3">
        <f>VLOOKUP($B358,temporalBoundaries!$A:$G,6,0)</f>
        <v>12121208</v>
      </c>
      <c r="F358" s="3">
        <f>VLOOKUP($B358,temporalBoundaries!$A:$G,7,0)</f>
        <v>13921130</v>
      </c>
      <c r="G358" s="1"/>
    </row>
    <row r="359" ht="16.5" customHeight="1">
      <c r="A359" s="3" t="s">
        <v>1434</v>
      </c>
      <c r="B359" s="3" t="s">
        <v>1435</v>
      </c>
      <c r="C359" s="3" t="s">
        <v>1436</v>
      </c>
      <c r="D359" s="3" t="s">
        <v>1437</v>
      </c>
      <c r="E359" s="3">
        <f>VLOOKUP($B359,temporalBoundaries!$A:$G,6,0)</f>
        <v>12520430</v>
      </c>
      <c r="F359" s="3">
        <f>VLOOKUP($B359,temporalBoundaries!$A:$G,7,0)</f>
        <v>13170214</v>
      </c>
      <c r="G359" s="1"/>
    </row>
    <row r="360" ht="16.5" customHeight="1">
      <c r="A360" s="4" t="s">
        <v>1438</v>
      </c>
      <c r="B360" s="4" t="s">
        <v>1439</v>
      </c>
      <c r="C360" s="4" t="s">
        <v>1440</v>
      </c>
      <c r="D360" s="4" t="s">
        <v>1441</v>
      </c>
      <c r="E360" s="3">
        <f>VLOOKUP($B360,temporalBoundaries!$A:$G,6,0)</f>
        <v>12420430</v>
      </c>
      <c r="F360" s="3">
        <f>VLOOKUP($B360,temporalBoundaries!$A:$G,7,0)</f>
        <v>13940825</v>
      </c>
      <c r="G360" s="1"/>
    </row>
    <row r="361" ht="16.5" customHeight="1">
      <c r="A361" s="3" t="s">
        <v>1442</v>
      </c>
      <c r="B361" s="3" t="s">
        <v>1443</v>
      </c>
      <c r="C361" s="3" t="s">
        <v>1444</v>
      </c>
      <c r="D361" s="3" t="s">
        <v>1445</v>
      </c>
      <c r="E361" s="3">
        <f>VLOOKUP($B361,temporalBoundaries!$A:$G,6,0)</f>
        <v>9600424</v>
      </c>
      <c r="F361" s="3">
        <f>VLOOKUP($B361,temporalBoundaries!$A:$G,7,0)</f>
        <v>13981017</v>
      </c>
      <c r="G361" s="1"/>
    </row>
    <row r="362" ht="16.5" customHeight="1">
      <c r="A362" s="4" t="s">
        <v>1446</v>
      </c>
      <c r="B362" s="4" t="s">
        <v>1447</v>
      </c>
      <c r="C362" s="4" t="s">
        <v>1448</v>
      </c>
      <c r="D362" s="4" t="s">
        <v>1449</v>
      </c>
      <c r="E362" s="3">
        <f>VLOOKUP($B362,temporalBoundaries!$A:$G,6,0)</f>
        <v>12110413</v>
      </c>
      <c r="F362" s="3">
        <f>VLOOKUP($B362,temporalBoundaries!$A:$G,7,0)</f>
        <v>13931119</v>
      </c>
      <c r="G362" s="1"/>
    </row>
    <row r="363" ht="16.5" customHeight="1">
      <c r="A363" s="4" t="s">
        <v>1450</v>
      </c>
      <c r="B363" s="4" t="s">
        <v>1451</v>
      </c>
      <c r="C363" s="4" t="s">
        <v>1452</v>
      </c>
      <c r="D363" s="4" t="s">
        <v>1453</v>
      </c>
      <c r="E363" s="3">
        <f>VLOOKUP($B363,temporalBoundaries!$A:$G,6,0)</f>
        <v>11810630</v>
      </c>
      <c r="F363" s="3">
        <f>VLOOKUP($B363,temporalBoundaries!$A:$G,7,0)</f>
        <v>13981122</v>
      </c>
      <c r="G363" s="1"/>
    </row>
    <row r="364" ht="16.5" customHeight="1">
      <c r="A364" s="4" t="s">
        <v>1454</v>
      </c>
      <c r="B364" s="4" t="s">
        <v>1455</v>
      </c>
      <c r="C364" s="4" t="s">
        <v>1456</v>
      </c>
      <c r="D364" s="4" t="s">
        <v>1457</v>
      </c>
      <c r="E364" s="3">
        <f>VLOOKUP($B364,temporalBoundaries!$A:$G,6,0)</f>
        <v>11910609</v>
      </c>
      <c r="F364" s="3">
        <f>VLOOKUP($B364,temporalBoundaries!$A:$G,7,0)</f>
        <v>13970829</v>
      </c>
      <c r="G364" s="1"/>
    </row>
    <row r="365" ht="16.5" customHeight="1">
      <c r="A365" s="3" t="s">
        <v>1458</v>
      </c>
      <c r="B365" s="3" t="s">
        <v>1459</v>
      </c>
      <c r="C365" s="3" t="s">
        <v>1460</v>
      </c>
      <c r="D365" s="3" t="s">
        <v>1461</v>
      </c>
      <c r="E365" s="3">
        <f>VLOOKUP($B365,temporalBoundaries!$A:$G,6,0)</f>
        <v>13040318</v>
      </c>
      <c r="F365" s="3">
        <f>VLOOKUP($B365,temporalBoundaries!$A:$G,7,0)</f>
        <v>13920314</v>
      </c>
      <c r="G365" s="1"/>
    </row>
    <row r="366" ht="16.5" customHeight="1">
      <c r="A366" s="4" t="s">
        <v>1462</v>
      </c>
      <c r="B366" s="4" t="s">
        <v>1463</v>
      </c>
      <c r="C366" s="4" t="s">
        <v>1464</v>
      </c>
      <c r="D366" s="4" t="s">
        <v>1465</v>
      </c>
      <c r="E366" s="3">
        <f>VLOOKUP($B366,temporalBoundaries!$A:$G,6,0)</f>
        <v>12380312</v>
      </c>
      <c r="F366" s="3">
        <f>VLOOKUP($B366,temporalBoundaries!$A:$G,7,0)</f>
        <v>13931003</v>
      </c>
      <c r="G366" s="1"/>
    </row>
    <row r="367" ht="16.5" customHeight="1">
      <c r="A367" s="4" t="s">
        <v>1466</v>
      </c>
      <c r="B367" s="4" t="s">
        <v>1467</v>
      </c>
      <c r="C367" s="4" t="s">
        <v>1468</v>
      </c>
      <c r="D367" s="4" t="s">
        <v>1469</v>
      </c>
      <c r="E367" s="3">
        <f>VLOOKUP($B367,temporalBoundaries!$A:$G,6,0)</f>
        <v>13071113</v>
      </c>
      <c r="F367" s="3">
        <f>VLOOKUP($B367,temporalBoundaries!$A:$G,7,0)</f>
        <v>13861105</v>
      </c>
      <c r="G367" s="1"/>
    </row>
    <row r="368" ht="16.5" customHeight="1">
      <c r="A368" s="3" t="s">
        <v>1470</v>
      </c>
      <c r="B368" s="3" t="s">
        <v>1471</v>
      </c>
      <c r="C368" s="3" t="s">
        <v>1472</v>
      </c>
      <c r="D368" s="3" t="s">
        <v>1473</v>
      </c>
      <c r="E368" s="3">
        <f>VLOOKUP($B368,temporalBoundaries!$A:$G,6,0)</f>
        <v>10401104</v>
      </c>
      <c r="F368" s="3">
        <f>VLOOKUP($B368,temporalBoundaries!$A:$G,7,0)</f>
        <v>13970112</v>
      </c>
      <c r="G368" s="1"/>
    </row>
    <row r="369" ht="16.5" customHeight="1">
      <c r="A369" s="4" t="s">
        <v>1474</v>
      </c>
      <c r="B369" s="4" t="s">
        <v>1475</v>
      </c>
      <c r="C369" s="4" t="s">
        <v>1476</v>
      </c>
      <c r="D369" s="4" t="s">
        <v>1477</v>
      </c>
      <c r="E369" s="3">
        <f>VLOOKUP($B369,temporalBoundaries!$A:$G,6,0)</f>
        <v>12800703</v>
      </c>
      <c r="F369" s="3">
        <f>VLOOKUP($B369,temporalBoundaries!$A:$G,7,0)</f>
        <v>13870426</v>
      </c>
      <c r="G369" s="1"/>
    </row>
    <row r="370" ht="16.5" customHeight="1">
      <c r="A370" s="3" t="s">
        <v>1478</v>
      </c>
      <c r="B370" s="3" t="s">
        <v>1479</v>
      </c>
      <c r="C370" s="3" t="s">
        <v>1480</v>
      </c>
      <c r="D370" s="3" t="s">
        <v>1481</v>
      </c>
      <c r="E370" s="3">
        <f>VLOOKUP($B370,temporalBoundaries!$A:$G,6,0)</f>
        <v>13070202</v>
      </c>
      <c r="F370" s="3">
        <f>VLOOKUP($B370,temporalBoundaries!$A:$G,7,0)</f>
        <v>13980724</v>
      </c>
      <c r="G370" s="1"/>
    </row>
    <row r="371" ht="16.5" customHeight="1">
      <c r="A371" s="4" t="s">
        <v>1482</v>
      </c>
      <c r="B371" s="4" t="s">
        <v>1483</v>
      </c>
      <c r="C371" s="4" t="s">
        <v>1484</v>
      </c>
      <c r="D371" s="4" t="s">
        <v>1485</v>
      </c>
      <c r="E371" s="3">
        <f>VLOOKUP($B371,temporalBoundaries!$A:$G,6,0)</f>
        <v>9890331</v>
      </c>
      <c r="F371" s="3">
        <f>VLOOKUP($B371,temporalBoundaries!$A:$G,7,0)</f>
        <v>13981016</v>
      </c>
      <c r="G371" s="1"/>
    </row>
    <row r="372" ht="16.5" customHeight="1">
      <c r="A372" s="3" t="s">
        <v>1486</v>
      </c>
      <c r="B372" s="3" t="s">
        <v>1487</v>
      </c>
      <c r="C372" s="3" t="s">
        <v>1488</v>
      </c>
      <c r="D372" s="3" t="s">
        <v>1489</v>
      </c>
      <c r="E372" s="3">
        <f>VLOOKUP($B372,temporalBoundaries!$A:$G,6,0)</f>
        <v>11970325</v>
      </c>
      <c r="F372" s="3">
        <f>VLOOKUP($B372,temporalBoundaries!$A:$G,7,0)</f>
        <v>13940429</v>
      </c>
      <c r="G372" s="1"/>
    </row>
    <row r="373" ht="16.5" customHeight="1">
      <c r="A373" s="3" t="s">
        <v>1490</v>
      </c>
      <c r="B373" s="3" t="s">
        <v>1491</v>
      </c>
      <c r="C373" s="3" t="s">
        <v>1492</v>
      </c>
      <c r="D373" s="3" t="s">
        <v>1493</v>
      </c>
      <c r="E373" s="3">
        <f>VLOOKUP($B373,temporalBoundaries!$A:$G,6,0)</f>
        <v>10661231</v>
      </c>
      <c r="F373" s="3">
        <f>VLOOKUP($B373,temporalBoundaries!$A:$G,7,0)</f>
        <v>13980130</v>
      </c>
      <c r="G373" s="1"/>
    </row>
    <row r="374" ht="16.5" customHeight="1">
      <c r="A374" s="3" t="s">
        <v>1494</v>
      </c>
      <c r="B374" s="3" t="s">
        <v>1495</v>
      </c>
      <c r="C374" s="3" t="s">
        <v>1496</v>
      </c>
      <c r="D374" s="3" t="s">
        <v>1497</v>
      </c>
      <c r="E374" s="3">
        <f>VLOOKUP($B374,temporalBoundaries!$A:$G,6,0)</f>
        <v>12210924</v>
      </c>
      <c r="F374" s="3">
        <f>VLOOKUP($B374,temporalBoundaries!$A:$G,7,0)</f>
        <v>13950710</v>
      </c>
      <c r="G374" s="1"/>
    </row>
    <row r="375" ht="16.5" customHeight="1">
      <c r="A375" s="4" t="s">
        <v>1498</v>
      </c>
      <c r="B375" s="4" t="s">
        <v>1499</v>
      </c>
      <c r="C375" s="4" t="s">
        <v>1500</v>
      </c>
      <c r="D375" s="4" t="s">
        <v>1501</v>
      </c>
      <c r="E375" s="3">
        <f>VLOOKUP($B375,temporalBoundaries!$A:$G,6,0)</f>
        <v>12380725</v>
      </c>
      <c r="F375" s="3">
        <f>VLOOKUP($B375,temporalBoundaries!$A:$G,7,0)</f>
        <v>13920222</v>
      </c>
      <c r="G375" s="1"/>
    </row>
    <row r="376" ht="16.5" customHeight="1">
      <c r="A376" s="4" t="s">
        <v>1502</v>
      </c>
      <c r="B376" s="4" t="s">
        <v>1503</v>
      </c>
      <c r="C376" s="4" t="s">
        <v>1504</v>
      </c>
      <c r="D376" s="4" t="s">
        <v>1505</v>
      </c>
      <c r="E376" s="3">
        <f>VLOOKUP($B376,temporalBoundaries!$A:$G,6,0)</f>
        <v>11450317</v>
      </c>
      <c r="F376" s="3">
        <f>VLOOKUP($B376,temporalBoundaries!$A:$G,7,0)</f>
        <v>13970508</v>
      </c>
      <c r="G376" s="1"/>
    </row>
    <row r="377" ht="16.5" customHeight="1">
      <c r="A377" s="4" t="s">
        <v>1506</v>
      </c>
      <c r="B377" s="4" t="s">
        <v>1507</v>
      </c>
      <c r="C377" s="4" t="s">
        <v>1508</v>
      </c>
      <c r="D377" s="4" t="s">
        <v>1509</v>
      </c>
      <c r="E377" s="3">
        <f>VLOOKUP($B377,temporalBoundaries!$A:$G,6,0)</f>
        <v>11980309</v>
      </c>
      <c r="F377" s="3">
        <f>VLOOKUP($B377,temporalBoundaries!$A:$G,7,0)</f>
        <v>13981006</v>
      </c>
      <c r="G377" s="1"/>
    </row>
    <row r="378" ht="16.5" customHeight="1">
      <c r="A378" s="3" t="s">
        <v>1510</v>
      </c>
      <c r="B378" s="3" t="s">
        <v>1511</v>
      </c>
      <c r="C378" s="3" t="s">
        <v>1512</v>
      </c>
      <c r="D378" s="3" t="s">
        <v>1513</v>
      </c>
      <c r="E378" s="3">
        <f>VLOOKUP($B378,temporalBoundaries!$A:$G,6,0)</f>
        <v>7900714</v>
      </c>
      <c r="F378" s="3">
        <f>VLOOKUP($B378,temporalBoundaries!$A:$G,7,0)</f>
        <v>13980723</v>
      </c>
      <c r="G378" s="1"/>
    </row>
    <row r="379" ht="16.5" customHeight="1">
      <c r="A379" s="4" t="s">
        <v>1514</v>
      </c>
      <c r="B379" s="4" t="s">
        <v>1515</v>
      </c>
      <c r="C379" s="4" t="s">
        <v>1516</v>
      </c>
      <c r="D379" s="4" t="s">
        <v>1517</v>
      </c>
      <c r="E379" s="3">
        <f>VLOOKUP($B379,temporalBoundaries!$A:$G,6,0)</f>
        <v>11380131</v>
      </c>
      <c r="F379" s="3">
        <f>VLOOKUP($B379,temporalBoundaries!$A:$G,7,0)</f>
        <v>13960410</v>
      </c>
      <c r="G379" s="1"/>
    </row>
    <row r="380" ht="16.5" customHeight="1">
      <c r="A380" s="3" t="s">
        <v>1518</v>
      </c>
      <c r="B380" s="3" t="s">
        <v>1519</v>
      </c>
      <c r="C380" s="3" t="s">
        <v>1520</v>
      </c>
      <c r="D380" s="3" t="s">
        <v>1521</v>
      </c>
      <c r="E380" s="3" t="str">
        <f>VLOOKUP($B380,temporalBoundaries!$A:$G,6,0)</f>
        <v>NaN</v>
      </c>
      <c r="F380" s="3" t="str">
        <f>VLOOKUP($B380,temporalBoundaries!$A:$G,7,0)</f>
        <v>NaN</v>
      </c>
      <c r="G380" s="1"/>
    </row>
    <row r="381" ht="16.5" customHeight="1">
      <c r="A381" s="3" t="s">
        <v>1522</v>
      </c>
      <c r="B381" s="3" t="s">
        <v>1523</v>
      </c>
      <c r="C381" s="3" t="s">
        <v>1524</v>
      </c>
      <c r="D381" s="3" t="s">
        <v>1525</v>
      </c>
      <c r="E381" s="3">
        <f>VLOOKUP($B381,temporalBoundaries!$A:$G,6,0)</f>
        <v>12750120</v>
      </c>
      <c r="F381" s="3">
        <f>VLOOKUP($B381,temporalBoundaries!$A:$G,7,0)</f>
        <v>13980205</v>
      </c>
      <c r="G381" s="1"/>
    </row>
    <row r="382" ht="16.5" customHeight="1">
      <c r="A382" s="4" t="s">
        <v>1526</v>
      </c>
      <c r="B382" s="4" t="s">
        <v>1527</v>
      </c>
      <c r="C382" s="4" t="s">
        <v>1528</v>
      </c>
      <c r="D382" s="4" t="s">
        <v>1529</v>
      </c>
      <c r="E382" s="3">
        <f>VLOOKUP($B382,temporalBoundaries!$A:$G,6,0)</f>
        <v>12760828</v>
      </c>
      <c r="F382" s="3">
        <f>VLOOKUP($B382,temporalBoundaries!$A:$G,7,0)</f>
        <v>13990127</v>
      </c>
      <c r="G382" s="1"/>
    </row>
    <row r="383" ht="16.5" customHeight="1">
      <c r="A383" s="3" t="s">
        <v>1530</v>
      </c>
      <c r="B383" s="3" t="s">
        <v>1531</v>
      </c>
      <c r="C383" s="3" t="s">
        <v>1532</v>
      </c>
      <c r="D383" s="3" t="s">
        <v>1533</v>
      </c>
      <c r="E383" s="3">
        <f>VLOOKUP($B383,temporalBoundaries!$A:$G,6,0)</f>
        <v>12880202</v>
      </c>
      <c r="F383" s="3">
        <f>VLOOKUP($B383,temporalBoundaries!$A:$G,7,0)</f>
        <v>13900817</v>
      </c>
      <c r="G383" s="1"/>
    </row>
    <row r="384" ht="16.5" customHeight="1">
      <c r="A384" s="3" t="s">
        <v>1534</v>
      </c>
      <c r="B384" s="3" t="s">
        <v>1535</v>
      </c>
      <c r="C384" s="3" t="s">
        <v>1536</v>
      </c>
      <c r="D384" s="3" t="s">
        <v>1537</v>
      </c>
      <c r="E384" s="3">
        <f>VLOOKUP($B384,temporalBoundaries!$A:$G,6,0)</f>
        <v>12160419</v>
      </c>
      <c r="F384" s="3">
        <f>VLOOKUP($B384,temporalBoundaries!$A:$G,7,0)</f>
        <v>13940625</v>
      </c>
      <c r="G384" s="1"/>
    </row>
    <row r="385" ht="16.5" customHeight="1">
      <c r="A385" s="3" t="s">
        <v>1538</v>
      </c>
      <c r="B385" s="3" t="s">
        <v>1539</v>
      </c>
      <c r="C385" s="3" t="s">
        <v>1540</v>
      </c>
      <c r="D385" s="3" t="s">
        <v>1541</v>
      </c>
      <c r="E385" s="3">
        <f>VLOOKUP($B385,temporalBoundaries!$A:$G,6,0)</f>
        <v>13851210</v>
      </c>
      <c r="F385" s="3">
        <f>VLOOKUP($B385,temporalBoundaries!$A:$G,7,0)</f>
        <v>13851210</v>
      </c>
      <c r="G385" s="1"/>
    </row>
    <row r="386" ht="16.5" customHeight="1">
      <c r="A386" s="3" t="s">
        <v>1542</v>
      </c>
      <c r="B386" s="3" t="s">
        <v>1543</v>
      </c>
      <c r="C386" s="3" t="s">
        <v>1544</v>
      </c>
      <c r="D386" s="3" t="s">
        <v>1545</v>
      </c>
      <c r="E386" s="3">
        <f>VLOOKUP($B386,temporalBoundaries!$A:$G,6,0)</f>
        <v>10660227</v>
      </c>
      <c r="F386" s="3">
        <f>VLOOKUP($B386,temporalBoundaries!$A:$G,7,0)</f>
        <v>13971211</v>
      </c>
      <c r="G386" s="1"/>
    </row>
    <row r="387" ht="16.5" customHeight="1">
      <c r="A387" s="4" t="s">
        <v>1546</v>
      </c>
      <c r="B387" s="4" t="s">
        <v>1547</v>
      </c>
      <c r="C387" s="4" t="s">
        <v>1548</v>
      </c>
      <c r="D387" s="4" t="s">
        <v>1549</v>
      </c>
      <c r="E387" s="3">
        <f>VLOOKUP($B387,temporalBoundaries!$A:$G,6,0)</f>
        <v>13280201</v>
      </c>
      <c r="F387" s="3">
        <f>VLOOKUP($B387,temporalBoundaries!$A:$G,7,0)</f>
        <v>13981215</v>
      </c>
      <c r="G387" s="1"/>
    </row>
    <row r="388" ht="16.5" customHeight="1">
      <c r="A388" s="3" t="s">
        <v>1550</v>
      </c>
      <c r="B388" s="3" t="s">
        <v>1551</v>
      </c>
      <c r="C388" s="3" t="s">
        <v>1552</v>
      </c>
      <c r="D388" s="3" t="s">
        <v>1553</v>
      </c>
      <c r="E388" s="3">
        <f>VLOOKUP($B388,temporalBoundaries!$A:$G,6,0)</f>
        <v>10780827</v>
      </c>
      <c r="F388" s="3">
        <f>VLOOKUP($B388,temporalBoundaries!$A:$G,7,0)</f>
        <v>13960221</v>
      </c>
      <c r="G388" s="1"/>
    </row>
    <row r="389" ht="16.5" customHeight="1">
      <c r="A389" s="3" t="s">
        <v>1554</v>
      </c>
      <c r="B389" s="3" t="s">
        <v>1555</v>
      </c>
      <c r="C389" s="3" t="s">
        <v>1556</v>
      </c>
      <c r="D389" s="3" t="s">
        <v>1557</v>
      </c>
      <c r="E389" s="3">
        <f>VLOOKUP($B389,temporalBoundaries!$A:$G,6,0)</f>
        <v>11990331</v>
      </c>
      <c r="F389" s="3">
        <f>VLOOKUP($B389,temporalBoundaries!$A:$G,7,0)</f>
        <v>13930608</v>
      </c>
      <c r="G389" s="1"/>
    </row>
    <row r="390" ht="16.5" customHeight="1">
      <c r="A390" s="4" t="s">
        <v>1558</v>
      </c>
      <c r="B390" s="4" t="s">
        <v>1559</v>
      </c>
      <c r="C390" s="4" t="s">
        <v>1560</v>
      </c>
      <c r="D390" s="4" t="s">
        <v>1561</v>
      </c>
      <c r="E390" s="3">
        <f>VLOOKUP($B390,temporalBoundaries!$A:$G,6,0)</f>
        <v>9690708</v>
      </c>
      <c r="F390" s="3">
        <f>VLOOKUP($B390,temporalBoundaries!$A:$G,7,0)</f>
        <v>13981227</v>
      </c>
      <c r="G390" s="1"/>
    </row>
    <row r="391" ht="16.5" customHeight="1">
      <c r="A391" s="3" t="s">
        <v>1562</v>
      </c>
      <c r="B391" s="3" t="s">
        <v>1563</v>
      </c>
      <c r="C391" s="3" t="s">
        <v>1564</v>
      </c>
      <c r="D391" s="3" t="s">
        <v>1565</v>
      </c>
      <c r="E391" s="3">
        <f>VLOOKUP($B391,temporalBoundaries!$A:$G,6,0)</f>
        <v>12921124</v>
      </c>
      <c r="F391" s="3">
        <f>VLOOKUP($B391,temporalBoundaries!$A:$G,7,0)</f>
        <v>13921026</v>
      </c>
      <c r="G391" s="1"/>
    </row>
    <row r="392" ht="16.5" customHeight="1">
      <c r="A392" s="3" t="s">
        <v>1566</v>
      </c>
      <c r="B392" s="3" t="s">
        <v>1567</v>
      </c>
      <c r="C392" s="3" t="s">
        <v>1568</v>
      </c>
      <c r="D392" s="3" t="s">
        <v>1569</v>
      </c>
      <c r="E392" s="3">
        <f>VLOOKUP($B392,temporalBoundaries!$A:$G,6,0)</f>
        <v>10941030</v>
      </c>
      <c r="F392" s="3">
        <f>VLOOKUP($B392,temporalBoundaries!$A:$G,7,0)</f>
        <v>14030310</v>
      </c>
      <c r="G392" s="1"/>
    </row>
    <row r="393" ht="16.5" customHeight="1">
      <c r="A393" s="4" t="s">
        <v>1570</v>
      </c>
      <c r="B393" s="4" t="s">
        <v>1571</v>
      </c>
      <c r="C393" s="4" t="s">
        <v>1572</v>
      </c>
      <c r="D393" s="4" t="s">
        <v>1573</v>
      </c>
      <c r="E393" s="3">
        <f>VLOOKUP($B393,temporalBoundaries!$A:$G,6,0)</f>
        <v>12270914</v>
      </c>
      <c r="F393" s="3">
        <f>VLOOKUP($B393,temporalBoundaries!$A:$G,7,0)</f>
        <v>13940425</v>
      </c>
      <c r="G393" s="1"/>
    </row>
    <row r="394" ht="16.5" customHeight="1">
      <c r="A394" s="3" t="s">
        <v>1574</v>
      </c>
      <c r="B394" s="3" t="s">
        <v>1575</v>
      </c>
      <c r="C394" s="3" t="s">
        <v>1576</v>
      </c>
      <c r="D394" s="3" t="s">
        <v>1577</v>
      </c>
      <c r="E394" s="3">
        <f>VLOOKUP($B394,temporalBoundaries!$A:$G,6,0)</f>
        <v>13581202</v>
      </c>
      <c r="F394" s="3">
        <f>VLOOKUP($B394,temporalBoundaries!$A:$G,7,0)</f>
        <v>13581202</v>
      </c>
      <c r="G394" s="1"/>
    </row>
    <row r="395" ht="16.5" customHeight="1">
      <c r="A395" s="4" t="s">
        <v>1578</v>
      </c>
      <c r="B395" s="4" t="s">
        <v>1579</v>
      </c>
      <c r="C395" s="4" t="s">
        <v>1580</v>
      </c>
      <c r="D395" s="4" t="s">
        <v>1581</v>
      </c>
      <c r="E395" s="3">
        <f>VLOOKUP($B395,temporalBoundaries!$A:$G,6,0)</f>
        <v>13820226</v>
      </c>
      <c r="F395" s="3">
        <f>VLOOKUP($B395,temporalBoundaries!$A:$G,7,0)</f>
        <v>13960125</v>
      </c>
      <c r="G395" s="1"/>
    </row>
    <row r="396" ht="16.5" customHeight="1">
      <c r="A396" s="3" t="s">
        <v>1582</v>
      </c>
      <c r="B396" s="3" t="s">
        <v>1583</v>
      </c>
      <c r="C396" s="3" t="s">
        <v>1584</v>
      </c>
      <c r="D396" s="3" t="s">
        <v>1585</v>
      </c>
      <c r="E396" s="3">
        <f>VLOOKUP($B396,temporalBoundaries!$A:$G,6,0)</f>
        <v>12080826</v>
      </c>
      <c r="F396" s="3">
        <f>VLOOKUP($B396,temporalBoundaries!$A:$G,7,0)</f>
        <v>13980728</v>
      </c>
      <c r="G396" s="1"/>
    </row>
    <row r="397" ht="16.5" customHeight="1">
      <c r="A397" s="4" t="s">
        <v>1586</v>
      </c>
      <c r="B397" s="4" t="s">
        <v>1587</v>
      </c>
      <c r="C397" s="4" t="s">
        <v>1588</v>
      </c>
      <c r="D397" s="4" t="s">
        <v>1589</v>
      </c>
      <c r="E397" s="3">
        <f>VLOOKUP($B397,temporalBoundaries!$A:$G,6,0)</f>
        <v>11320626</v>
      </c>
      <c r="F397" s="3">
        <f>VLOOKUP($B397,temporalBoundaries!$A:$G,7,0)</f>
        <v>13781114</v>
      </c>
      <c r="G397" s="1"/>
    </row>
    <row r="398" ht="16.5" customHeight="1">
      <c r="A398" s="3" t="s">
        <v>1590</v>
      </c>
      <c r="B398" s="3" t="s">
        <v>1591</v>
      </c>
      <c r="C398" s="3" t="s">
        <v>1592</v>
      </c>
      <c r="D398" s="3" t="s">
        <v>1593</v>
      </c>
      <c r="E398" s="3" t="e">
        <f>VLOOKUP($B398,temporalBoundaries!$A:$G,6,0)</f>
        <v>#N/A</v>
      </c>
      <c r="F398" s="3" t="e">
        <f>VLOOKUP($B398,temporalBoundaries!$A:$G,7,0)</f>
        <v>#N/A</v>
      </c>
      <c r="G398" s="1"/>
    </row>
    <row r="399" ht="16.5" customHeight="1">
      <c r="A399" s="4" t="s">
        <v>1594</v>
      </c>
      <c r="B399" s="4" t="s">
        <v>1595</v>
      </c>
      <c r="C399" s="4" t="s">
        <v>1596</v>
      </c>
      <c r="D399" s="4" t="s">
        <v>1597</v>
      </c>
      <c r="E399" s="3">
        <f>VLOOKUP($B399,temporalBoundaries!$A:$G,6,0)</f>
        <v>12070403</v>
      </c>
      <c r="F399" s="3">
        <f>VLOOKUP($B399,temporalBoundaries!$A:$G,7,0)</f>
        <v>13930727</v>
      </c>
      <c r="G399" s="1"/>
    </row>
    <row r="400" ht="16.5" customHeight="1">
      <c r="A400" s="3" t="s">
        <v>1598</v>
      </c>
      <c r="B400" s="3" t="s">
        <v>1599</v>
      </c>
      <c r="C400" s="3" t="s">
        <v>1600</v>
      </c>
      <c r="D400" s="3" t="s">
        <v>1601</v>
      </c>
      <c r="E400" s="3">
        <f>VLOOKUP($B400,temporalBoundaries!$A:$G,6,0)</f>
        <v>11841104</v>
      </c>
      <c r="F400" s="3">
        <f>VLOOKUP($B400,temporalBoundaries!$A:$G,7,0)</f>
        <v>13920716</v>
      </c>
      <c r="G400" s="1"/>
    </row>
    <row r="401" ht="16.5" customHeight="1">
      <c r="A401" s="4" t="s">
        <v>1602</v>
      </c>
      <c r="B401" s="4" t="s">
        <v>1603</v>
      </c>
      <c r="C401" s="4" t="s">
        <v>1604</v>
      </c>
      <c r="D401" s="4" t="s">
        <v>1605</v>
      </c>
      <c r="E401" s="3">
        <f>VLOOKUP($B401,temporalBoundaries!$A:$G,6,0)</f>
        <v>13030217</v>
      </c>
      <c r="F401" s="3">
        <f>VLOOKUP($B401,temporalBoundaries!$A:$G,7,0)</f>
        <v>13890624</v>
      </c>
      <c r="G401" s="1"/>
    </row>
    <row r="402" ht="16.5" customHeight="1">
      <c r="A402" s="4" t="s">
        <v>1606</v>
      </c>
      <c r="B402" s="4" t="s">
        <v>1607</v>
      </c>
      <c r="C402" s="4" t="s">
        <v>1608</v>
      </c>
      <c r="D402" s="4" t="s">
        <v>1609</v>
      </c>
      <c r="E402" s="3">
        <f>VLOOKUP($B402,temporalBoundaries!$A:$G,6,0)</f>
        <v>12600105</v>
      </c>
      <c r="F402" s="3">
        <f>VLOOKUP($B402,temporalBoundaries!$A:$G,7,0)</f>
        <v>13791226</v>
      </c>
      <c r="G402" s="1"/>
    </row>
    <row r="403" ht="16.5" customHeight="1">
      <c r="A403" s="4" t="s">
        <v>1610</v>
      </c>
      <c r="B403" s="4" t="s">
        <v>1611</v>
      </c>
      <c r="C403" s="4" t="s">
        <v>1612</v>
      </c>
      <c r="D403" s="4" t="s">
        <v>1613</v>
      </c>
      <c r="E403" s="3">
        <f>VLOOKUP($B403,temporalBoundaries!$A:$G,6,0)</f>
        <v>10070930</v>
      </c>
      <c r="F403" s="3">
        <f>VLOOKUP($B403,temporalBoundaries!$A:$G,7,0)</f>
        <v>13981206</v>
      </c>
      <c r="G403" s="1"/>
    </row>
    <row r="404" ht="16.5" customHeight="1">
      <c r="A404" s="4" t="s">
        <v>1614</v>
      </c>
      <c r="B404" s="4" t="s">
        <v>1615</v>
      </c>
      <c r="C404" s="4" t="s">
        <v>1616</v>
      </c>
      <c r="D404" s="4" t="s">
        <v>1617</v>
      </c>
      <c r="E404" s="3">
        <f>VLOOKUP($B404,temporalBoundaries!$A:$G,6,0)</f>
        <v>13630301</v>
      </c>
      <c r="F404" s="3">
        <f>VLOOKUP($B404,temporalBoundaries!$A:$G,7,0)</f>
        <v>13630301</v>
      </c>
      <c r="G404" s="1"/>
    </row>
    <row r="405" ht="16.5" customHeight="1">
      <c r="A405" s="4" t="s">
        <v>1618</v>
      </c>
      <c r="B405" s="4" t="s">
        <v>1619</v>
      </c>
      <c r="C405" s="4" t="s">
        <v>1620</v>
      </c>
      <c r="D405" s="4" t="s">
        <v>1621</v>
      </c>
      <c r="E405" s="3">
        <f>VLOOKUP($B405,temporalBoundaries!$A:$G,6,0)</f>
        <v>13740314</v>
      </c>
      <c r="F405" s="3">
        <f>VLOOKUP($B405,temporalBoundaries!$A:$G,7,0)</f>
        <v>13910429</v>
      </c>
      <c r="G405" s="1"/>
    </row>
    <row r="406" ht="16.5" customHeight="1">
      <c r="A406" s="4" t="s">
        <v>1622</v>
      </c>
      <c r="B406" s="4" t="s">
        <v>1623</v>
      </c>
      <c r="C406" s="4" t="s">
        <v>1624</v>
      </c>
      <c r="D406" s="4" t="s">
        <v>1625</v>
      </c>
      <c r="E406" s="3">
        <f>VLOOKUP($B406,temporalBoundaries!$A:$G,6,0)</f>
        <v>12001231</v>
      </c>
      <c r="F406" s="3">
        <f>VLOOKUP($B406,temporalBoundaries!$A:$G,7,0)</f>
        <v>13970830</v>
      </c>
      <c r="G406" s="1"/>
    </row>
    <row r="407" ht="16.5" customHeight="1">
      <c r="A407" s="3" t="s">
        <v>1626</v>
      </c>
      <c r="B407" s="3" t="s">
        <v>1627</v>
      </c>
      <c r="C407" s="3" t="s">
        <v>1628</v>
      </c>
      <c r="D407" s="3" t="s">
        <v>1629</v>
      </c>
      <c r="E407" s="3">
        <f>VLOOKUP($B407,temporalBoundaries!$A:$G,6,0)</f>
        <v>11241031</v>
      </c>
      <c r="F407" s="3">
        <f>VLOOKUP($B407,temporalBoundaries!$A:$G,7,0)</f>
        <v>13981110</v>
      </c>
      <c r="G407" s="1"/>
    </row>
    <row r="408" ht="16.5" customHeight="1">
      <c r="A408" s="4" t="s">
        <v>1630</v>
      </c>
      <c r="B408" s="4" t="s">
        <v>1631</v>
      </c>
      <c r="C408" s="4" t="s">
        <v>1632</v>
      </c>
      <c r="D408" s="4" t="s">
        <v>1633</v>
      </c>
      <c r="E408" s="3">
        <f>VLOOKUP($B408,temporalBoundaries!$A:$G,6,0)</f>
        <v>10470103</v>
      </c>
      <c r="F408" s="3">
        <f>VLOOKUP($B408,temporalBoundaries!$A:$G,7,0)</f>
        <v>13981128</v>
      </c>
      <c r="G408" s="1"/>
    </row>
    <row r="409" ht="16.5" customHeight="1">
      <c r="A409" s="3" t="s">
        <v>1634</v>
      </c>
      <c r="B409" s="3" t="s">
        <v>1635</v>
      </c>
      <c r="C409" s="3" t="s">
        <v>1636</v>
      </c>
      <c r="D409" s="3" t="s">
        <v>1637</v>
      </c>
      <c r="E409" s="3">
        <f>VLOOKUP($B409,temporalBoundaries!$A:$G,6,0)</f>
        <v>10150531</v>
      </c>
      <c r="F409" s="3">
        <f>VLOOKUP($B409,temporalBoundaries!$A:$G,7,0)</f>
        <v>13980413</v>
      </c>
      <c r="G409" s="1"/>
    </row>
    <row r="410" ht="16.5" customHeight="1">
      <c r="A410" s="4" t="s">
        <v>1638</v>
      </c>
      <c r="B410" s="4" t="s">
        <v>1639</v>
      </c>
      <c r="C410" s="4" t="s">
        <v>1640</v>
      </c>
      <c r="D410" s="4" t="s">
        <v>1641</v>
      </c>
      <c r="E410" s="3">
        <f>VLOOKUP($B410,temporalBoundaries!$A:$G,6,0)</f>
        <v>12851208</v>
      </c>
      <c r="F410" s="3">
        <f>VLOOKUP($B410,temporalBoundaries!$A:$G,7,0)</f>
        <v>13900326</v>
      </c>
      <c r="G410" s="1"/>
    </row>
    <row r="411" ht="16.5" customHeight="1">
      <c r="A411" s="3" t="s">
        <v>1642</v>
      </c>
      <c r="B411" s="3" t="s">
        <v>1643</v>
      </c>
      <c r="C411" s="3" t="s">
        <v>1644</v>
      </c>
      <c r="D411" s="3" t="s">
        <v>1645</v>
      </c>
      <c r="E411" s="3">
        <f>VLOOKUP($B411,temporalBoundaries!$A:$G,6,0)</f>
        <v>12270902</v>
      </c>
      <c r="F411" s="3">
        <f>VLOOKUP($B411,temporalBoundaries!$A:$G,7,0)</f>
        <v>13910413</v>
      </c>
      <c r="G411" s="1"/>
    </row>
    <row r="412" ht="16.5" customHeight="1">
      <c r="A412" s="3" t="s">
        <v>1646</v>
      </c>
      <c r="B412" s="3" t="s">
        <v>1647</v>
      </c>
      <c r="C412" s="3" t="s">
        <v>1648</v>
      </c>
      <c r="D412" s="3" t="s">
        <v>1649</v>
      </c>
      <c r="E412" s="3">
        <f>VLOOKUP($B412,temporalBoundaries!$A:$G,6,0)</f>
        <v>12951006</v>
      </c>
      <c r="F412" s="3">
        <f>VLOOKUP($B412,temporalBoundaries!$A:$G,7,0)</f>
        <v>13980114</v>
      </c>
      <c r="G412" s="1"/>
    </row>
    <row r="413" ht="16.5" customHeight="1">
      <c r="A413" s="4" t="s">
        <v>1650</v>
      </c>
      <c r="B413" s="4" t="s">
        <v>1651</v>
      </c>
      <c r="C413" s="4" t="s">
        <v>1652</v>
      </c>
      <c r="D413" s="4" t="s">
        <v>1653</v>
      </c>
      <c r="E413" s="3">
        <f>VLOOKUP($B413,temporalBoundaries!$A:$G,6,0)</f>
        <v>13340205</v>
      </c>
      <c r="F413" s="3">
        <f>VLOOKUP($B413,temporalBoundaries!$A:$G,7,0)</f>
        <v>13880920</v>
      </c>
      <c r="G413" s="1"/>
    </row>
    <row r="414" ht="16.5" customHeight="1">
      <c r="A414" s="3" t="s">
        <v>1654</v>
      </c>
      <c r="B414" s="3" t="s">
        <v>1655</v>
      </c>
      <c r="C414" s="3" t="s">
        <v>1656</v>
      </c>
      <c r="D414" s="3" t="s">
        <v>1657</v>
      </c>
      <c r="E414" s="3">
        <f>VLOOKUP($B414,temporalBoundaries!$A:$G,6,0)</f>
        <v>12781228</v>
      </c>
      <c r="F414" s="3">
        <f>VLOOKUP($B414,temporalBoundaries!$A:$G,7,0)</f>
        <v>13980815</v>
      </c>
      <c r="G414" s="1"/>
    </row>
    <row r="415" ht="16.5" customHeight="1">
      <c r="A415" s="3" t="s">
        <v>1658</v>
      </c>
      <c r="B415" s="3" t="s">
        <v>1659</v>
      </c>
      <c r="C415" s="3" t="s">
        <v>1660</v>
      </c>
      <c r="D415" s="3" t="s">
        <v>1661</v>
      </c>
      <c r="E415" s="3">
        <f>VLOOKUP($B415,temporalBoundaries!$A:$G,6,0)</f>
        <v>12550204</v>
      </c>
      <c r="F415" s="3">
        <f>VLOOKUP($B415,temporalBoundaries!$A:$G,7,0)</f>
        <v>13921209</v>
      </c>
      <c r="G415" s="1"/>
    </row>
    <row r="416" ht="16.5" customHeight="1">
      <c r="A416" s="4" t="s">
        <v>1662</v>
      </c>
      <c r="B416" s="4" t="s">
        <v>1663</v>
      </c>
      <c r="C416" s="4" t="s">
        <v>1664</v>
      </c>
      <c r="D416" s="4" t="s">
        <v>1665</v>
      </c>
      <c r="E416" s="3">
        <f>VLOOKUP($B416,temporalBoundaries!$A:$G,6,0)</f>
        <v>12990824</v>
      </c>
      <c r="F416" s="3">
        <f>VLOOKUP($B416,temporalBoundaries!$A:$G,7,0)</f>
        <v>13730209</v>
      </c>
      <c r="G416" s="1"/>
    </row>
    <row r="417" ht="16.5" customHeight="1">
      <c r="A417" s="4" t="s">
        <v>1666</v>
      </c>
      <c r="B417" s="4" t="s">
        <v>1667</v>
      </c>
      <c r="C417" s="4" t="s">
        <v>1668</v>
      </c>
      <c r="D417" s="4" t="s">
        <v>1669</v>
      </c>
      <c r="E417" s="3">
        <f>VLOOKUP($B417,temporalBoundaries!$A:$G,6,0)</f>
        <v>13780922</v>
      </c>
      <c r="F417" s="3">
        <f>VLOOKUP($B417,temporalBoundaries!$A:$G,7,0)</f>
        <v>13780922</v>
      </c>
      <c r="G417" s="1"/>
    </row>
    <row r="418" ht="16.5" customHeight="1">
      <c r="A418" s="4" t="s">
        <v>1670</v>
      </c>
      <c r="B418" s="4" t="s">
        <v>1671</v>
      </c>
      <c r="C418" s="4" t="s">
        <v>1672</v>
      </c>
      <c r="D418" s="4" t="s">
        <v>1673</v>
      </c>
      <c r="E418" s="3">
        <f>VLOOKUP($B418,temporalBoundaries!$A:$G,6,0)</f>
        <v>13441009</v>
      </c>
      <c r="F418" s="3">
        <f>VLOOKUP($B418,temporalBoundaries!$A:$G,7,0)</f>
        <v>13970511</v>
      </c>
      <c r="G418" s="1"/>
    </row>
    <row r="419" ht="16.5" customHeight="1">
      <c r="A419" s="3" t="s">
        <v>1674</v>
      </c>
      <c r="B419" s="3" t="s">
        <v>1675</v>
      </c>
      <c r="C419" s="3" t="s">
        <v>1676</v>
      </c>
      <c r="D419" s="3" t="s">
        <v>1677</v>
      </c>
      <c r="E419" s="3">
        <f>VLOOKUP($B419,temporalBoundaries!$A:$G,6,0)</f>
        <v>12240513</v>
      </c>
      <c r="F419" s="3">
        <f>VLOOKUP($B419,temporalBoundaries!$A:$G,7,0)</f>
        <v>13960428</v>
      </c>
      <c r="G419" s="1"/>
    </row>
    <row r="420" ht="16.5" customHeight="1">
      <c r="A420" s="3" t="s">
        <v>1678</v>
      </c>
      <c r="B420" s="3" t="s">
        <v>1679</v>
      </c>
      <c r="C420" s="3" t="s">
        <v>1680</v>
      </c>
      <c r="D420" s="3" t="s">
        <v>1681</v>
      </c>
      <c r="E420" s="3">
        <f>VLOOKUP($B420,temporalBoundaries!$A:$G,6,0)</f>
        <v>10751001</v>
      </c>
      <c r="F420" s="3">
        <f>VLOOKUP($B420,temporalBoundaries!$A:$G,7,0)</f>
        <v>13900412</v>
      </c>
      <c r="G420" s="1"/>
    </row>
    <row r="421" ht="16.5" customHeight="1">
      <c r="A421" s="4" t="s">
        <v>1682</v>
      </c>
      <c r="B421" s="4" t="s">
        <v>1683</v>
      </c>
      <c r="C421" s="4" t="s">
        <v>1684</v>
      </c>
      <c r="D421" s="4" t="s">
        <v>1685</v>
      </c>
      <c r="E421" s="3">
        <f>VLOOKUP($B421,temporalBoundaries!$A:$G,6,0)</f>
        <v>10191213</v>
      </c>
      <c r="F421" s="3">
        <f>VLOOKUP($B421,temporalBoundaries!$A:$G,7,0)</f>
        <v>13981223</v>
      </c>
      <c r="G421" s="1"/>
    </row>
    <row r="422" ht="16.5" customHeight="1">
      <c r="A422" s="3" t="s">
        <v>1686</v>
      </c>
      <c r="B422" s="3" t="s">
        <v>1687</v>
      </c>
      <c r="C422" s="3" t="s">
        <v>1688</v>
      </c>
      <c r="D422" s="3" t="s">
        <v>1689</v>
      </c>
      <c r="E422" s="3">
        <f>VLOOKUP($B422,temporalBoundaries!$A:$G,6,0)</f>
        <v>11410504</v>
      </c>
      <c r="F422" s="3">
        <f>VLOOKUP($B422,temporalBoundaries!$A:$G,7,0)</f>
        <v>13970511</v>
      </c>
      <c r="G422" s="1"/>
    </row>
    <row r="423" ht="16.5" customHeight="1">
      <c r="A423" s="3" t="s">
        <v>1690</v>
      </c>
      <c r="B423" s="3" t="s">
        <v>1691</v>
      </c>
      <c r="C423" s="3" t="s">
        <v>1692</v>
      </c>
      <c r="D423" s="3" t="s">
        <v>1693</v>
      </c>
      <c r="E423" s="3">
        <f>VLOOKUP($B423,temporalBoundaries!$A:$G,6,0)</f>
        <v>12821019</v>
      </c>
      <c r="F423" s="3">
        <f>VLOOKUP($B423,temporalBoundaries!$A:$G,7,0)</f>
        <v>13910630</v>
      </c>
      <c r="G423" s="1"/>
    </row>
    <row r="424" ht="16.5" customHeight="1">
      <c r="A424" s="3" t="s">
        <v>1694</v>
      </c>
      <c r="B424" s="3" t="s">
        <v>1695</v>
      </c>
      <c r="C424" s="3" t="s">
        <v>1696</v>
      </c>
      <c r="D424" s="3" t="s">
        <v>1697</v>
      </c>
      <c r="E424" s="3">
        <f>VLOOKUP($B424,temporalBoundaries!$A:$G,6,0)</f>
        <v>8840331</v>
      </c>
      <c r="F424" s="3">
        <f>VLOOKUP($B424,temporalBoundaries!$A:$G,7,0)</f>
        <v>13900930</v>
      </c>
      <c r="G424" s="1"/>
    </row>
    <row r="425" ht="16.5" customHeight="1">
      <c r="A425" s="4" t="s">
        <v>1698</v>
      </c>
      <c r="B425" s="4" t="s">
        <v>1699</v>
      </c>
      <c r="C425" s="4" t="s">
        <v>1700</v>
      </c>
      <c r="D425" s="4" t="s">
        <v>1701</v>
      </c>
      <c r="E425" s="3">
        <f>VLOOKUP($B425,temporalBoundaries!$A:$G,6,0)</f>
        <v>9431231</v>
      </c>
      <c r="F425" s="3">
        <f>VLOOKUP($B425,temporalBoundaries!$A:$G,7,0)</f>
        <v>13980809</v>
      </c>
      <c r="G425" s="1"/>
    </row>
    <row r="426" ht="16.5" customHeight="1">
      <c r="A426" s="4" t="s">
        <v>1702</v>
      </c>
      <c r="B426" s="4" t="s">
        <v>1703</v>
      </c>
      <c r="C426" s="4" t="s">
        <v>1704</v>
      </c>
      <c r="D426" s="4" t="s">
        <v>1705</v>
      </c>
      <c r="E426" s="3">
        <f>VLOOKUP($B426,temporalBoundaries!$A:$G,6,0)</f>
        <v>12630324</v>
      </c>
      <c r="F426" s="3">
        <f>VLOOKUP($B426,temporalBoundaries!$A:$G,7,0)</f>
        <v>13970729</v>
      </c>
      <c r="G426" s="1"/>
    </row>
    <row r="427" ht="16.5" customHeight="1">
      <c r="A427" s="3" t="s">
        <v>1706</v>
      </c>
      <c r="B427" s="3" t="s">
        <v>1707</v>
      </c>
      <c r="C427" s="3" t="s">
        <v>1708</v>
      </c>
      <c r="D427" s="3" t="s">
        <v>1709</v>
      </c>
      <c r="E427" s="3">
        <f>VLOOKUP($B427,temporalBoundaries!$A:$G,6,0)</f>
        <v>9451115</v>
      </c>
      <c r="F427" s="3">
        <f>VLOOKUP($B427,temporalBoundaries!$A:$G,7,0)</f>
        <v>13950108</v>
      </c>
      <c r="G427" s="1"/>
    </row>
    <row r="428" ht="16.5" customHeight="1">
      <c r="A428" s="3" t="s">
        <v>1710</v>
      </c>
      <c r="B428" s="3" t="s">
        <v>1711</v>
      </c>
      <c r="C428" s="3" t="s">
        <v>1712</v>
      </c>
      <c r="D428" s="3" t="s">
        <v>1713</v>
      </c>
      <c r="E428" s="3">
        <f>VLOOKUP($B428,temporalBoundaries!$A:$G,6,0)</f>
        <v>11340428</v>
      </c>
      <c r="F428" s="3">
        <f>VLOOKUP($B428,temporalBoundaries!$A:$G,7,0)</f>
        <v>14570502</v>
      </c>
      <c r="G428" s="1"/>
    </row>
    <row r="429" ht="16.5" customHeight="1">
      <c r="A429" s="3" t="s">
        <v>1714</v>
      </c>
      <c r="B429" s="3" t="s">
        <v>1715</v>
      </c>
      <c r="C429" s="3" t="s">
        <v>1716</v>
      </c>
      <c r="D429" s="3" t="s">
        <v>1717</v>
      </c>
      <c r="E429" s="3">
        <f>VLOOKUP($B429,temporalBoundaries!$A:$G,6,0)</f>
        <v>12040430</v>
      </c>
      <c r="F429" s="3">
        <f>VLOOKUP($B429,temporalBoundaries!$A:$G,7,0)</f>
        <v>13980425</v>
      </c>
      <c r="G429" s="1"/>
    </row>
    <row r="430" ht="16.5" customHeight="1">
      <c r="A430" s="3" t="s">
        <v>1718</v>
      </c>
      <c r="B430" s="3" t="s">
        <v>1719</v>
      </c>
      <c r="C430" s="3" t="s">
        <v>1720</v>
      </c>
      <c r="D430" s="3" t="s">
        <v>1721</v>
      </c>
      <c r="E430" s="3">
        <f>VLOOKUP($B430,temporalBoundaries!$A:$G,6,0)</f>
        <v>13490723</v>
      </c>
      <c r="F430" s="3">
        <f>VLOOKUP($B430,temporalBoundaries!$A:$G,7,0)</f>
        <v>13960619</v>
      </c>
      <c r="G430" s="1"/>
    </row>
    <row r="431" ht="16.5" customHeight="1">
      <c r="A431" s="3" t="s">
        <v>1722</v>
      </c>
      <c r="B431" s="3" t="s">
        <v>1723</v>
      </c>
      <c r="C431" s="3" t="s">
        <v>1724</v>
      </c>
      <c r="D431" s="3" t="s">
        <v>1725</v>
      </c>
      <c r="E431" s="3">
        <f>VLOOKUP($B431,temporalBoundaries!$A:$G,6,0)</f>
        <v>13450821</v>
      </c>
      <c r="F431" s="3">
        <f>VLOOKUP($B431,temporalBoundaries!$A:$G,7,0)</f>
        <v>13451110</v>
      </c>
      <c r="G431" s="1"/>
    </row>
    <row r="432" ht="16.5" customHeight="1">
      <c r="A432" s="3" t="s">
        <v>1726</v>
      </c>
      <c r="B432" s="3" t="s">
        <v>1727</v>
      </c>
      <c r="C432" s="3" t="s">
        <v>1728</v>
      </c>
      <c r="D432" s="3" t="s">
        <v>1729</v>
      </c>
      <c r="E432" s="3">
        <f>VLOOKUP($B432,temporalBoundaries!$A:$G,6,0)</f>
        <v>12510128</v>
      </c>
      <c r="F432" s="3">
        <f>VLOOKUP($B432,temporalBoundaries!$A:$G,7,0)</f>
        <v>13960212</v>
      </c>
      <c r="G432" s="1"/>
    </row>
    <row r="433" ht="16.5" customHeight="1">
      <c r="A433" s="4" t="s">
        <v>1730</v>
      </c>
      <c r="B433" s="4" t="s">
        <v>1731</v>
      </c>
      <c r="C433" s="4" t="s">
        <v>1732</v>
      </c>
      <c r="D433" s="4" t="s">
        <v>1733</v>
      </c>
      <c r="E433" s="3">
        <f>VLOOKUP($B433,temporalBoundaries!$A:$G,6,0)</f>
        <v>12551031</v>
      </c>
      <c r="F433" s="3">
        <f>VLOOKUP($B433,temporalBoundaries!$A:$G,7,0)</f>
        <v>13970825</v>
      </c>
      <c r="G433" s="1"/>
    </row>
    <row r="434" ht="16.5" customHeight="1">
      <c r="A434" s="3" t="s">
        <v>1734</v>
      </c>
      <c r="B434" s="3" t="s">
        <v>1735</v>
      </c>
      <c r="C434" s="3" t="s">
        <v>1736</v>
      </c>
      <c r="D434" s="3" t="s">
        <v>1737</v>
      </c>
      <c r="E434" s="3">
        <f>VLOOKUP($B434,temporalBoundaries!$A:$G,6,0)</f>
        <v>11420131</v>
      </c>
      <c r="F434" s="3">
        <f>VLOOKUP($B434,temporalBoundaries!$A:$G,7,0)</f>
        <v>13980319</v>
      </c>
      <c r="G434" s="1"/>
    </row>
    <row r="435" ht="16.5" customHeight="1">
      <c r="A435" s="4" t="s">
        <v>1738</v>
      </c>
      <c r="B435" s="4" t="s">
        <v>1739</v>
      </c>
      <c r="C435" s="4" t="s">
        <v>1740</v>
      </c>
      <c r="D435" s="4" t="s">
        <v>1741</v>
      </c>
      <c r="E435" s="3">
        <f>VLOOKUP($B435,temporalBoundaries!$A:$G,6,0)</f>
        <v>13910926</v>
      </c>
      <c r="F435" s="3">
        <f>VLOOKUP($B435,temporalBoundaries!$A:$G,7,0)</f>
        <v>13910926</v>
      </c>
      <c r="G435" s="1"/>
    </row>
    <row r="436" ht="16.5" customHeight="1">
      <c r="A436" s="4" t="s">
        <v>1742</v>
      </c>
      <c r="B436" s="4" t="s">
        <v>1743</v>
      </c>
      <c r="C436" s="4" t="s">
        <v>1744</v>
      </c>
      <c r="D436" s="4" t="s">
        <v>1745</v>
      </c>
      <c r="E436" s="3">
        <f>VLOOKUP($B436,temporalBoundaries!$A:$G,6,0)</f>
        <v>11830703</v>
      </c>
      <c r="F436" s="3">
        <f>VLOOKUP($B436,temporalBoundaries!$A:$G,7,0)</f>
        <v>13941123</v>
      </c>
      <c r="G436" s="1"/>
    </row>
    <row r="437" ht="16.5" customHeight="1">
      <c r="A437" s="4" t="s">
        <v>1746</v>
      </c>
      <c r="B437" s="4" t="s">
        <v>1747</v>
      </c>
      <c r="C437" s="4" t="s">
        <v>1748</v>
      </c>
      <c r="D437" s="4" t="s">
        <v>1749</v>
      </c>
      <c r="E437" s="3">
        <f>VLOOKUP($B437,temporalBoundaries!$A:$G,6,0)</f>
        <v>10300331</v>
      </c>
      <c r="F437" s="3">
        <f>VLOOKUP($B437,temporalBoundaries!$A:$G,7,0)</f>
        <v>13970130</v>
      </c>
      <c r="G437" s="1"/>
    </row>
    <row r="438" ht="16.5" customHeight="1">
      <c r="A438" s="3" t="s">
        <v>1750</v>
      </c>
      <c r="B438" s="3" t="s">
        <v>1751</v>
      </c>
      <c r="C438" s="3" t="s">
        <v>1752</v>
      </c>
      <c r="D438" s="3" t="s">
        <v>1753</v>
      </c>
      <c r="E438" s="3">
        <f>VLOOKUP($B438,temporalBoundaries!$A:$G,6,0)</f>
        <v>12430829</v>
      </c>
      <c r="F438" s="3">
        <f>VLOOKUP($B438,temporalBoundaries!$A:$G,7,0)</f>
        <v>13980831</v>
      </c>
      <c r="G438" s="1"/>
    </row>
    <row r="439" ht="16.5" customHeight="1">
      <c r="A439" s="4" t="s">
        <v>1754</v>
      </c>
      <c r="B439" s="4" t="s">
        <v>1755</v>
      </c>
      <c r="C439" s="4" t="s">
        <v>1756</v>
      </c>
      <c r="D439" s="4" t="s">
        <v>1757</v>
      </c>
      <c r="E439" s="3">
        <f>VLOOKUP($B439,temporalBoundaries!$A:$G,6,0)</f>
        <v>13380503</v>
      </c>
      <c r="F439" s="3">
        <f>VLOOKUP($B439,temporalBoundaries!$A:$G,7,0)</f>
        <v>13930120</v>
      </c>
      <c r="G439" s="1"/>
    </row>
    <row r="440" ht="16.5" customHeight="1">
      <c r="A440" s="3" t="s">
        <v>1758</v>
      </c>
      <c r="B440" s="3" t="s">
        <v>1759</v>
      </c>
      <c r="C440" s="3" t="s">
        <v>1760</v>
      </c>
      <c r="D440" s="3" t="s">
        <v>1761</v>
      </c>
      <c r="E440" s="3">
        <f>VLOOKUP($B440,temporalBoundaries!$A:$G,6,0)</f>
        <v>13150228</v>
      </c>
      <c r="F440" s="3">
        <f>VLOOKUP($B440,temporalBoundaries!$A:$G,7,0)</f>
        <v>13950606</v>
      </c>
      <c r="G440" s="1"/>
    </row>
    <row r="441" ht="16.5" customHeight="1">
      <c r="A441" s="3" t="s">
        <v>1762</v>
      </c>
      <c r="B441" s="3" t="s">
        <v>1763</v>
      </c>
      <c r="C441" s="3" t="s">
        <v>1764</v>
      </c>
      <c r="D441" s="3" t="s">
        <v>1765</v>
      </c>
      <c r="E441" s="3">
        <f>VLOOKUP($B441,temporalBoundaries!$A:$G,6,0)</f>
        <v>12460125</v>
      </c>
      <c r="F441" s="3">
        <f>VLOOKUP($B441,temporalBoundaries!$A:$G,7,0)</f>
        <v>13941106</v>
      </c>
      <c r="G441" s="1"/>
    </row>
    <row r="442" ht="16.5" customHeight="1">
      <c r="A442" s="4" t="s">
        <v>1766</v>
      </c>
      <c r="B442" s="4" t="s">
        <v>1767</v>
      </c>
      <c r="C442" s="4" t="s">
        <v>1768</v>
      </c>
      <c r="D442" s="4" t="s">
        <v>1769</v>
      </c>
      <c r="E442" s="3">
        <f>VLOOKUP($B442,temporalBoundaries!$A:$G,6,0)</f>
        <v>13131201</v>
      </c>
      <c r="F442" s="3">
        <f>VLOOKUP($B442,temporalBoundaries!$A:$G,7,0)</f>
        <v>13941220</v>
      </c>
      <c r="G442" s="1"/>
    </row>
    <row r="443" ht="16.5" customHeight="1">
      <c r="A443" s="4" t="s">
        <v>1770</v>
      </c>
      <c r="B443" s="4" t="s">
        <v>1771</v>
      </c>
      <c r="C443" s="4" t="s">
        <v>1772</v>
      </c>
      <c r="D443" s="4" t="s">
        <v>1773</v>
      </c>
      <c r="E443" s="3">
        <f>VLOOKUP($B443,temporalBoundaries!$A:$G,6,0)</f>
        <v>11070921</v>
      </c>
      <c r="F443" s="3">
        <f>VLOOKUP($B443,temporalBoundaries!$A:$G,7,0)</f>
        <v>13970913</v>
      </c>
      <c r="G443" s="1"/>
    </row>
    <row r="444" ht="16.5" customHeight="1">
      <c r="A444" s="4" t="s">
        <v>1774</v>
      </c>
      <c r="B444" s="4" t="s">
        <v>1775</v>
      </c>
      <c r="C444" s="4" t="s">
        <v>1776</v>
      </c>
      <c r="D444" s="4" t="s">
        <v>1777</v>
      </c>
      <c r="E444" s="3">
        <f>VLOOKUP($B444,temporalBoundaries!$A:$G,6,0)</f>
        <v>12981211</v>
      </c>
      <c r="F444" s="3">
        <f>VLOOKUP($B444,temporalBoundaries!$A:$G,7,0)</f>
        <v>15301002</v>
      </c>
      <c r="G444" s="1"/>
    </row>
    <row r="445" ht="16.5" customHeight="1">
      <c r="A445" s="3" t="s">
        <v>1778</v>
      </c>
      <c r="B445" s="3" t="s">
        <v>1779</v>
      </c>
      <c r="C445" s="3" t="s">
        <v>1780</v>
      </c>
      <c r="D445" s="3" t="s">
        <v>1781</v>
      </c>
      <c r="E445" s="3">
        <f>VLOOKUP($B445,temporalBoundaries!$A:$G,6,0)</f>
        <v>12550323</v>
      </c>
      <c r="F445" s="3">
        <f>VLOOKUP($B445,temporalBoundaries!$A:$G,7,0)</f>
        <v>13971104</v>
      </c>
      <c r="G445" s="1"/>
    </row>
    <row r="446" ht="16.5" customHeight="1">
      <c r="A446" s="3" t="s">
        <v>1782</v>
      </c>
      <c r="B446" s="3" t="s">
        <v>1783</v>
      </c>
      <c r="C446" s="3" t="s">
        <v>1784</v>
      </c>
      <c r="D446" s="3" t="s">
        <v>1785</v>
      </c>
      <c r="E446" s="3">
        <f>VLOOKUP($B446,temporalBoundaries!$A:$G,6,0)</f>
        <v>10170630</v>
      </c>
      <c r="F446" s="3">
        <f>VLOOKUP($B446,temporalBoundaries!$A:$G,7,0)</f>
        <v>13941227</v>
      </c>
      <c r="G446" s="1"/>
    </row>
    <row r="447" ht="16.5" customHeight="1">
      <c r="A447" s="4" t="s">
        <v>1786</v>
      </c>
      <c r="B447" s="4" t="s">
        <v>1787</v>
      </c>
      <c r="C447" s="4" t="s">
        <v>1788</v>
      </c>
      <c r="D447" s="4" t="s">
        <v>1789</v>
      </c>
      <c r="E447" s="3">
        <f>VLOOKUP($B447,temporalBoundaries!$A:$G,6,0)</f>
        <v>13570518</v>
      </c>
      <c r="F447" s="3">
        <f>VLOOKUP($B447,temporalBoundaries!$A:$G,7,0)</f>
        <v>13940807</v>
      </c>
      <c r="G447" s="1"/>
    </row>
    <row r="448" ht="16.5" customHeight="1">
      <c r="A448" s="3" t="s">
        <v>1790</v>
      </c>
      <c r="B448" s="3" t="s">
        <v>1791</v>
      </c>
      <c r="C448" s="3" t="s">
        <v>1792</v>
      </c>
      <c r="D448" s="3" t="s">
        <v>1793</v>
      </c>
      <c r="E448" s="3">
        <f>VLOOKUP($B448,temporalBoundaries!$A:$G,6,0)</f>
        <v>12211120</v>
      </c>
      <c r="F448" s="3">
        <f>VLOOKUP($B448,temporalBoundaries!$A:$G,7,0)</f>
        <v>13960425</v>
      </c>
      <c r="G448" s="1"/>
    </row>
    <row r="449" ht="16.5" customHeight="1">
      <c r="A449" s="4" t="s">
        <v>1794</v>
      </c>
      <c r="B449" s="4" t="s">
        <v>1795</v>
      </c>
      <c r="C449" s="4" t="s">
        <v>1796</v>
      </c>
      <c r="D449" s="4" t="s">
        <v>1797</v>
      </c>
      <c r="E449" s="3">
        <f>VLOOKUP($B449,temporalBoundaries!$A:$G,6,0)</f>
        <v>11940925</v>
      </c>
      <c r="F449" s="3">
        <f>VLOOKUP($B449,temporalBoundaries!$A:$G,7,0)</f>
        <v>13950125</v>
      </c>
      <c r="G449" s="1"/>
    </row>
    <row r="450" ht="16.5" customHeight="1">
      <c r="A450" s="3" t="s">
        <v>1798</v>
      </c>
      <c r="B450" s="3" t="s">
        <v>1799</v>
      </c>
      <c r="C450" s="3" t="s">
        <v>1800</v>
      </c>
      <c r="D450" s="3" t="s">
        <v>1801</v>
      </c>
      <c r="E450" s="3">
        <f>VLOOKUP($B450,temporalBoundaries!$A:$G,6,0)</f>
        <v>12001231</v>
      </c>
      <c r="F450" s="3">
        <f>VLOOKUP($B450,temporalBoundaries!$A:$G,7,0)</f>
        <v>13980128</v>
      </c>
      <c r="G450" s="1"/>
    </row>
    <row r="451" ht="16.5" customHeight="1">
      <c r="A451" s="4" t="s">
        <v>1802</v>
      </c>
      <c r="B451" s="4" t="s">
        <v>1803</v>
      </c>
      <c r="C451" s="4" t="s">
        <v>1804</v>
      </c>
      <c r="D451" s="4" t="s">
        <v>1805</v>
      </c>
      <c r="E451" s="3" t="str">
        <f>VLOOKUP($B451,temporalBoundaries!$A:$G,6,0)</f>
        <v>NaN</v>
      </c>
      <c r="F451" s="3" t="str">
        <f>VLOOKUP($B451,temporalBoundaries!$A:$G,7,0)</f>
        <v>NaN</v>
      </c>
      <c r="G451" s="1"/>
    </row>
    <row r="452" ht="16.5" customHeight="1">
      <c r="A452" s="4" t="s">
        <v>1806</v>
      </c>
      <c r="B452" s="4" t="s">
        <v>1807</v>
      </c>
      <c r="C452" s="4" t="s">
        <v>1808</v>
      </c>
      <c r="D452" s="4" t="s">
        <v>1809</v>
      </c>
      <c r="E452" s="3">
        <f>VLOOKUP($B452,temporalBoundaries!$A:$G,6,0)</f>
        <v>12450129</v>
      </c>
      <c r="F452" s="3">
        <f>VLOOKUP($B452,temporalBoundaries!$A:$G,7,0)</f>
        <v>12450129</v>
      </c>
      <c r="G452" s="1"/>
    </row>
    <row r="453" ht="16.5" customHeight="1">
      <c r="A453" s="3" t="s">
        <v>1810</v>
      </c>
      <c r="B453" s="3" t="s">
        <v>1811</v>
      </c>
      <c r="C453" s="3" t="s">
        <v>1812</v>
      </c>
      <c r="D453" s="3" t="s">
        <v>1813</v>
      </c>
      <c r="E453" s="3">
        <f>VLOOKUP($B453,temporalBoundaries!$A:$G,6,0)</f>
        <v>13300423</v>
      </c>
      <c r="F453" s="3">
        <f>VLOOKUP($B453,temporalBoundaries!$A:$G,7,0)</f>
        <v>13960920</v>
      </c>
      <c r="G453" s="1"/>
    </row>
    <row r="454" ht="16.5" customHeight="1">
      <c r="A454" s="3" t="s">
        <v>1814</v>
      </c>
      <c r="B454" s="3" t="s">
        <v>1815</v>
      </c>
      <c r="C454" s="3" t="s">
        <v>1816</v>
      </c>
      <c r="D454" s="3" t="s">
        <v>1817</v>
      </c>
      <c r="E454" s="3" t="str">
        <f>VLOOKUP($B454,temporalBoundaries!$A:$G,6,0)</f>
        <v>NaN</v>
      </c>
      <c r="F454" s="3" t="str">
        <f>VLOOKUP($B454,temporalBoundaries!$A:$G,7,0)</f>
        <v>NaN</v>
      </c>
      <c r="G454" s="1"/>
    </row>
    <row r="455" ht="16.5" customHeight="1">
      <c r="A455" s="3" t="s">
        <v>1818</v>
      </c>
      <c r="B455" s="3" t="s">
        <v>1819</v>
      </c>
      <c r="C455" s="3" t="s">
        <v>1820</v>
      </c>
      <c r="D455" s="3" t="s">
        <v>1821</v>
      </c>
      <c r="E455" s="3">
        <f>VLOOKUP($B455,temporalBoundaries!$A:$G,6,0)</f>
        <v>11820124</v>
      </c>
      <c r="F455" s="3">
        <f>VLOOKUP($B455,temporalBoundaries!$A:$G,7,0)</f>
        <v>13680327</v>
      </c>
      <c r="G455" s="1"/>
    </row>
    <row r="456" ht="16.5" customHeight="1">
      <c r="A456" s="3" t="s">
        <v>1822</v>
      </c>
      <c r="B456" s="3" t="s">
        <v>1823</v>
      </c>
      <c r="C456" s="3" t="s">
        <v>1824</v>
      </c>
      <c r="D456" s="3" t="s">
        <v>1825</v>
      </c>
      <c r="E456" s="3">
        <f>VLOOKUP($B456,temporalBoundaries!$A:$G,6,0)</f>
        <v>12320609</v>
      </c>
      <c r="F456" s="3">
        <f>VLOOKUP($B456,temporalBoundaries!$A:$G,7,0)</f>
        <v>12560711</v>
      </c>
      <c r="G456" s="1"/>
    </row>
    <row r="457" ht="16.5" customHeight="1">
      <c r="A457" s="4" t="s">
        <v>1826</v>
      </c>
      <c r="B457" s="4" t="s">
        <v>1827</v>
      </c>
      <c r="C457" s="4" t="s">
        <v>1828</v>
      </c>
      <c r="D457" s="4" t="s">
        <v>1829</v>
      </c>
      <c r="E457" s="3">
        <f>VLOOKUP($B457,temporalBoundaries!$A:$G,6,0)</f>
        <v>13640215</v>
      </c>
      <c r="F457" s="3">
        <f>VLOOKUP($B457,temporalBoundaries!$A:$G,7,0)</f>
        <v>13790815</v>
      </c>
      <c r="G457" s="1"/>
    </row>
    <row r="458" ht="16.5" customHeight="1">
      <c r="A458" s="3" t="s">
        <v>1830</v>
      </c>
      <c r="B458" s="3" t="s">
        <v>1831</v>
      </c>
      <c r="C458" s="3" t="s">
        <v>1832</v>
      </c>
      <c r="D458" s="3" t="s">
        <v>1833</v>
      </c>
      <c r="E458" s="3">
        <f>VLOOKUP($B458,temporalBoundaries!$A:$G,6,0)</f>
        <v>12270319</v>
      </c>
      <c r="F458" s="3">
        <f>VLOOKUP($B458,temporalBoundaries!$A:$G,7,0)</f>
        <v>13800930</v>
      </c>
      <c r="G458" s="1"/>
    </row>
    <row r="459" ht="16.5" customHeight="1">
      <c r="A459" s="4" t="s">
        <v>1834</v>
      </c>
      <c r="B459" s="4" t="s">
        <v>1835</v>
      </c>
      <c r="C459" s="4" t="s">
        <v>1836</v>
      </c>
      <c r="D459" s="4" t="s">
        <v>1837</v>
      </c>
      <c r="E459" s="3">
        <f>VLOOKUP($B459,temporalBoundaries!$A:$G,6,0)</f>
        <v>11530124</v>
      </c>
      <c r="F459" s="3">
        <f>VLOOKUP($B459,temporalBoundaries!$A:$G,7,0)</f>
        <v>13981028</v>
      </c>
      <c r="G459" s="1"/>
    </row>
    <row r="460" ht="16.5" customHeight="1">
      <c r="A460" s="3" t="s">
        <v>1838</v>
      </c>
      <c r="B460" s="3" t="s">
        <v>1839</v>
      </c>
      <c r="C460" s="3" t="s">
        <v>1840</v>
      </c>
      <c r="D460" s="3" t="s">
        <v>1841</v>
      </c>
      <c r="E460" s="3">
        <f>VLOOKUP($B460,temporalBoundaries!$A:$G,6,0)</f>
        <v>12951006</v>
      </c>
      <c r="F460" s="3">
        <f>VLOOKUP($B460,temporalBoundaries!$A:$G,7,0)</f>
        <v>13971212</v>
      </c>
      <c r="G460" s="1"/>
    </row>
    <row r="461" ht="16.5" customHeight="1">
      <c r="A461" s="3" t="s">
        <v>1842</v>
      </c>
      <c r="B461" s="3" t="s">
        <v>1843</v>
      </c>
      <c r="C461" s="3" t="s">
        <v>1844</v>
      </c>
      <c r="D461" s="3" t="s">
        <v>1845</v>
      </c>
      <c r="E461" s="3">
        <f>VLOOKUP($B461,temporalBoundaries!$A:$G,6,0)</f>
        <v>12370210</v>
      </c>
      <c r="F461" s="3">
        <f>VLOOKUP($B461,temporalBoundaries!$A:$G,7,0)</f>
        <v>13870708</v>
      </c>
      <c r="G461" s="1"/>
    </row>
    <row r="462" ht="16.5" customHeight="1">
      <c r="A462" s="3" t="s">
        <v>1846</v>
      </c>
      <c r="B462" s="3" t="s">
        <v>1847</v>
      </c>
      <c r="C462" s="3" t="s">
        <v>1848</v>
      </c>
      <c r="D462" s="3" t="s">
        <v>1849</v>
      </c>
      <c r="E462" s="3">
        <f>VLOOKUP($B462,temporalBoundaries!$A:$G,6,0)</f>
        <v>13480107</v>
      </c>
      <c r="F462" s="3">
        <f>VLOOKUP($B462,temporalBoundaries!$A:$G,7,0)</f>
        <v>13971229</v>
      </c>
      <c r="G462" s="1"/>
    </row>
    <row r="463" ht="16.5" customHeight="1">
      <c r="A463" s="4" t="s">
        <v>1850</v>
      </c>
      <c r="B463" s="4" t="s">
        <v>1851</v>
      </c>
      <c r="C463" s="4" t="s">
        <v>1852</v>
      </c>
      <c r="D463" s="4" t="s">
        <v>1853</v>
      </c>
      <c r="E463" s="3">
        <f>VLOOKUP($B463,temporalBoundaries!$A:$G,6,0)</f>
        <v>7480908</v>
      </c>
      <c r="F463" s="3">
        <f>VLOOKUP($B463,temporalBoundaries!$A:$G,7,0)</f>
        <v>13980413</v>
      </c>
      <c r="G463" s="1"/>
    </row>
    <row r="464" ht="16.5" customHeight="1">
      <c r="A464" s="4" t="s">
        <v>1854</v>
      </c>
      <c r="B464" s="4" t="s">
        <v>1855</v>
      </c>
      <c r="C464" s="4" t="s">
        <v>1856</v>
      </c>
      <c r="D464" s="4" t="s">
        <v>1857</v>
      </c>
      <c r="E464" s="3">
        <f>VLOOKUP($B464,temporalBoundaries!$A:$G,6,0)</f>
        <v>12551212</v>
      </c>
      <c r="F464" s="3">
        <f>VLOOKUP($B464,temporalBoundaries!$A:$G,7,0)</f>
        <v>13981219</v>
      </c>
      <c r="G464" s="1"/>
    </row>
    <row r="465" ht="16.5" customHeight="1">
      <c r="A465" s="3" t="s">
        <v>1858</v>
      </c>
      <c r="B465" s="3" t="s">
        <v>1859</v>
      </c>
      <c r="C465" s="3" t="s">
        <v>1860</v>
      </c>
      <c r="D465" s="3" t="s">
        <v>1861</v>
      </c>
      <c r="E465" s="3">
        <f>VLOOKUP($B465,temporalBoundaries!$A:$G,6,0)</f>
        <v>13100927</v>
      </c>
      <c r="F465" s="3">
        <f>VLOOKUP($B465,temporalBoundaries!$A:$G,7,0)</f>
        <v>13830806</v>
      </c>
      <c r="G465" s="1"/>
    </row>
    <row r="466" ht="16.5" customHeight="1">
      <c r="A466" s="4" t="s">
        <v>1862</v>
      </c>
      <c r="B466" s="4" t="s">
        <v>1863</v>
      </c>
      <c r="C466" s="4" t="s">
        <v>1864</v>
      </c>
      <c r="D466" s="4" t="s">
        <v>1865</v>
      </c>
      <c r="E466" s="3">
        <f>VLOOKUP($B466,temporalBoundaries!$A:$G,6,0)</f>
        <v>12030228</v>
      </c>
      <c r="F466" s="3">
        <f>VLOOKUP($B466,temporalBoundaries!$A:$G,7,0)</f>
        <v>13961018</v>
      </c>
      <c r="G466" s="1"/>
    </row>
    <row r="467" ht="16.5" customHeight="1">
      <c r="A467" s="4" t="s">
        <v>1866</v>
      </c>
      <c r="B467" s="4" t="s">
        <v>1867</v>
      </c>
      <c r="C467" s="4" t="s">
        <v>1868</v>
      </c>
      <c r="D467" s="4" t="s">
        <v>1869</v>
      </c>
      <c r="E467" s="3">
        <f>VLOOKUP($B467,temporalBoundaries!$A:$G,6,0)</f>
        <v>11001130</v>
      </c>
      <c r="F467" s="3">
        <f>VLOOKUP($B467,temporalBoundaries!$A:$G,7,0)</f>
        <v>13970925</v>
      </c>
      <c r="G467" s="1"/>
    </row>
    <row r="468" ht="16.5" customHeight="1">
      <c r="A468" s="4" t="s">
        <v>1870</v>
      </c>
      <c r="B468" s="4" t="s">
        <v>1871</v>
      </c>
      <c r="C468" s="4" t="s">
        <v>1872</v>
      </c>
      <c r="D468" s="4" t="s">
        <v>1873</v>
      </c>
      <c r="E468" s="3">
        <f>VLOOKUP($B468,temporalBoundaries!$A:$G,6,0)</f>
        <v>12180513</v>
      </c>
      <c r="F468" s="3">
        <f>VLOOKUP($B468,temporalBoundaries!$A:$G,7,0)</f>
        <v>13981006</v>
      </c>
      <c r="G468" s="1"/>
    </row>
    <row r="469" ht="16.5" customHeight="1">
      <c r="A469" s="4" t="s">
        <v>1874</v>
      </c>
      <c r="B469" s="4" t="s">
        <v>1875</v>
      </c>
      <c r="C469" s="4" t="s">
        <v>1876</v>
      </c>
      <c r="D469" s="4" t="s">
        <v>1877</v>
      </c>
      <c r="E469" s="3">
        <f>VLOOKUP($B469,temporalBoundaries!$A:$G,6,0)</f>
        <v>13901224</v>
      </c>
      <c r="F469" s="3">
        <f>VLOOKUP($B469,temporalBoundaries!$A:$G,7,0)</f>
        <v>13980930</v>
      </c>
      <c r="G469" s="1"/>
    </row>
    <row r="470" ht="16.5" customHeight="1">
      <c r="A470" s="4" t="s">
        <v>1878</v>
      </c>
      <c r="B470" s="4" t="s">
        <v>1879</v>
      </c>
      <c r="C470" s="4" t="s">
        <v>1880</v>
      </c>
      <c r="D470" s="4" t="s">
        <v>1881</v>
      </c>
      <c r="E470" s="3">
        <f>VLOOKUP($B470,temporalBoundaries!$A:$G,6,0)</f>
        <v>12431117</v>
      </c>
      <c r="F470" s="3">
        <f>VLOOKUP($B470,temporalBoundaries!$A:$G,7,0)</f>
        <v>13981117</v>
      </c>
      <c r="G470" s="1"/>
    </row>
    <row r="471" ht="16.5" customHeight="1">
      <c r="A471" s="3" t="s">
        <v>1882</v>
      </c>
      <c r="B471" s="3" t="s">
        <v>1883</v>
      </c>
      <c r="C471" s="3" t="s">
        <v>1884</v>
      </c>
      <c r="D471" s="3" t="s">
        <v>1885</v>
      </c>
      <c r="E471" s="3">
        <f>VLOOKUP($B471,temporalBoundaries!$A:$G,6,0)</f>
        <v>12650509</v>
      </c>
      <c r="F471" s="3">
        <f>VLOOKUP($B471,temporalBoundaries!$A:$G,7,0)</f>
        <v>13980715</v>
      </c>
      <c r="G471" s="1"/>
    </row>
    <row r="472" ht="16.5" customHeight="1">
      <c r="A472" s="4" t="s">
        <v>1886</v>
      </c>
      <c r="B472" s="4" t="s">
        <v>1887</v>
      </c>
      <c r="C472" s="4" t="s">
        <v>1888</v>
      </c>
      <c r="D472" s="4" t="s">
        <v>1889</v>
      </c>
      <c r="E472" s="3">
        <f>VLOOKUP($B472,temporalBoundaries!$A:$G,6,0)</f>
        <v>12550320</v>
      </c>
      <c r="F472" s="3">
        <f>VLOOKUP($B472,temporalBoundaries!$A:$G,7,0)</f>
        <v>13721205</v>
      </c>
      <c r="G472" s="1"/>
    </row>
    <row r="473" ht="16.5" customHeight="1">
      <c r="A473" s="3" t="s">
        <v>1890</v>
      </c>
      <c r="B473" s="3" t="s">
        <v>1891</v>
      </c>
      <c r="C473" s="3" t="s">
        <v>1892</v>
      </c>
      <c r="D473" s="3" t="s">
        <v>1893</v>
      </c>
      <c r="E473" s="3">
        <f>VLOOKUP($B473,temporalBoundaries!$A:$G,6,0)</f>
        <v>13730926</v>
      </c>
      <c r="F473" s="3">
        <f>VLOOKUP($B473,temporalBoundaries!$A:$G,7,0)</f>
        <v>13900408</v>
      </c>
      <c r="G473" s="1"/>
    </row>
    <row r="474" ht="16.5" customHeight="1">
      <c r="A474" s="3" t="s">
        <v>1894</v>
      </c>
      <c r="B474" s="3" t="s">
        <v>1895</v>
      </c>
      <c r="C474" s="3" t="s">
        <v>1896</v>
      </c>
      <c r="D474" s="3" t="s">
        <v>1897</v>
      </c>
      <c r="E474" s="3">
        <f>VLOOKUP($B474,temporalBoundaries!$A:$G,6,0)</f>
        <v>12930131</v>
      </c>
      <c r="F474" s="3">
        <f>VLOOKUP($B474,temporalBoundaries!$A:$G,7,0)</f>
        <v>13970427</v>
      </c>
      <c r="G474" s="1"/>
    </row>
    <row r="475" ht="16.5" customHeight="1">
      <c r="A475" s="4" t="s">
        <v>1898</v>
      </c>
      <c r="B475" s="4" t="s">
        <v>1899</v>
      </c>
      <c r="C475" s="4" t="s">
        <v>1900</v>
      </c>
      <c r="D475" s="4" t="s">
        <v>1901</v>
      </c>
      <c r="E475" s="3">
        <f>VLOOKUP($B475,temporalBoundaries!$A:$G,6,0)</f>
        <v>12991222</v>
      </c>
      <c r="F475" s="3">
        <f>VLOOKUP($B475,temporalBoundaries!$A:$G,7,0)</f>
        <v>12991222</v>
      </c>
      <c r="G475" s="1"/>
    </row>
    <row r="476" ht="16.5" customHeight="1">
      <c r="A476" s="4" t="s">
        <v>1902</v>
      </c>
      <c r="B476" s="4" t="s">
        <v>1903</v>
      </c>
      <c r="C476" s="4" t="s">
        <v>1904</v>
      </c>
      <c r="D476" s="4" t="s">
        <v>1905</v>
      </c>
      <c r="E476" s="3">
        <f>VLOOKUP($B476,temporalBoundaries!$A:$G,6,0)</f>
        <v>12611020</v>
      </c>
      <c r="F476" s="3">
        <f>VLOOKUP($B476,temporalBoundaries!$A:$G,7,0)</f>
        <v>13980409</v>
      </c>
      <c r="G476" s="1"/>
    </row>
    <row r="477" ht="16.5" customHeight="1">
      <c r="A477" s="3" t="s">
        <v>1906</v>
      </c>
      <c r="B477" s="3" t="s">
        <v>1907</v>
      </c>
      <c r="C477" s="3" t="s">
        <v>1908</v>
      </c>
      <c r="D477" s="3" t="s">
        <v>1909</v>
      </c>
      <c r="E477" s="3">
        <f>VLOOKUP($B477,temporalBoundaries!$A:$G,6,0)</f>
        <v>12990521</v>
      </c>
      <c r="F477" s="3">
        <f>VLOOKUP($B477,temporalBoundaries!$A:$G,7,0)</f>
        <v>13610816</v>
      </c>
      <c r="G477" s="1"/>
    </row>
    <row r="478" ht="16.5" customHeight="1">
      <c r="A478" s="3" t="s">
        <v>1910</v>
      </c>
      <c r="B478" s="3" t="s">
        <v>1911</v>
      </c>
      <c r="C478" s="3" t="s">
        <v>1912</v>
      </c>
      <c r="D478" s="3" t="s">
        <v>1913</v>
      </c>
      <c r="E478" s="3">
        <f>VLOOKUP($B478,temporalBoundaries!$A:$G,6,0)</f>
        <v>12820926</v>
      </c>
      <c r="F478" s="3">
        <f>VLOOKUP($B478,temporalBoundaries!$A:$G,7,0)</f>
        <v>13850429</v>
      </c>
      <c r="G478" s="1"/>
    </row>
    <row r="479" ht="16.5" customHeight="1">
      <c r="A479" s="4" t="s">
        <v>1914</v>
      </c>
      <c r="B479" s="4" t="s">
        <v>1915</v>
      </c>
      <c r="C479" s="4" t="s">
        <v>1916</v>
      </c>
      <c r="D479" s="4" t="s">
        <v>1917</v>
      </c>
      <c r="E479" s="3">
        <f>VLOOKUP($B479,temporalBoundaries!$A:$G,6,0)</f>
        <v>13090105</v>
      </c>
      <c r="F479" s="3">
        <f>VLOOKUP($B479,temporalBoundaries!$A:$G,7,0)</f>
        <v>13980406</v>
      </c>
      <c r="G479" s="1"/>
    </row>
    <row r="480" ht="16.5" customHeight="1">
      <c r="A480" s="4" t="s">
        <v>1918</v>
      </c>
      <c r="B480" s="4" t="s">
        <v>1919</v>
      </c>
      <c r="C480" s="4" t="s">
        <v>1920</v>
      </c>
      <c r="D480" s="4" t="s">
        <v>1921</v>
      </c>
      <c r="E480" s="3">
        <f>VLOOKUP($B480,temporalBoundaries!$A:$G,6,0)</f>
        <v>8161117</v>
      </c>
      <c r="F480" s="3">
        <f>VLOOKUP($B480,temporalBoundaries!$A:$G,7,0)</f>
        <v>13981114</v>
      </c>
      <c r="G480" s="1"/>
    </row>
    <row r="481" ht="16.5" customHeight="1">
      <c r="A481" s="3" t="s">
        <v>1922</v>
      </c>
      <c r="B481" s="3" t="s">
        <v>1923</v>
      </c>
      <c r="C481" s="3" t="s">
        <v>1924</v>
      </c>
      <c r="D481" s="3" t="s">
        <v>1925</v>
      </c>
      <c r="E481" s="3">
        <f>VLOOKUP($B481,temporalBoundaries!$A:$G,6,0)</f>
        <v>13040131</v>
      </c>
      <c r="F481" s="3">
        <f>VLOOKUP($B481,temporalBoundaries!$A:$G,7,0)</f>
        <v>13920111</v>
      </c>
      <c r="G481" s="1"/>
    </row>
    <row r="482" ht="16.5" customHeight="1">
      <c r="A482" s="3" t="s">
        <v>1926</v>
      </c>
      <c r="B482" s="3" t="s">
        <v>1927</v>
      </c>
      <c r="C482" s="3" t="s">
        <v>1928</v>
      </c>
      <c r="D482" s="3" t="s">
        <v>1929</v>
      </c>
      <c r="E482" s="3">
        <f>VLOOKUP($B482,temporalBoundaries!$A:$G,6,0)</f>
        <v>9110327</v>
      </c>
      <c r="F482" s="3">
        <f>VLOOKUP($B482,temporalBoundaries!$A:$G,7,0)</f>
        <v>16750108</v>
      </c>
      <c r="G482" s="1"/>
    </row>
    <row r="483" ht="16.5" customHeight="1">
      <c r="A483" s="4" t="s">
        <v>1930</v>
      </c>
      <c r="B483" s="4" t="s">
        <v>1931</v>
      </c>
      <c r="C483" s="4" t="s">
        <v>1932</v>
      </c>
      <c r="D483" s="4" t="s">
        <v>1933</v>
      </c>
      <c r="E483" s="3">
        <f>VLOOKUP($B483,temporalBoundaries!$A:$G,6,0)</f>
        <v>11700899</v>
      </c>
      <c r="F483" s="3">
        <f>VLOOKUP($B483,temporalBoundaries!$A:$G,7,0)</f>
        <v>15501105</v>
      </c>
      <c r="G483" s="1"/>
    </row>
    <row r="484" ht="16.5" customHeight="1">
      <c r="A484" s="3" t="s">
        <v>1934</v>
      </c>
      <c r="B484" s="3" t="s">
        <v>1935</v>
      </c>
      <c r="C484" s="3" t="s">
        <v>1936</v>
      </c>
      <c r="D484" s="3" t="s">
        <v>1937</v>
      </c>
      <c r="E484" s="3">
        <f>VLOOKUP($B484,temporalBoundaries!$A:$G,6,0)</f>
        <v>14040217</v>
      </c>
      <c r="F484" s="3">
        <f>VLOOKUP($B484,temporalBoundaries!$A:$G,7,0)</f>
        <v>16350817</v>
      </c>
      <c r="G484" s="1"/>
    </row>
    <row r="485" ht="16.5" customHeight="1">
      <c r="A485" s="4" t="s">
        <v>1938</v>
      </c>
      <c r="B485" s="4" t="s">
        <v>1939</v>
      </c>
      <c r="C485" s="4" t="s">
        <v>1940</v>
      </c>
      <c r="D485" s="4" t="s">
        <v>1941</v>
      </c>
      <c r="E485" s="3">
        <f>VLOOKUP($B485,temporalBoundaries!$A:$G,6,0)</f>
        <v>13260425</v>
      </c>
      <c r="F485" s="3">
        <f>VLOOKUP($B485,temporalBoundaries!$A:$G,7,0)</f>
        <v>17200225</v>
      </c>
      <c r="G485" s="1"/>
    </row>
    <row r="486" ht="16.5" customHeight="1">
      <c r="A486" s="3" t="s">
        <v>1942</v>
      </c>
      <c r="B486" s="3" t="s">
        <v>1943</v>
      </c>
      <c r="C486" s="3" t="s">
        <v>1944</v>
      </c>
      <c r="D486" s="3" t="s">
        <v>1945</v>
      </c>
      <c r="E486" s="3">
        <f>VLOOKUP($B486,temporalBoundaries!$A:$G,6,0)</f>
        <v>13340601</v>
      </c>
      <c r="F486" s="3">
        <f>VLOOKUP($B486,temporalBoundaries!$A:$G,7,0)</f>
        <v>17350527</v>
      </c>
      <c r="G486" s="1"/>
    </row>
    <row r="487" ht="16.5" customHeight="1">
      <c r="A487" s="4" t="s">
        <v>1946</v>
      </c>
      <c r="B487" s="4" t="s">
        <v>1947</v>
      </c>
      <c r="C487" s="4" t="s">
        <v>1948</v>
      </c>
      <c r="D487" s="4" t="s">
        <v>1949</v>
      </c>
      <c r="E487" s="3">
        <f>VLOOKUP($B487,temporalBoundaries!$A:$G,6,0)</f>
        <v>11640499</v>
      </c>
      <c r="F487" s="3">
        <f>VLOOKUP($B487,temporalBoundaries!$A:$G,7,0)</f>
        <v>17310519</v>
      </c>
      <c r="G487" s="1"/>
    </row>
    <row r="488" ht="16.5" customHeight="1">
      <c r="A488" s="4" t="s">
        <v>1950</v>
      </c>
      <c r="B488" s="4" t="s">
        <v>1951</v>
      </c>
      <c r="C488" s="4" t="s">
        <v>1952</v>
      </c>
      <c r="D488" s="4" t="s">
        <v>1953</v>
      </c>
      <c r="E488" s="3">
        <f>VLOOKUP($B488,temporalBoundaries!$A:$G,6,0)</f>
        <v>9970112</v>
      </c>
      <c r="F488" s="3">
        <f>VLOOKUP($B488,temporalBoundaries!$A:$G,7,0)</f>
        <v>17170507</v>
      </c>
      <c r="G488" s="1"/>
    </row>
    <row r="489" ht="16.5" customHeight="1">
      <c r="A489" s="3" t="s">
        <v>1954</v>
      </c>
      <c r="B489" s="3" t="s">
        <v>1955</v>
      </c>
      <c r="C489" s="3" t="s">
        <v>1956</v>
      </c>
      <c r="D489" s="3" t="s">
        <v>1957</v>
      </c>
      <c r="E489" s="3">
        <f>VLOOKUP($B489,temporalBoundaries!$A:$G,6,0)</f>
        <v>13040228</v>
      </c>
      <c r="F489" s="3">
        <f>VLOOKUP($B489,temporalBoundaries!$A:$G,7,0)</f>
        <v>18150808</v>
      </c>
      <c r="G489" s="1"/>
    </row>
    <row r="490" ht="16.5" customHeight="1">
      <c r="A490" s="4" t="s">
        <v>1958</v>
      </c>
      <c r="B490" s="4" t="s">
        <v>1959</v>
      </c>
      <c r="C490" s="4" t="s">
        <v>1960</v>
      </c>
      <c r="D490" s="4" t="s">
        <v>1961</v>
      </c>
      <c r="E490" s="3">
        <f>VLOOKUP($B490,temporalBoundaries!$A:$G,6,0)</f>
        <v>10150601</v>
      </c>
      <c r="F490" s="3">
        <f>VLOOKUP($B490,temporalBoundaries!$A:$G,7,0)</f>
        <v>17170320</v>
      </c>
      <c r="G490" s="1"/>
    </row>
    <row r="491" ht="16.5" customHeight="1">
      <c r="A491" s="4" t="s">
        <v>1962</v>
      </c>
      <c r="B491" s="4" t="s">
        <v>1963</v>
      </c>
      <c r="C491" s="4" t="s">
        <v>1964</v>
      </c>
      <c r="D491" s="4" t="s">
        <v>1965</v>
      </c>
      <c r="E491" s="3">
        <f>VLOOKUP($B491,temporalBoundaries!$A:$G,6,0)</f>
        <v>11250799</v>
      </c>
      <c r="F491" s="3">
        <f>VLOOKUP($B491,temporalBoundaries!$A:$G,7,0)</f>
        <v>16410703</v>
      </c>
      <c r="G491" s="1"/>
    </row>
    <row r="492" ht="16.5" customHeight="1">
      <c r="A492" s="3" t="s">
        <v>1966</v>
      </c>
      <c r="B492" s="3" t="s">
        <v>1967</v>
      </c>
      <c r="C492" s="3" t="s">
        <v>1968</v>
      </c>
      <c r="D492" s="3" t="s">
        <v>1969</v>
      </c>
      <c r="E492" s="3">
        <f>VLOOKUP($B492,temporalBoundaries!$A:$G,6,0)</f>
        <v>14520720</v>
      </c>
      <c r="F492" s="3">
        <f>VLOOKUP($B492,temporalBoundaries!$A:$G,7,0)</f>
        <v>15211226</v>
      </c>
      <c r="G492" s="1"/>
    </row>
    <row r="493" ht="16.5" customHeight="1">
      <c r="A493" s="3" t="s">
        <v>1970</v>
      </c>
      <c r="B493" s="3" t="s">
        <v>1971</v>
      </c>
      <c r="C493" s="3" t="s">
        <v>1972</v>
      </c>
      <c r="D493" s="3" t="s">
        <v>1973</v>
      </c>
      <c r="E493" s="3">
        <f>VLOOKUP($B493,temporalBoundaries!$A:$G,6,0)</f>
        <v>13020616</v>
      </c>
      <c r="F493" s="3">
        <f>VLOOKUP($B493,temporalBoundaries!$A:$G,7,0)</f>
        <v>13020616</v>
      </c>
      <c r="G493" s="1"/>
    </row>
    <row r="494" ht="16.5" customHeight="1">
      <c r="A494" s="3" t="s">
        <v>1974</v>
      </c>
      <c r="B494" s="3" t="s">
        <v>1975</v>
      </c>
      <c r="C494" s="3" t="s">
        <v>1976</v>
      </c>
      <c r="D494" s="3" t="s">
        <v>1977</v>
      </c>
      <c r="E494" s="3">
        <f>VLOOKUP($B494,temporalBoundaries!$A:$G,6,0)</f>
        <v>11980727</v>
      </c>
      <c r="F494" s="3">
        <f>VLOOKUP($B494,temporalBoundaries!$A:$G,7,0)</f>
        <v>18190622</v>
      </c>
      <c r="G494" s="1"/>
    </row>
    <row r="495" ht="16.5" customHeight="1">
      <c r="A495" s="4" t="s">
        <v>1978</v>
      </c>
      <c r="B495" s="4" t="s">
        <v>1979</v>
      </c>
      <c r="C495" s="4" t="s">
        <v>1980</v>
      </c>
      <c r="D495" s="4" t="s">
        <v>1981</v>
      </c>
      <c r="E495" s="3">
        <f>VLOOKUP($B495,temporalBoundaries!$A:$G,6,0)</f>
        <v>12559999</v>
      </c>
      <c r="F495" s="3">
        <f>VLOOKUP($B495,temporalBoundaries!$A:$G,7,0)</f>
        <v>17350814</v>
      </c>
      <c r="G495" s="1"/>
    </row>
    <row r="1047116" ht="12.800000000000001" customHeight="1"/>
    <row r="1047117" ht="12.800000000000001" customHeight="1"/>
    <row r="1047118" ht="12.800000000000001" customHeight="1"/>
    <row r="1047119" ht="12.800000000000001" customHeight="1"/>
    <row r="1047120" ht="12.800000000000001" customHeight="1"/>
    <row r="1047121" ht="12.800000000000001" customHeight="1"/>
    <row r="1047122" ht="12.800000000000001" customHeight="1"/>
    <row r="1047123" ht="12.800000000000001" customHeight="1"/>
    <row r="1047124" ht="12.800000000000001" customHeight="1"/>
    <row r="1047125" ht="12.800000000000001" customHeight="1"/>
    <row r="1047126" ht="12.800000000000001" customHeight="1"/>
    <row r="1047127" ht="12.800000000000001" customHeight="1"/>
    <row r="1047128" ht="12.800000000000001" customHeight="1"/>
    <row r="1047129" ht="12.800000000000001" customHeight="1"/>
    <row r="1047130" ht="12.800000000000001" customHeight="1"/>
    <row r="1047131" ht="12.800000000000001" customHeight="1"/>
    <row r="1047132" ht="12.800000000000001" customHeight="1"/>
    <row r="1047133" ht="12.800000000000001" customHeight="1"/>
    <row r="1047134" ht="12.800000000000001" customHeight="1"/>
    <row r="1047135" ht="12.800000000000001" customHeight="1"/>
    <row r="1047136" ht="12.800000000000001" customHeight="1"/>
    <row r="1047137" ht="12.800000000000001" customHeight="1"/>
    <row r="1047138" ht="12.800000000000001" customHeight="1"/>
    <row r="1047139" ht="12.800000000000001" customHeight="1"/>
    <row r="1047140" ht="12.800000000000001" customHeight="1"/>
    <row r="1047141" ht="12.800000000000001" customHeight="1"/>
    <row r="1047142" ht="12.800000000000001" customHeight="1"/>
    <row r="1047143" ht="12.800000000000001" customHeight="1"/>
    <row r="1047144" ht="12.800000000000001" customHeight="1"/>
    <row r="1047145" ht="12.800000000000001" customHeight="1"/>
    <row r="1047146" ht="12.800000000000001" customHeight="1"/>
    <row r="1047147" ht="12.800000000000001" customHeight="1"/>
    <row r="1047148" ht="12.800000000000001" customHeight="1"/>
    <row r="1047149" ht="12.800000000000001" customHeight="1"/>
    <row r="1047150" ht="12.800000000000001" customHeight="1"/>
    <row r="1047151" ht="12.800000000000001" customHeight="1"/>
    <row r="1047152" ht="12.800000000000001" customHeight="1"/>
    <row r="1047153" ht="12.800000000000001" customHeight="1"/>
    <row r="1047154" ht="12.800000000000001" customHeight="1"/>
    <row r="1047155" ht="12.800000000000001" customHeight="1"/>
    <row r="1047156" ht="12.800000000000001" customHeight="1"/>
    <row r="1047157" ht="12.800000000000001" customHeight="1"/>
    <row r="1047158" ht="12.800000000000001" customHeight="1"/>
    <row r="1047159" ht="12.800000000000001" customHeight="1"/>
    <row r="1047160" ht="12.800000000000001" customHeight="1"/>
    <row r="1047161" ht="12.800000000000001" customHeight="1"/>
    <row r="1047162" ht="12.800000000000001" customHeight="1"/>
    <row r="1047163" ht="12.800000000000001" customHeight="1"/>
    <row r="1047164" ht="12.800000000000001" customHeight="1"/>
    <row r="1047165" ht="12.800000000000001" customHeight="1"/>
    <row r="1047166" ht="12.800000000000001" customHeight="1"/>
    <row r="1047167" ht="12.800000000000001" customHeight="1"/>
    <row r="1047168" ht="12.800000000000001" customHeight="1"/>
    <row r="1047169" ht="12.800000000000001" customHeight="1"/>
    <row r="1047170" ht="12.800000000000001" customHeight="1"/>
    <row r="1047171" ht="12.800000000000001" customHeight="1"/>
    <row r="1047172" ht="12.800000000000001" customHeight="1"/>
    <row r="1047173" ht="12.800000000000001" customHeight="1"/>
    <row r="1047174" ht="12.800000000000001" customHeight="1"/>
    <row r="1047175" ht="12.800000000000001" customHeight="1"/>
    <row r="1047176" ht="12.800000000000001" customHeight="1"/>
    <row r="1047177" ht="12.800000000000001" customHeight="1"/>
    <row r="1047178" ht="12.800000000000001" customHeight="1"/>
    <row r="1047179" ht="12.800000000000001" customHeight="1"/>
    <row r="1047180" ht="12.800000000000001" customHeight="1"/>
    <row r="1047181" ht="12.800000000000001" customHeight="1"/>
    <row r="1047182" ht="12.800000000000001" customHeight="1"/>
    <row r="1047183" ht="12.800000000000001" customHeight="1"/>
    <row r="1047184" ht="12.800000000000001" customHeight="1"/>
    <row r="1047185" ht="12.800000000000001" customHeight="1"/>
    <row r="1047186" ht="12.800000000000001" customHeight="1"/>
    <row r="1047187" ht="12.800000000000001" customHeight="1"/>
    <row r="1047188" ht="12.800000000000001" customHeight="1"/>
    <row r="1047189" ht="12.800000000000001" customHeight="1"/>
    <row r="1047190" ht="12.800000000000001" customHeight="1"/>
    <row r="1047191" ht="12.800000000000001" customHeight="1"/>
    <row r="1047192" ht="12.800000000000001" customHeight="1"/>
    <row r="1047193" ht="12.800000000000001" customHeight="1"/>
    <row r="1047194" ht="12.800000000000001" customHeight="1"/>
    <row r="1047195" ht="12.800000000000001" customHeight="1"/>
    <row r="1047196" ht="12.800000000000001" customHeight="1"/>
    <row r="1047197" ht="12.800000000000001" customHeight="1"/>
    <row r="1047198" ht="12.800000000000001" customHeight="1"/>
    <row r="1047199" ht="12.800000000000001" customHeight="1"/>
    <row r="1047200" ht="12.800000000000001" customHeight="1"/>
    <row r="1047201" ht="12.800000000000001" customHeight="1"/>
    <row r="1047202" ht="12.800000000000001" customHeight="1"/>
    <row r="1047203" ht="12.800000000000001" customHeight="1"/>
    <row r="1047204" ht="12.800000000000001" customHeight="1"/>
    <row r="1047205" ht="12.800000000000001" customHeight="1"/>
    <row r="1047206" ht="12.800000000000001" customHeight="1"/>
    <row r="1047207" ht="12.800000000000001" customHeight="1"/>
    <row r="1047208" ht="12.800000000000001" customHeight="1"/>
    <row r="1047209" ht="12.800000000000001" customHeight="1"/>
    <row r="1047210" ht="12.800000000000001" customHeight="1"/>
    <row r="1047211" ht="12.800000000000001" customHeight="1"/>
    <row r="1047212" ht="12.800000000000001" customHeight="1"/>
    <row r="1047213" ht="12.800000000000001" customHeight="1"/>
    <row r="1047214" ht="12.800000000000001" customHeight="1"/>
    <row r="1047215" ht="12.800000000000001" customHeight="1"/>
    <row r="1047216" ht="12.800000000000001" customHeight="1"/>
    <row r="1047217" ht="12.800000000000001" customHeight="1"/>
    <row r="1047218" ht="12.800000000000001" customHeight="1"/>
    <row r="1047219" ht="12.800000000000001" customHeight="1"/>
    <row r="1047220" ht="12.800000000000001" customHeight="1"/>
    <row r="1047221" ht="12.800000000000001" customHeight="1"/>
    <row r="1047222" ht="12.800000000000001" customHeight="1"/>
    <row r="1047223" ht="12.800000000000001" customHeight="1"/>
    <row r="1047224" ht="12.800000000000001" customHeight="1"/>
    <row r="1047225" ht="12.800000000000001" customHeight="1"/>
    <row r="1047226" ht="12.800000000000001" customHeight="1"/>
    <row r="1047227" ht="12.800000000000001" customHeight="1"/>
    <row r="1047228" ht="12.800000000000001" customHeight="1"/>
    <row r="1047229" ht="12.800000000000001" customHeight="1"/>
    <row r="1047230" ht="12.800000000000001" customHeight="1"/>
    <row r="1047231" ht="12.800000000000001" customHeight="1"/>
    <row r="1047232" ht="12.800000000000001" customHeight="1"/>
    <row r="1047233" ht="12.800000000000001" customHeight="1"/>
    <row r="1047234" ht="12.800000000000001" customHeight="1"/>
    <row r="1047235" ht="12.800000000000001" customHeight="1"/>
    <row r="1047236" ht="12.800000000000001" customHeight="1"/>
    <row r="1047237" ht="12.800000000000001" customHeight="1"/>
    <row r="1047238" ht="12.800000000000001" customHeight="1"/>
    <row r="1047239" ht="12.800000000000001" customHeight="1"/>
    <row r="1047240" ht="12.800000000000001" customHeight="1"/>
    <row r="1047241" ht="12.800000000000001" customHeight="1"/>
    <row r="1047242" ht="12.800000000000001" customHeight="1"/>
    <row r="1047243" ht="12.800000000000001" customHeight="1"/>
    <row r="1047244" ht="12.800000000000001" customHeight="1"/>
    <row r="1047245" ht="12.800000000000001" customHeight="1"/>
    <row r="1047246" ht="12.800000000000001" customHeight="1"/>
    <row r="1047247" ht="12.800000000000001" customHeight="1"/>
    <row r="1047248" ht="12.800000000000001" customHeight="1"/>
    <row r="1047249" ht="12.800000000000001" customHeight="1"/>
    <row r="1047250" ht="12.800000000000001" customHeight="1"/>
    <row r="1047251" ht="12.800000000000001" customHeight="1"/>
    <row r="1047252" ht="12.800000000000001" customHeight="1"/>
    <row r="1047253" ht="12.800000000000001" customHeight="1"/>
    <row r="1047254" ht="12.800000000000001" customHeight="1"/>
    <row r="1047255" ht="12.800000000000001" customHeight="1"/>
    <row r="1047256" ht="12.800000000000001" customHeight="1"/>
    <row r="1047257" ht="12.800000000000001" customHeight="1"/>
    <row r="1047258" ht="12.800000000000001" customHeight="1"/>
    <row r="1047259" ht="12.800000000000001" customHeight="1"/>
    <row r="1047260" ht="12.800000000000001" customHeight="1"/>
    <row r="1047261" ht="12.800000000000001" customHeight="1"/>
    <row r="1047262" ht="12.800000000000001" customHeight="1"/>
    <row r="1047263" ht="12.800000000000001" customHeight="1"/>
    <row r="1047264" ht="12.800000000000001" customHeight="1"/>
    <row r="1047265" ht="12.800000000000001" customHeight="1"/>
    <row r="1047266" ht="12.800000000000001" customHeight="1"/>
    <row r="1047267" ht="12.800000000000001" customHeight="1"/>
    <row r="1047268" ht="12.800000000000001" customHeight="1"/>
    <row r="1047269" ht="12.800000000000001" customHeight="1"/>
    <row r="1047270" ht="12.800000000000001" customHeight="1"/>
    <row r="1047271" ht="12.800000000000001" customHeight="1"/>
    <row r="1047272" ht="12.800000000000001" customHeight="1"/>
    <row r="1047273" ht="12.800000000000001" customHeight="1"/>
    <row r="1047274" ht="12.800000000000001" customHeight="1"/>
    <row r="1047275" ht="12.800000000000001" customHeight="1"/>
    <row r="1047276" ht="12.800000000000001" customHeight="1"/>
    <row r="1047277" ht="12.800000000000001" customHeight="1"/>
    <row r="1047278" ht="12.800000000000001" customHeight="1"/>
    <row r="1047279" ht="12.800000000000001" customHeight="1"/>
    <row r="1047280" ht="12.800000000000001" customHeight="1"/>
    <row r="1047281" ht="12.800000000000001" customHeight="1"/>
    <row r="1047282" ht="12.800000000000001" customHeight="1"/>
    <row r="1047283" ht="12.800000000000001" customHeight="1"/>
    <row r="1047284" ht="12.800000000000001" customHeight="1"/>
    <row r="1047285" ht="12.800000000000001" customHeight="1"/>
    <row r="1047286" ht="12.800000000000001" customHeight="1"/>
    <row r="1047287" ht="12.800000000000001" customHeight="1"/>
    <row r="1047288" ht="12.800000000000001" customHeight="1"/>
    <row r="1047289" ht="12.800000000000001" customHeight="1"/>
    <row r="1047290" ht="12.800000000000001" customHeight="1"/>
    <row r="1047291" ht="12.800000000000001" customHeight="1"/>
    <row r="1047292" ht="12.800000000000001" customHeight="1"/>
    <row r="1047293" ht="12.800000000000001" customHeight="1"/>
    <row r="1047294" ht="12.800000000000001" customHeight="1"/>
    <row r="1047295" ht="12.800000000000001" customHeight="1"/>
    <row r="1047296" ht="12.800000000000001" customHeight="1"/>
    <row r="1047297" ht="12.800000000000001" customHeight="1"/>
    <row r="1047298" ht="12.800000000000001" customHeight="1"/>
    <row r="1047299" ht="12.800000000000001" customHeight="1"/>
    <row r="1047300" ht="12.800000000000001" customHeight="1"/>
    <row r="1047301" ht="12.800000000000001" customHeight="1"/>
    <row r="1047302" ht="12.800000000000001" customHeight="1"/>
    <row r="1047303" ht="12.800000000000001" customHeight="1"/>
    <row r="1047304" ht="12.800000000000001" customHeight="1"/>
    <row r="1047305" ht="12.800000000000001" customHeight="1"/>
    <row r="1047306" ht="12.800000000000001" customHeight="1"/>
    <row r="1047307" ht="12.800000000000001" customHeight="1"/>
    <row r="1047308" ht="12.800000000000001" customHeight="1"/>
    <row r="1047309" ht="12.800000000000001" customHeight="1"/>
    <row r="1047310" ht="12.800000000000001" customHeight="1"/>
    <row r="1047311" ht="12.800000000000001" customHeight="1"/>
    <row r="1047312" ht="12.800000000000001" customHeight="1"/>
    <row r="1047313" ht="12.800000000000001" customHeight="1"/>
    <row r="1047314" ht="12.800000000000001" customHeight="1"/>
    <row r="1047315" ht="12.800000000000001" customHeight="1"/>
    <row r="1047316" ht="12.800000000000001" customHeight="1"/>
    <row r="1047317" ht="12.800000000000001" customHeight="1"/>
    <row r="1047318" ht="12.800000000000001" customHeight="1"/>
    <row r="1047319" ht="12.800000000000001" customHeight="1"/>
    <row r="1047320" ht="12.800000000000001" customHeight="1"/>
    <row r="1047321" ht="12.800000000000001" customHeight="1"/>
    <row r="1047322" ht="12.800000000000001" customHeight="1"/>
    <row r="1047323" ht="12.800000000000001" customHeight="1"/>
    <row r="1047324" ht="12.800000000000001" customHeight="1"/>
    <row r="1047325" ht="12.800000000000001" customHeight="1"/>
    <row r="1047326" ht="12.800000000000001" customHeight="1"/>
    <row r="1047327" ht="12.800000000000001" customHeight="1"/>
    <row r="1047328" ht="12.800000000000001" customHeight="1"/>
    <row r="1047329" ht="12.800000000000001" customHeight="1"/>
    <row r="1047330" ht="12.800000000000001" customHeight="1"/>
    <row r="1047331" ht="12.800000000000001" customHeight="1"/>
    <row r="1047332" ht="12.800000000000001" customHeight="1"/>
    <row r="1047333" ht="12.800000000000001" customHeight="1"/>
    <row r="1047334" ht="12.800000000000001" customHeight="1"/>
    <row r="1047335" ht="12.800000000000001" customHeight="1"/>
    <row r="1047336" ht="12.800000000000001" customHeight="1"/>
    <row r="1047337" ht="12.800000000000001" customHeight="1"/>
    <row r="1047338" ht="12.800000000000001" customHeight="1"/>
    <row r="1047339" ht="12.800000000000001" customHeight="1"/>
    <row r="1047340" ht="12.800000000000001" customHeight="1"/>
    <row r="1047341" ht="12.800000000000001" customHeight="1"/>
    <row r="1047342" ht="12.800000000000001" customHeight="1"/>
    <row r="1047343" ht="12.800000000000001" customHeight="1"/>
    <row r="1047344" ht="12.800000000000001" customHeight="1"/>
    <row r="1047345" ht="12.800000000000001" customHeight="1"/>
    <row r="1047346" ht="12.800000000000001" customHeight="1"/>
    <row r="1047347" ht="12.800000000000001" customHeight="1"/>
    <row r="1047348" ht="12.800000000000001" customHeight="1"/>
    <row r="1047349" ht="12.800000000000001" customHeight="1"/>
    <row r="1047350" ht="12.800000000000001" customHeight="1"/>
    <row r="1047351" ht="12.800000000000001" customHeight="1"/>
    <row r="1047352" ht="12.800000000000001" customHeight="1"/>
    <row r="1047353" ht="12.800000000000001" customHeight="1"/>
    <row r="1047354" ht="12.800000000000001" customHeight="1"/>
    <row r="1047355" ht="12.800000000000001" customHeight="1"/>
    <row r="1047356" ht="12.800000000000001" customHeight="1"/>
    <row r="1047357" ht="12.800000000000001" customHeight="1"/>
    <row r="1047358" ht="12.800000000000001" customHeight="1"/>
    <row r="1047359" ht="12.800000000000001" customHeight="1"/>
    <row r="1047360" ht="12.800000000000001" customHeight="1"/>
    <row r="1047361" ht="12.800000000000001" customHeight="1"/>
    <row r="1047362" ht="12.800000000000001" customHeight="1"/>
    <row r="1047363" ht="12.800000000000001" customHeight="1"/>
    <row r="1047364" ht="12.800000000000001" customHeight="1"/>
    <row r="1047365" ht="12.800000000000001" customHeight="1"/>
    <row r="1047366" ht="12.800000000000001" customHeight="1"/>
    <row r="1047367" ht="12.800000000000001" customHeight="1"/>
    <row r="1047368" ht="12.800000000000001" customHeight="1"/>
    <row r="1047369" ht="12.800000000000001" customHeight="1"/>
    <row r="1047370" ht="12.800000000000001" customHeight="1"/>
    <row r="1047371" ht="12.800000000000001" customHeight="1"/>
    <row r="1047372" ht="12.800000000000001" customHeight="1"/>
    <row r="1047373" ht="12.800000000000001" customHeight="1"/>
    <row r="1047374" ht="12.800000000000001" customHeight="1"/>
    <row r="1047375" ht="12.800000000000001" customHeight="1"/>
    <row r="1047376" ht="12.800000000000001" customHeight="1"/>
    <row r="1047377" ht="12.800000000000001" customHeight="1"/>
    <row r="1047378" ht="12.800000000000001" customHeight="1"/>
    <row r="1047379" ht="12.800000000000001" customHeight="1"/>
    <row r="1047380" ht="12.800000000000001" customHeight="1"/>
    <row r="1047381" ht="12.800000000000001" customHeight="1"/>
    <row r="1047382" ht="12.800000000000001" customHeight="1"/>
    <row r="1047383" ht="12.800000000000001" customHeight="1"/>
    <row r="1047384" ht="12.800000000000001" customHeight="1"/>
    <row r="1047385" ht="12.800000000000001" customHeight="1"/>
    <row r="1047386" ht="12.800000000000001" customHeight="1"/>
    <row r="1047387" ht="12.800000000000001" customHeight="1"/>
    <row r="1047388" ht="12.800000000000001" customHeight="1"/>
    <row r="1047389" ht="12.800000000000001" customHeight="1"/>
    <row r="1047390" ht="12.800000000000001" customHeight="1"/>
    <row r="1047391" ht="12.800000000000001" customHeight="1"/>
    <row r="1047392" ht="12.800000000000001" customHeight="1"/>
    <row r="1047393" ht="12.800000000000001" customHeight="1"/>
    <row r="1047394" ht="12.800000000000001" customHeight="1"/>
    <row r="1047395" ht="12.800000000000001" customHeight="1"/>
    <row r="1047396" ht="12.800000000000001" customHeight="1"/>
    <row r="1047397" ht="12.800000000000001" customHeight="1"/>
    <row r="1047398" ht="12.800000000000001" customHeight="1"/>
    <row r="1047399" ht="12.800000000000001" customHeight="1"/>
    <row r="1047400" ht="12.800000000000001" customHeight="1"/>
    <row r="1047401" ht="12.800000000000001" customHeight="1"/>
    <row r="1047402" ht="12.800000000000001" customHeight="1"/>
    <row r="1047403" ht="12.800000000000001" customHeight="1"/>
    <row r="1047404" ht="12.800000000000001" customHeight="1"/>
    <row r="1047405" ht="12.800000000000001" customHeight="1"/>
    <row r="1047406" ht="12.800000000000001" customHeight="1"/>
    <row r="1047407" ht="12.800000000000001" customHeight="1"/>
    <row r="1047408" ht="12.800000000000001" customHeight="1"/>
    <row r="1047409" ht="12.800000000000001" customHeight="1"/>
    <row r="1047410" ht="12.800000000000001" customHeight="1"/>
    <row r="1047411" ht="12.800000000000001" customHeight="1"/>
    <row r="1047412" ht="12.800000000000001" customHeight="1"/>
    <row r="1047413" ht="12.800000000000001" customHeight="1"/>
    <row r="1047414" ht="12.800000000000001" customHeight="1"/>
    <row r="1047415" ht="12.800000000000001" customHeight="1"/>
    <row r="1047416" ht="12.800000000000001" customHeight="1"/>
    <row r="1047417" ht="12.800000000000001" customHeight="1"/>
    <row r="1047418" ht="12.800000000000001" customHeight="1"/>
    <row r="1047419" ht="12.800000000000001" customHeight="1"/>
    <row r="1047420" ht="12.800000000000001" customHeight="1"/>
    <row r="1047421" ht="12.800000000000001" customHeight="1"/>
    <row r="1047422" ht="12.800000000000001" customHeight="1"/>
    <row r="1047423" ht="12.800000000000001" customHeight="1"/>
    <row r="1047424" ht="12.800000000000001" customHeight="1"/>
    <row r="1047425" ht="12.800000000000001" customHeight="1"/>
    <row r="1047426" ht="12.800000000000001" customHeight="1"/>
    <row r="1047427" ht="12.800000000000001" customHeight="1"/>
    <row r="1047428" ht="12.800000000000001" customHeight="1"/>
    <row r="1047429" ht="12.800000000000001" customHeight="1"/>
    <row r="1047430" ht="12.800000000000001" customHeight="1"/>
    <row r="1047431" ht="12.800000000000001" customHeight="1"/>
    <row r="1047432" ht="12.800000000000001" customHeight="1"/>
    <row r="1047433" ht="12.800000000000001" customHeight="1"/>
    <row r="1047434" ht="12.800000000000001" customHeight="1"/>
    <row r="1047435" ht="12.800000000000001" customHeight="1"/>
    <row r="1047436" ht="12.800000000000001" customHeight="1"/>
    <row r="1047437" ht="12.800000000000001" customHeight="1"/>
    <row r="1047438" ht="12.800000000000001" customHeight="1"/>
    <row r="1047439" ht="12.800000000000001" customHeight="1"/>
    <row r="1047440" ht="12.800000000000001" customHeight="1"/>
    <row r="1047441" ht="12.800000000000001" customHeight="1"/>
    <row r="1047442" ht="12.800000000000001" customHeight="1"/>
    <row r="1047443" ht="12.800000000000001" customHeight="1"/>
    <row r="1047444" ht="12.800000000000001" customHeight="1"/>
    <row r="1047445" ht="12.800000000000001" customHeight="1"/>
    <row r="1047446" ht="12.800000000000001" customHeight="1"/>
    <row r="1047447" ht="12.800000000000001" customHeight="1"/>
    <row r="1047448" ht="12.800000000000001" customHeight="1"/>
    <row r="1047449" ht="12.800000000000001" customHeight="1"/>
    <row r="1047450" ht="12.800000000000001" customHeight="1"/>
    <row r="1047451" ht="12.800000000000001" customHeight="1"/>
    <row r="1047452" ht="12.800000000000001" customHeight="1"/>
    <row r="1047453" ht="12.800000000000001" customHeight="1"/>
    <row r="1047454" ht="12.800000000000001" customHeight="1"/>
    <row r="1047455" ht="12.800000000000001" customHeight="1"/>
    <row r="1047456" ht="12.800000000000001" customHeight="1"/>
    <row r="1047457" ht="12.800000000000001" customHeight="1"/>
    <row r="1047458" ht="12.800000000000001" customHeight="1"/>
    <row r="1047459" ht="12.800000000000001" customHeight="1"/>
    <row r="1047460" ht="12.800000000000001" customHeight="1"/>
    <row r="1047461" ht="12.800000000000001" customHeight="1"/>
    <row r="1047462" ht="12.800000000000001" customHeight="1"/>
    <row r="1047463" ht="12.800000000000001" customHeight="1"/>
    <row r="1047464" ht="12.800000000000001" customHeight="1"/>
    <row r="1047465" ht="12.800000000000001" customHeight="1"/>
    <row r="1047466" ht="12.800000000000001" customHeight="1"/>
    <row r="1047467" ht="12.800000000000001" customHeight="1"/>
    <row r="1047468" ht="12.800000000000001" customHeight="1"/>
    <row r="1047469" ht="12.800000000000001" customHeight="1"/>
    <row r="1047470" ht="12.800000000000001" customHeight="1"/>
    <row r="1047471" ht="12.800000000000001" customHeight="1"/>
    <row r="1047472" ht="12.800000000000001" customHeight="1"/>
    <row r="1047473" ht="12.800000000000001" customHeight="1"/>
    <row r="1047474" ht="12.800000000000001" customHeight="1"/>
    <row r="1047475" ht="12.800000000000001" customHeight="1"/>
    <row r="1047476" ht="12.800000000000001" customHeight="1"/>
    <row r="1047477" ht="12.800000000000001" customHeight="1"/>
    <row r="1047478" ht="12.800000000000001" customHeight="1"/>
    <row r="1047479" ht="12.800000000000001" customHeight="1"/>
    <row r="1047480" ht="12.800000000000001" customHeight="1"/>
    <row r="1047481" ht="12.800000000000001" customHeight="1"/>
    <row r="1047482" ht="12.800000000000001" customHeight="1"/>
    <row r="1047483" ht="12.800000000000001" customHeight="1"/>
    <row r="1047484" ht="12.800000000000001" customHeight="1"/>
    <row r="1047485" ht="12.800000000000001" customHeight="1"/>
    <row r="1047486" ht="12.800000000000001" customHeight="1"/>
    <row r="1047487" ht="12.800000000000001" customHeight="1"/>
    <row r="1047488" ht="12.800000000000001" customHeight="1"/>
    <row r="1047489" ht="12.800000000000001" customHeight="1"/>
    <row r="1047490" ht="12.800000000000001" customHeight="1"/>
    <row r="1047491" ht="12.800000000000001" customHeight="1"/>
    <row r="1047492" ht="12.800000000000001" customHeight="1"/>
    <row r="1047493" ht="12.800000000000001" customHeight="1"/>
    <row r="1047494" ht="12.800000000000001" customHeight="1"/>
    <row r="1047495" ht="12.800000000000001" customHeight="1"/>
    <row r="1047496" ht="12.800000000000001" customHeight="1"/>
    <row r="1047497" ht="12.800000000000001" customHeight="1"/>
    <row r="1047498" ht="12.800000000000001" customHeight="1"/>
    <row r="1047499" ht="12.800000000000001" customHeight="1"/>
    <row r="1047500" ht="12.800000000000001" customHeight="1"/>
    <row r="1047501" ht="12.800000000000001" customHeight="1"/>
    <row r="1047502" ht="12.800000000000001" customHeight="1"/>
    <row r="1047503" ht="12.800000000000001" customHeight="1"/>
    <row r="1047504" ht="12.800000000000001" customHeight="1"/>
    <row r="1047505" ht="12.800000000000001" customHeight="1"/>
    <row r="1047506" ht="12.800000000000001" customHeight="1"/>
    <row r="1047507" ht="12.800000000000001" customHeight="1"/>
    <row r="1047508" ht="12.800000000000001" customHeight="1"/>
    <row r="1047509" ht="12.800000000000001" customHeight="1"/>
    <row r="1047510" ht="12.800000000000001" customHeight="1"/>
    <row r="1047511" ht="12.800000000000001" customHeight="1"/>
    <row r="1047512" ht="12.800000000000001" customHeight="1"/>
    <row r="1047513" ht="12.800000000000001" customHeight="1"/>
    <row r="1047514" ht="12.800000000000001" customHeight="1"/>
    <row r="1047515" ht="12.800000000000001" customHeight="1"/>
    <row r="1047516" ht="12.800000000000001" customHeight="1"/>
    <row r="1047517" ht="12.800000000000001" customHeight="1"/>
    <row r="1047518" ht="12.800000000000001" customHeight="1"/>
    <row r="1047519" ht="12.800000000000001" customHeight="1"/>
    <row r="1047520" ht="12.800000000000001" customHeight="1"/>
    <row r="1047521" ht="12.800000000000001" customHeight="1"/>
    <row r="1047522" ht="12.800000000000001" customHeight="1"/>
    <row r="1047523" ht="12.800000000000001" customHeight="1"/>
    <row r="1047524" ht="12.800000000000001" customHeight="1"/>
    <row r="1047525" ht="12.800000000000001" customHeight="1"/>
    <row r="1047526" ht="12.800000000000001" customHeight="1"/>
    <row r="1047527" ht="12.800000000000001" customHeight="1"/>
    <row r="1047528" ht="12.800000000000001" customHeight="1"/>
    <row r="1047529" ht="12.800000000000001" customHeight="1"/>
    <row r="1047530" ht="12.800000000000001" customHeight="1"/>
    <row r="1047531" ht="12.800000000000001" customHeight="1"/>
    <row r="1047532" ht="12.800000000000001" customHeight="1"/>
    <row r="1047533" ht="12.800000000000001" customHeight="1"/>
    <row r="1047534" ht="12.800000000000001" customHeight="1"/>
    <row r="1047535" ht="12.800000000000001" customHeight="1"/>
    <row r="1047536" ht="12.800000000000001" customHeight="1"/>
    <row r="1047537" ht="12.800000000000001" customHeight="1"/>
    <row r="1047538" ht="12.800000000000001" customHeight="1"/>
    <row r="1047539" ht="12.800000000000001" customHeight="1"/>
    <row r="1047540" ht="12.800000000000001" customHeight="1"/>
    <row r="1047541" ht="12.800000000000001" customHeight="1"/>
    <row r="1047542" ht="12.800000000000001" customHeight="1"/>
    <row r="1047543" ht="12.800000000000001" customHeight="1"/>
    <row r="1047544" ht="12.800000000000001" customHeight="1"/>
    <row r="1047545" ht="12.800000000000001" customHeight="1"/>
    <row r="1047546" ht="12.800000000000001" customHeight="1"/>
    <row r="1047547" ht="12.800000000000001" customHeight="1"/>
    <row r="1047548" ht="12.800000000000001" customHeight="1"/>
    <row r="1047549" ht="12.800000000000001" customHeight="1"/>
    <row r="1047550" ht="12.800000000000001" customHeight="1"/>
    <row r="1047551" ht="12.800000000000001" customHeight="1"/>
    <row r="1047552" ht="12.800000000000001" customHeight="1"/>
    <row r="1047553" ht="12.800000000000001" customHeight="1"/>
    <row r="1047554" ht="12.800000000000001" customHeight="1"/>
    <row r="1047555" ht="12.800000000000001" customHeight="1"/>
    <row r="1047556" ht="12.800000000000001" customHeight="1"/>
    <row r="1047557" ht="12.800000000000001" customHeight="1"/>
    <row r="1047558" ht="12.800000000000001" customHeight="1"/>
    <row r="1047559" ht="12.800000000000001" customHeight="1"/>
    <row r="1047560" ht="12.800000000000001" customHeight="1"/>
    <row r="1047561" ht="12.800000000000001" customHeight="1"/>
    <row r="1047562" ht="12.800000000000001" customHeight="1"/>
    <row r="1047563" ht="12.800000000000001" customHeight="1"/>
    <row r="1047564" ht="12.800000000000001" customHeight="1"/>
    <row r="1047565" ht="12.800000000000001" customHeight="1"/>
    <row r="1047566" ht="12.800000000000001" customHeight="1"/>
    <row r="1047567" ht="12.800000000000001" customHeight="1"/>
    <row r="1047568" ht="12.800000000000001" customHeight="1"/>
    <row r="1047569" ht="12.800000000000001" customHeight="1"/>
    <row r="1047570" ht="12.800000000000001" customHeight="1"/>
    <row r="1047571" ht="12.800000000000001" customHeight="1"/>
    <row r="1047572" ht="12.800000000000001" customHeight="1"/>
    <row r="1047573" ht="12.800000000000001" customHeight="1"/>
    <row r="1047574" ht="12.800000000000001" customHeight="1"/>
    <row r="1047575" ht="12.800000000000001" customHeight="1"/>
    <row r="1047576" ht="12.800000000000001" customHeight="1"/>
    <row r="1047577" ht="12.800000000000001" customHeight="1"/>
    <row r="1047578" ht="12.800000000000001" customHeight="1"/>
    <row r="1047579" ht="12.800000000000001" customHeight="1"/>
    <row r="1047580" ht="12.800000000000001" customHeight="1"/>
    <row r="1047581" ht="12.800000000000001" customHeight="1"/>
    <row r="1047582" ht="12.800000000000001" customHeight="1"/>
    <row r="1047583" ht="12.800000000000001" customHeight="1"/>
    <row r="1047584" ht="12.800000000000001" customHeight="1"/>
    <row r="1047585" ht="12.800000000000001" customHeight="1"/>
    <row r="1047586" ht="12.800000000000001" customHeight="1"/>
    <row r="1047587" ht="12.800000000000001" customHeight="1"/>
    <row r="1047588" ht="12.800000000000001" customHeight="1"/>
    <row r="1047589" ht="12.800000000000001" customHeight="1"/>
    <row r="1047590" ht="12.800000000000001" customHeight="1"/>
    <row r="1047591" ht="12.800000000000001" customHeight="1"/>
    <row r="1047592" ht="12.800000000000001" customHeight="1"/>
    <row r="1047593" ht="12.800000000000001" customHeight="1"/>
    <row r="1047594" ht="12.800000000000001" customHeight="1"/>
    <row r="1047595" ht="12.800000000000001" customHeight="1"/>
    <row r="1047596" ht="12.800000000000001" customHeight="1"/>
    <row r="1047597" ht="12.800000000000001" customHeight="1"/>
    <row r="1047598" ht="12.800000000000001" customHeight="1"/>
    <row r="1047599" ht="12.800000000000001" customHeight="1"/>
    <row r="1047600" ht="12.800000000000001" customHeight="1"/>
    <row r="1047601" ht="12.800000000000001" customHeight="1"/>
    <row r="1047602" ht="12.800000000000001" customHeight="1"/>
    <row r="1047603" ht="12.800000000000001" customHeight="1"/>
    <row r="1047604" ht="12.800000000000001" customHeight="1"/>
    <row r="1047605" ht="12.800000000000001" customHeight="1"/>
    <row r="1047606" ht="12.800000000000001" customHeight="1"/>
    <row r="1047607" ht="12.800000000000001" customHeight="1"/>
    <row r="1047608" ht="12.800000000000001" customHeight="1"/>
    <row r="1047609" ht="12.800000000000001" customHeight="1"/>
    <row r="1047610" ht="12.800000000000001" customHeight="1"/>
    <row r="1047611" ht="12.800000000000001" customHeight="1"/>
    <row r="1047612" ht="12.800000000000001" customHeight="1"/>
    <row r="1047613" ht="12.800000000000001" customHeight="1"/>
    <row r="1047614" ht="12.800000000000001" customHeight="1"/>
    <row r="1047615" ht="12.800000000000001" customHeight="1"/>
    <row r="1047616" ht="12.800000000000001" customHeight="1"/>
    <row r="1047617" ht="12.800000000000001" customHeight="1"/>
    <row r="1047618" ht="12.800000000000001" customHeight="1"/>
    <row r="1047619" ht="12.800000000000001" customHeight="1"/>
    <row r="1047620" ht="12.800000000000001" customHeight="1"/>
    <row r="1047621" ht="12.800000000000001" customHeight="1"/>
    <row r="1047622" ht="12.800000000000001" customHeight="1"/>
    <row r="1047623" ht="12.800000000000001" customHeight="1"/>
    <row r="1047624" ht="12.800000000000001" customHeight="1"/>
    <row r="1047625" ht="12.800000000000001" customHeight="1"/>
    <row r="1047626" ht="12.800000000000001" customHeight="1"/>
    <row r="1047627" ht="12.800000000000001" customHeight="1"/>
    <row r="1047628" ht="12.800000000000001" customHeight="1"/>
    <row r="1047629" ht="12.800000000000001" customHeight="1"/>
    <row r="1047630" ht="12.800000000000001" customHeight="1"/>
    <row r="1047631" ht="12.800000000000001" customHeight="1"/>
    <row r="1047632" ht="12.800000000000001" customHeight="1"/>
    <row r="1047633" ht="12.800000000000001" customHeight="1"/>
    <row r="1047634" ht="12.800000000000001" customHeight="1"/>
    <row r="1047635" ht="12.800000000000001" customHeight="1"/>
    <row r="1047636" ht="12.800000000000001" customHeight="1"/>
    <row r="1047637" ht="12.800000000000001" customHeight="1"/>
    <row r="1047638" ht="12.800000000000001" customHeight="1"/>
    <row r="1047639" ht="12.800000000000001" customHeight="1"/>
    <row r="1047640" ht="12.800000000000001" customHeight="1"/>
    <row r="1047641" ht="12.800000000000001" customHeight="1"/>
    <row r="1047642" ht="12.800000000000001" customHeight="1"/>
    <row r="1047643" ht="12.800000000000001" customHeight="1"/>
    <row r="1047644" ht="12.800000000000001" customHeight="1"/>
    <row r="1047645" ht="12.800000000000001" customHeight="1"/>
    <row r="1047646" ht="12.800000000000001" customHeight="1"/>
    <row r="1047647" ht="12.800000000000001" customHeight="1"/>
    <row r="1047648" ht="12.800000000000001" customHeight="1"/>
    <row r="1047649" ht="12.800000000000001" customHeight="1"/>
    <row r="1047650" ht="12.800000000000001" customHeight="1"/>
    <row r="1047651" ht="12.800000000000001" customHeight="1"/>
    <row r="1047652" ht="12.800000000000001" customHeight="1"/>
    <row r="1047653" ht="12.800000000000001" customHeight="1"/>
    <row r="1047654" ht="12.800000000000001" customHeight="1"/>
    <row r="1047655" ht="12.800000000000001" customHeight="1"/>
    <row r="1047656" ht="12.800000000000001" customHeight="1"/>
    <row r="1047657" ht="12.800000000000001" customHeight="1"/>
    <row r="1047658" ht="12.800000000000001" customHeight="1"/>
    <row r="1047659" ht="12.800000000000001" customHeight="1"/>
    <row r="1047660" ht="12.800000000000001" customHeight="1"/>
    <row r="1047661" ht="12.800000000000001" customHeight="1"/>
    <row r="1047662" ht="12.800000000000001" customHeight="1"/>
    <row r="1047663" ht="12.800000000000001" customHeight="1"/>
    <row r="1047664" ht="12.800000000000001" customHeight="1"/>
    <row r="1047665" ht="12.800000000000001" customHeight="1"/>
    <row r="1047666" ht="12.800000000000001" customHeight="1"/>
    <row r="1047667" ht="12.800000000000001" customHeight="1"/>
    <row r="1047668" ht="12.800000000000001" customHeight="1"/>
    <row r="1047669" ht="12.800000000000001" customHeight="1"/>
    <row r="1047670" ht="12.800000000000001" customHeight="1"/>
    <row r="1047671" ht="12.800000000000001" customHeight="1"/>
    <row r="1047672" ht="12.800000000000001" customHeight="1"/>
    <row r="1047673" ht="12.800000000000001" customHeight="1"/>
    <row r="1047674" ht="12.800000000000001" customHeight="1"/>
    <row r="1047675" ht="12.800000000000001" customHeight="1"/>
    <row r="1047676" ht="12.800000000000001" customHeight="1"/>
    <row r="1047677" ht="12.800000000000001" customHeight="1"/>
    <row r="1047678" ht="12.800000000000001" customHeight="1"/>
    <row r="1047679" ht="12.800000000000001" customHeight="1"/>
    <row r="1047680" ht="12.800000000000001" customHeight="1"/>
    <row r="1047681" ht="12.800000000000001" customHeight="1"/>
    <row r="1047682" ht="12.800000000000001" customHeight="1"/>
    <row r="1047683" ht="12.800000000000001" customHeight="1"/>
    <row r="1047684" ht="12.800000000000001" customHeight="1"/>
    <row r="1047685" ht="12.800000000000001" customHeight="1"/>
    <row r="1047686" ht="12.800000000000001" customHeight="1"/>
    <row r="1047687" ht="12.800000000000001" customHeight="1"/>
    <row r="1047688" ht="12.800000000000001" customHeight="1"/>
    <row r="1047689" ht="12.800000000000001" customHeight="1"/>
    <row r="1047690" ht="12.800000000000001" customHeight="1"/>
    <row r="1047691" ht="12.800000000000001" customHeight="1"/>
    <row r="1047692" ht="12.800000000000001" customHeight="1"/>
    <row r="1047693" ht="12.800000000000001" customHeight="1"/>
    <row r="1047694" ht="12.800000000000001" customHeight="1"/>
    <row r="1047695" ht="12.800000000000001" customHeight="1"/>
    <row r="1047696" ht="12.800000000000001" customHeight="1"/>
    <row r="1047697" ht="12.800000000000001" customHeight="1"/>
    <row r="1047698" ht="12.800000000000001" customHeight="1"/>
    <row r="1047699" ht="12.800000000000001" customHeight="1"/>
    <row r="1047700" ht="12.800000000000001" customHeight="1"/>
    <row r="1047701" ht="12.800000000000001" customHeight="1"/>
    <row r="1047702" ht="12.800000000000001" customHeight="1"/>
    <row r="1047703" ht="12.800000000000001" customHeight="1"/>
    <row r="1047704" ht="12.800000000000001" customHeight="1"/>
    <row r="1047705" ht="12.800000000000001" customHeight="1"/>
    <row r="1047706" ht="12.800000000000001" customHeight="1"/>
    <row r="1047707" ht="12.800000000000001" customHeight="1"/>
    <row r="1047708" ht="12.800000000000001" customHeight="1"/>
    <row r="1047709" ht="12.800000000000001" customHeight="1"/>
    <row r="1047710" ht="12.800000000000001" customHeight="1"/>
    <row r="1047711" ht="12.800000000000001" customHeight="1"/>
    <row r="1047712" ht="12.800000000000001" customHeight="1"/>
    <row r="1047713" ht="12.800000000000001" customHeight="1"/>
    <row r="1047714" ht="12.800000000000001" customHeight="1"/>
    <row r="1047715" ht="12.800000000000001" customHeight="1"/>
    <row r="1047716" ht="12.800000000000001" customHeight="1"/>
    <row r="1047717" ht="12.800000000000001" customHeight="1"/>
    <row r="1047718" ht="12.800000000000001" customHeight="1"/>
    <row r="1047719" ht="12.800000000000001" customHeight="1"/>
    <row r="1047720" ht="12.800000000000001" customHeight="1"/>
    <row r="1047721" ht="12.800000000000001" customHeight="1"/>
    <row r="1047722" ht="12.800000000000001" customHeight="1"/>
    <row r="1047723" ht="12.800000000000001" customHeight="1"/>
    <row r="1047724" ht="12.800000000000001" customHeight="1"/>
    <row r="1047725" ht="12.800000000000001" customHeight="1"/>
    <row r="1047726" ht="12.800000000000001" customHeight="1"/>
    <row r="1047727" ht="12.800000000000001" customHeight="1"/>
    <row r="1047728" ht="12.800000000000001" customHeight="1"/>
    <row r="1047729" ht="12.800000000000001" customHeight="1"/>
    <row r="1047730" ht="12.800000000000001" customHeight="1"/>
    <row r="1047731" ht="12.800000000000001" customHeight="1"/>
    <row r="1047732" ht="12.800000000000001" customHeight="1"/>
    <row r="1047733" ht="12.800000000000001" customHeight="1"/>
    <row r="1047734" ht="12.800000000000001" customHeight="1"/>
    <row r="1047735" ht="12.800000000000001" customHeight="1"/>
    <row r="1047736" ht="12.800000000000001" customHeight="1"/>
    <row r="1047737" ht="12.800000000000001" customHeight="1"/>
    <row r="1047738" ht="12.800000000000001" customHeight="1"/>
    <row r="1047739" ht="12.800000000000001" customHeight="1"/>
    <row r="1047740" ht="12.800000000000001" customHeight="1"/>
    <row r="1047741" ht="12.800000000000001" customHeight="1"/>
    <row r="1047742" ht="12.800000000000001" customHeight="1"/>
    <row r="1047743" ht="12.800000000000001" customHeight="1"/>
    <row r="1047744" ht="12.800000000000001" customHeight="1"/>
    <row r="1047745" ht="12.800000000000001" customHeight="1"/>
    <row r="1047746" ht="12.800000000000001" customHeight="1"/>
    <row r="1047747" ht="12.800000000000001" customHeight="1"/>
    <row r="1047748" ht="12.800000000000001" customHeight="1"/>
    <row r="1047749" ht="12.800000000000001" customHeight="1"/>
    <row r="1047750" ht="12.800000000000001" customHeight="1"/>
    <row r="1047751" ht="12.800000000000001" customHeight="1"/>
    <row r="1047752" ht="12.800000000000001" customHeight="1"/>
    <row r="1047753" ht="12.800000000000001" customHeight="1"/>
    <row r="1047754" ht="12.800000000000001" customHeight="1"/>
    <row r="1047755" ht="12.800000000000001" customHeight="1"/>
    <row r="1047756" ht="12.800000000000001" customHeight="1"/>
    <row r="1047757" ht="12.800000000000001" customHeight="1"/>
    <row r="1047758" ht="12.800000000000001" customHeight="1"/>
    <row r="1047759" ht="12.800000000000001" customHeight="1"/>
    <row r="1047760" ht="12.800000000000001" customHeight="1"/>
    <row r="1047761" ht="12.800000000000001" customHeight="1"/>
    <row r="1047762" ht="12.800000000000001" customHeight="1"/>
    <row r="1047763" ht="12.800000000000001" customHeight="1"/>
    <row r="1047764" ht="12.800000000000001" customHeight="1"/>
    <row r="1047765" ht="12.800000000000001" customHeight="1"/>
    <row r="1047766" ht="12.800000000000001" customHeight="1"/>
    <row r="1047767" ht="12.800000000000001" customHeight="1"/>
    <row r="1047768" ht="12.800000000000001" customHeight="1"/>
    <row r="1047769" ht="12.800000000000001" customHeight="1"/>
    <row r="1047770" ht="12.800000000000001" customHeight="1"/>
    <row r="1047771" ht="12.800000000000001" customHeight="1"/>
    <row r="1047772" ht="12.800000000000001" customHeight="1"/>
    <row r="1047773" ht="12.800000000000001" customHeight="1"/>
    <row r="1047774" ht="12.800000000000001" customHeight="1"/>
    <row r="1047775" ht="12.800000000000001" customHeight="1"/>
    <row r="1047776" ht="12.800000000000001" customHeight="1"/>
    <row r="1047777" ht="12.800000000000001" customHeight="1"/>
    <row r="1047778" ht="12.800000000000001" customHeight="1"/>
    <row r="1047779" ht="12.800000000000001" customHeight="1"/>
    <row r="1047780" ht="12.800000000000001" customHeight="1"/>
    <row r="1047781" ht="12.800000000000001" customHeight="1"/>
    <row r="1047782" ht="12.800000000000001" customHeight="1"/>
    <row r="1047783" ht="12.800000000000001" customHeight="1"/>
    <row r="1047784" ht="12.800000000000001" customHeight="1"/>
    <row r="1047785" ht="12.800000000000001" customHeight="1"/>
    <row r="1047786" ht="12.800000000000001" customHeight="1"/>
    <row r="1047787" ht="12.800000000000001" customHeight="1"/>
    <row r="1047788" ht="12.800000000000001" customHeight="1"/>
    <row r="1047789" ht="12.800000000000001" customHeight="1"/>
    <row r="1047790" ht="12.800000000000001" customHeight="1"/>
    <row r="1047791" ht="12.800000000000001" customHeight="1"/>
    <row r="1047792" ht="12.800000000000001" customHeight="1"/>
    <row r="1047793" ht="12.800000000000001" customHeight="1"/>
    <row r="1047794" ht="12.800000000000001" customHeight="1"/>
    <row r="1047795" ht="12.800000000000001" customHeight="1"/>
    <row r="1047796" ht="12.800000000000001" customHeight="1"/>
    <row r="1047797" ht="12.800000000000001" customHeight="1"/>
    <row r="1047798" ht="12.800000000000001" customHeight="1"/>
    <row r="1047799" ht="12.800000000000001" customHeight="1"/>
    <row r="1047800" ht="12.800000000000001" customHeight="1"/>
    <row r="1047801" ht="12.800000000000001" customHeight="1"/>
    <row r="1047802" ht="12.800000000000001" customHeight="1"/>
    <row r="1047803" ht="12.800000000000001" customHeight="1"/>
    <row r="1047804" ht="12.800000000000001" customHeight="1"/>
    <row r="1047805" ht="12.800000000000001" customHeight="1"/>
    <row r="1047806" ht="12.800000000000001" customHeight="1"/>
    <row r="1047807" ht="12.800000000000001" customHeight="1"/>
    <row r="1047808" ht="12.800000000000001" customHeight="1"/>
    <row r="1047809" ht="12.800000000000001" customHeight="1"/>
    <row r="1047810" ht="12.800000000000001" customHeight="1"/>
    <row r="1047811" ht="12.800000000000001" customHeight="1"/>
    <row r="1047812" ht="12.800000000000001" customHeight="1"/>
    <row r="1047813" ht="12.800000000000001" customHeight="1"/>
    <row r="1047814" ht="12.800000000000001" customHeight="1"/>
    <row r="1047815" ht="12.800000000000001" customHeight="1"/>
    <row r="1047816" ht="12.800000000000001" customHeight="1"/>
    <row r="1047817" ht="12.800000000000001" customHeight="1"/>
    <row r="1047818" ht="12.800000000000001" customHeight="1"/>
    <row r="1047819" ht="12.800000000000001" customHeight="1"/>
    <row r="1047820" ht="12.800000000000001" customHeight="1"/>
    <row r="1047821" ht="12.800000000000001" customHeight="1"/>
    <row r="1047822" ht="12.800000000000001" customHeight="1"/>
    <row r="1047823" ht="12.800000000000001" customHeight="1"/>
    <row r="1047824" ht="12.800000000000001" customHeight="1"/>
    <row r="1047825" ht="12.800000000000001" customHeight="1"/>
    <row r="1047826" ht="12.800000000000001" customHeight="1"/>
    <row r="1047827" ht="12.800000000000001" customHeight="1"/>
    <row r="1047828" ht="12.800000000000001" customHeight="1"/>
    <row r="1047829" ht="12.800000000000001" customHeight="1"/>
    <row r="1047830" ht="12.800000000000001" customHeight="1"/>
    <row r="1047831" ht="12.800000000000001" customHeight="1"/>
    <row r="1047832" ht="12.800000000000001" customHeight="1"/>
    <row r="1047833" ht="12.800000000000001" customHeight="1"/>
    <row r="1047834" ht="12.800000000000001" customHeight="1"/>
    <row r="1047835" ht="12.800000000000001" customHeight="1"/>
    <row r="1047836" ht="12.800000000000001" customHeight="1"/>
    <row r="1047837" ht="12.800000000000001" customHeight="1"/>
    <row r="1047838" ht="12.800000000000001" customHeight="1"/>
    <row r="1047839" ht="12.800000000000001" customHeight="1"/>
    <row r="1047840" ht="12.800000000000001" customHeight="1"/>
    <row r="1047841" ht="12.800000000000001" customHeight="1"/>
    <row r="1047842" ht="12.800000000000001" customHeight="1"/>
    <row r="1047843" ht="12.800000000000001" customHeight="1"/>
    <row r="1047844" ht="12.800000000000001" customHeight="1"/>
    <row r="1047845" ht="12.800000000000001" customHeight="1"/>
    <row r="1047846" ht="12.800000000000001" customHeight="1"/>
    <row r="1047847" ht="12.800000000000001" customHeight="1"/>
    <row r="1047848" ht="12.800000000000001" customHeight="1"/>
    <row r="1047849" ht="12.800000000000001" customHeight="1"/>
    <row r="1047850" ht="12.800000000000001" customHeight="1"/>
    <row r="1047851" ht="12.800000000000001" customHeight="1"/>
    <row r="1047852" ht="12.800000000000001" customHeight="1"/>
    <row r="1047853" ht="12.800000000000001" customHeight="1"/>
    <row r="1047854" ht="12.800000000000001" customHeight="1"/>
    <row r="1047855" ht="12.800000000000001" customHeight="1"/>
    <row r="1047856" ht="12.800000000000001" customHeight="1"/>
    <row r="1047857" ht="12.800000000000001" customHeight="1"/>
    <row r="1047858" ht="12.800000000000001" customHeight="1"/>
    <row r="1047859" ht="12.800000000000001" customHeight="1"/>
    <row r="1047860" ht="12.800000000000001" customHeight="1"/>
    <row r="1047861" ht="12.800000000000001" customHeight="1"/>
    <row r="1047862" ht="12.800000000000001" customHeight="1"/>
    <row r="1047863" ht="12.800000000000001" customHeight="1"/>
    <row r="1047864" ht="12.800000000000001" customHeight="1"/>
    <row r="1047865" ht="12.800000000000001" customHeight="1"/>
    <row r="1047866" ht="12.800000000000001" customHeight="1"/>
    <row r="1047867" ht="12.800000000000001" customHeight="1"/>
    <row r="1047868" ht="12.800000000000001" customHeight="1"/>
    <row r="1047869" ht="12.800000000000001" customHeight="1"/>
    <row r="1047870" ht="12.800000000000001" customHeight="1"/>
    <row r="1047871" ht="12.800000000000001" customHeight="1"/>
    <row r="1047872" ht="12.800000000000001" customHeight="1"/>
    <row r="1047873" ht="12.800000000000001" customHeight="1"/>
    <row r="1047874" ht="12.800000000000001" customHeight="1"/>
    <row r="1047875" ht="12.800000000000001" customHeight="1"/>
    <row r="1047876" ht="12.800000000000001" customHeight="1"/>
    <row r="1047877" ht="12.800000000000001" customHeight="1"/>
    <row r="1047878" ht="12.800000000000001" customHeight="1"/>
    <row r="1047879" ht="12.800000000000001" customHeight="1"/>
    <row r="1047880" ht="12.800000000000001" customHeight="1"/>
    <row r="1047881" ht="12.800000000000001" customHeight="1"/>
    <row r="1047882" ht="12.800000000000001" customHeight="1"/>
    <row r="1047883" ht="12.800000000000001" customHeight="1"/>
    <row r="1047884" ht="12.800000000000001" customHeight="1"/>
    <row r="1047885" ht="12.800000000000001" customHeight="1"/>
    <row r="1047886" ht="12.800000000000001" customHeight="1"/>
    <row r="1047887" ht="12.800000000000001" customHeight="1"/>
    <row r="1047888" ht="12.800000000000001" customHeight="1"/>
    <row r="1047889" ht="12.800000000000001" customHeight="1"/>
    <row r="1047890" ht="12.800000000000001" customHeight="1"/>
    <row r="1047891" ht="12.800000000000001" customHeight="1"/>
    <row r="1047892" ht="12.800000000000001" customHeight="1"/>
    <row r="1047893" ht="12.800000000000001" customHeight="1"/>
    <row r="1047894" ht="12.800000000000001" customHeight="1"/>
    <row r="1047895" ht="12.800000000000001" customHeight="1"/>
    <row r="1047896" ht="12.800000000000001" customHeight="1"/>
    <row r="1047897" ht="12.800000000000001" customHeight="1"/>
    <row r="1047898" ht="12.800000000000001" customHeight="1"/>
    <row r="1047899" ht="12.800000000000001" customHeight="1"/>
    <row r="1047900" ht="12.800000000000001" customHeight="1"/>
    <row r="1047901" ht="12.800000000000001" customHeight="1"/>
    <row r="1047902" ht="12.800000000000001" customHeight="1"/>
    <row r="1047903" ht="12.800000000000001" customHeight="1"/>
    <row r="1047904" ht="12.800000000000001" customHeight="1"/>
    <row r="1047905" ht="12.800000000000001" customHeight="1"/>
    <row r="1047906" ht="12.800000000000001" customHeight="1"/>
    <row r="1047907" ht="12.800000000000001" customHeight="1"/>
    <row r="1047908" ht="12.800000000000001" customHeight="1"/>
    <row r="1047909" ht="12.800000000000001" customHeight="1"/>
    <row r="1047910" ht="12.800000000000001" customHeight="1"/>
    <row r="1047911" ht="12.800000000000001" customHeight="1"/>
    <row r="1047912" ht="12.800000000000001" customHeight="1"/>
    <row r="1047913" ht="12.800000000000001" customHeight="1"/>
    <row r="1047914" ht="12.800000000000001" customHeight="1"/>
    <row r="1047915" ht="12.800000000000001" customHeight="1"/>
    <row r="1047916" ht="12.800000000000001" customHeight="1"/>
    <row r="1047917" ht="12.800000000000001" customHeight="1"/>
    <row r="1047918" ht="12.800000000000001" customHeight="1"/>
    <row r="1047919" ht="12.800000000000001" customHeight="1"/>
    <row r="1047920" ht="12.800000000000001" customHeight="1"/>
    <row r="1047921" ht="12.800000000000001" customHeight="1"/>
    <row r="1047922" ht="12.800000000000001" customHeight="1"/>
    <row r="1047923" ht="12.800000000000001" customHeight="1"/>
    <row r="1047924" ht="12.800000000000001" customHeight="1"/>
    <row r="1047925" ht="12.800000000000001" customHeight="1"/>
    <row r="1047926" ht="12.800000000000001" customHeight="1"/>
    <row r="1047927" ht="12.800000000000001" customHeight="1"/>
    <row r="1047928" ht="12.800000000000001" customHeight="1"/>
    <row r="1047929" ht="12.800000000000001" customHeight="1"/>
    <row r="1047930" ht="12.800000000000001" customHeight="1"/>
    <row r="1047931" ht="12.800000000000001" customHeight="1"/>
    <row r="1047932" ht="12.800000000000001" customHeight="1"/>
    <row r="1047933" ht="12.800000000000001" customHeight="1"/>
    <row r="1047934" ht="12.800000000000001" customHeight="1"/>
    <row r="1047935" ht="12.800000000000001" customHeight="1"/>
    <row r="1047936" ht="12.800000000000001" customHeight="1"/>
    <row r="1047937" ht="12.800000000000001" customHeight="1"/>
    <row r="1047938" ht="12.800000000000001" customHeight="1"/>
    <row r="1047939" ht="12.800000000000001" customHeight="1"/>
    <row r="1047940" ht="12.800000000000001" customHeight="1"/>
    <row r="1047941" ht="12.800000000000001" customHeight="1"/>
    <row r="1047942" ht="12.800000000000001" customHeight="1"/>
    <row r="1047943" ht="12.800000000000001" customHeight="1"/>
    <row r="1047944" ht="12.800000000000001" customHeight="1"/>
    <row r="1047945" ht="12.800000000000001" customHeight="1"/>
    <row r="1047946" ht="12.800000000000001" customHeight="1"/>
    <row r="1047947" ht="12.800000000000001" customHeight="1"/>
    <row r="1047948" ht="12.800000000000001" customHeight="1"/>
    <row r="1047949" ht="12.800000000000001" customHeight="1"/>
    <row r="1047950" ht="12.800000000000001" customHeight="1"/>
    <row r="1047951" ht="12.800000000000001" customHeight="1"/>
    <row r="1047952" ht="12.800000000000001" customHeight="1"/>
    <row r="1047953" ht="12.800000000000001" customHeight="1"/>
    <row r="1047954" ht="12.800000000000001" customHeight="1"/>
    <row r="1047955" ht="12.800000000000001" customHeight="1"/>
    <row r="1047956" ht="12.800000000000001" customHeight="1"/>
    <row r="1047957" ht="12.800000000000001" customHeight="1"/>
    <row r="1047958" ht="12.800000000000001" customHeight="1"/>
    <row r="1047959" ht="12.800000000000001" customHeight="1"/>
    <row r="1047960" ht="12.800000000000001" customHeight="1"/>
    <row r="1047961" ht="12.800000000000001" customHeight="1"/>
    <row r="1047962" ht="12.800000000000001" customHeight="1"/>
    <row r="1047963" ht="12.800000000000001" customHeight="1"/>
    <row r="1047964" ht="12.800000000000001" customHeight="1"/>
    <row r="1047965" ht="12.800000000000001" customHeight="1"/>
    <row r="1047966" ht="12.800000000000001" customHeight="1"/>
    <row r="1047967" ht="12.800000000000001" customHeight="1"/>
    <row r="1047968" ht="12.800000000000001" customHeight="1"/>
    <row r="1047969" ht="12.800000000000001" customHeight="1"/>
    <row r="1047970" ht="12.800000000000001" customHeight="1"/>
    <row r="1047971" ht="12.800000000000001" customHeight="1"/>
    <row r="1047972" ht="12.800000000000001" customHeight="1"/>
    <row r="1047973" ht="12.800000000000001" customHeight="1"/>
    <row r="1047974" ht="12.800000000000001" customHeight="1"/>
    <row r="1047975" ht="12.800000000000001" customHeight="1"/>
    <row r="1047976" ht="12.800000000000001" customHeight="1"/>
    <row r="1047977" ht="12.800000000000001" customHeight="1"/>
    <row r="1047978" ht="12.800000000000001" customHeight="1"/>
    <row r="1047979" ht="12.800000000000001" customHeight="1"/>
    <row r="1047980" ht="12.800000000000001" customHeight="1"/>
    <row r="1047981" ht="12.800000000000001" customHeight="1"/>
    <row r="1047982" ht="12.800000000000001" customHeight="1"/>
    <row r="1047983" ht="12.800000000000001" customHeight="1"/>
    <row r="1047984" ht="12.800000000000001" customHeight="1"/>
    <row r="1047985" ht="12.800000000000001" customHeight="1"/>
    <row r="1047986" ht="12.800000000000001" customHeight="1"/>
    <row r="1047987" ht="12.800000000000001" customHeight="1"/>
    <row r="1047988" ht="12.800000000000001" customHeight="1"/>
    <row r="1047989" ht="12.800000000000001" customHeight="1"/>
    <row r="1047990" ht="12.800000000000001" customHeight="1"/>
    <row r="1047991" ht="12.800000000000001" customHeight="1"/>
    <row r="1047992" ht="12.800000000000001" customHeight="1"/>
    <row r="1047993" ht="12.800000000000001" customHeight="1"/>
    <row r="1047994" ht="12.800000000000001" customHeight="1"/>
    <row r="1047995" ht="12.800000000000001" customHeight="1"/>
    <row r="1047996" ht="12.800000000000001" customHeight="1"/>
    <row r="1047997" ht="12.800000000000001" customHeight="1"/>
    <row r="1047998" ht="12.800000000000001" customHeight="1"/>
    <row r="1047999" ht="12.800000000000001" customHeight="1"/>
    <row r="1048000" ht="12.800000000000001" customHeight="1"/>
    <row r="1048001" ht="12.800000000000001" customHeight="1"/>
    <row r="1048002" ht="12.800000000000001" customHeight="1"/>
    <row r="1048003" ht="12.800000000000001" customHeight="1"/>
    <row r="1048004" ht="12.800000000000001" customHeight="1"/>
    <row r="1048005" ht="12.800000000000001" customHeight="1"/>
    <row r="1048006" ht="12.800000000000001" customHeight="1"/>
    <row r="1048007" ht="12.800000000000001" customHeight="1"/>
    <row r="1048008" ht="12.800000000000001" customHeight="1"/>
    <row r="1048009" ht="12.800000000000001" customHeight="1"/>
    <row r="1048010" ht="12.800000000000001" customHeight="1"/>
    <row r="1048011" ht="12.800000000000001" customHeight="1"/>
    <row r="1048012" ht="12.800000000000001" customHeight="1"/>
    <row r="1048013" ht="12.800000000000001" customHeight="1"/>
    <row r="1048014" ht="12.800000000000001" customHeight="1"/>
    <row r="1048015" ht="12.800000000000001" customHeight="1"/>
    <row r="1048016" ht="12.800000000000001" customHeight="1"/>
    <row r="1048017" ht="12.800000000000001" customHeight="1"/>
    <row r="1048018" ht="12.800000000000001" customHeight="1"/>
    <row r="1048019" ht="12.800000000000001" customHeight="1"/>
    <row r="1048020" ht="12.800000000000001" customHeight="1"/>
    <row r="1048021" ht="12.800000000000001" customHeight="1"/>
    <row r="1048022" ht="12.800000000000001" customHeight="1"/>
    <row r="1048023" ht="12.800000000000001" customHeight="1"/>
    <row r="1048024" ht="12.800000000000001" customHeight="1"/>
    <row r="1048025" ht="12.800000000000001" customHeight="1"/>
    <row r="1048026" ht="12.800000000000001" customHeight="1"/>
    <row r="1048027" ht="12.800000000000001" customHeight="1"/>
    <row r="1048028" ht="12.800000000000001" customHeight="1"/>
    <row r="1048029" ht="12.800000000000001" customHeight="1"/>
    <row r="1048030" ht="12.800000000000001" customHeight="1"/>
    <row r="1048031" ht="12.800000000000001" customHeight="1"/>
    <row r="1048032" ht="12.800000000000001" customHeight="1"/>
    <row r="1048033" ht="12.800000000000001" customHeight="1"/>
    <row r="1048034" ht="12.800000000000001" customHeight="1"/>
    <row r="1048035" ht="12.800000000000001" customHeight="1"/>
    <row r="1048036" ht="12.800000000000001" customHeight="1"/>
    <row r="1048037" ht="12.800000000000001" customHeight="1"/>
    <row r="1048038" ht="12.800000000000001" customHeight="1"/>
    <row r="1048039" ht="12.800000000000001" customHeight="1"/>
    <row r="1048040" ht="12.800000000000001" customHeight="1"/>
    <row r="1048041" ht="12.800000000000001" customHeight="1"/>
    <row r="1048042" ht="12.800000000000001" customHeight="1"/>
    <row r="1048043" ht="12.800000000000001" customHeight="1"/>
    <row r="1048044" ht="12.800000000000001" customHeight="1"/>
    <row r="1048045" ht="12.800000000000001" customHeight="1"/>
    <row r="1048046" ht="12.800000000000001" customHeight="1"/>
    <row r="1048047" ht="12.800000000000001" customHeight="1"/>
    <row r="1048048" ht="12.800000000000001" customHeight="1"/>
    <row r="1048049" ht="12.800000000000001" customHeight="1"/>
    <row r="1048050" ht="12.800000000000001" customHeight="1"/>
    <row r="1048051" ht="12.800000000000001" customHeight="1"/>
    <row r="1048052" ht="12.800000000000001" customHeight="1"/>
    <row r="1048053" ht="12.800000000000001" customHeight="1"/>
    <row r="1048054" ht="12.800000000000001" customHeight="1"/>
    <row r="1048055" ht="12.800000000000001" customHeight="1"/>
    <row r="1048056" ht="12.800000000000001" customHeight="1"/>
    <row r="1048057" ht="12.800000000000001" customHeight="1"/>
    <row r="1048058" ht="12.800000000000001" customHeight="1"/>
    <row r="1048059" ht="12.800000000000001" customHeight="1"/>
    <row r="1048060" ht="12.800000000000001" customHeight="1"/>
    <row r="1048061" ht="12.800000000000001" customHeight="1"/>
    <row r="1048062" ht="12.800000000000001" customHeight="1"/>
    <row r="1048063" ht="12.800000000000001" customHeight="1"/>
    <row r="1048064" ht="12.800000000000001" customHeight="1"/>
    <row r="1048065" ht="12.800000000000001" customHeight="1"/>
    <row r="1048066" ht="12.800000000000001" customHeight="1"/>
    <row r="1048067" ht="12.800000000000001" customHeight="1"/>
    <row r="1048068" ht="12.800000000000001" customHeight="1"/>
    <row r="1048069" ht="12.800000000000001" customHeight="1"/>
    <row r="1048070" ht="12.800000000000001" customHeight="1"/>
    <row r="1048071" ht="12.800000000000001" customHeight="1"/>
    <row r="1048072" ht="12.800000000000001" customHeight="1"/>
    <row r="1048073" ht="12.800000000000001" customHeight="1"/>
    <row r="1048074" ht="12.800000000000001" customHeight="1"/>
    <row r="1048075" ht="12.800000000000001" customHeight="1"/>
    <row r="1048076" ht="12.800000000000001" customHeight="1"/>
    <row r="1048077" ht="12.800000000000001" customHeight="1"/>
    <row r="1048078" ht="12.800000000000001" customHeight="1"/>
    <row r="1048079" ht="12.800000000000001" customHeight="1"/>
    <row r="1048080" ht="12.800000000000001" customHeight="1"/>
    <row r="1048081" ht="12.800000000000001" customHeight="1"/>
    <row r="1048082" ht="12.800000000000001" customHeight="1"/>
    <row r="1048083" ht="12.800000000000001" customHeight="1"/>
    <row r="1048084" ht="12.800000000000001" customHeight="1"/>
    <row r="1048085" ht="12.800000000000001" customHeight="1"/>
    <row r="1048086" ht="12.800000000000001" customHeight="1"/>
    <row r="1048087" ht="12.800000000000001" customHeight="1"/>
    <row r="1048088" ht="12.800000000000001" customHeight="1"/>
    <row r="1048089" ht="12.800000000000001" customHeight="1"/>
    <row r="1048090" ht="12.800000000000001" customHeight="1"/>
    <row r="1048091" ht="12.800000000000001" customHeight="1"/>
    <row r="1048092" ht="12.800000000000001" customHeight="1"/>
    <row r="1048093" ht="12.800000000000001" customHeight="1"/>
    <row r="1048094" ht="12.800000000000001" customHeight="1"/>
    <row r="1048095" ht="12.800000000000001" customHeight="1"/>
    <row r="1048096" ht="12.800000000000001" customHeight="1"/>
    <row r="1048097" ht="12.800000000000001" customHeight="1"/>
    <row r="1048098" ht="12.800000000000001" customHeight="1"/>
    <row r="1048099" ht="12.800000000000001" customHeight="1"/>
    <row r="1048100" ht="12.800000000000001" customHeight="1"/>
    <row r="1048101" ht="12.800000000000001" customHeight="1"/>
    <row r="1048102" ht="12.800000000000001" customHeight="1"/>
    <row r="1048103" ht="12.800000000000001" customHeight="1"/>
    <row r="1048104" ht="12.800000000000001" customHeight="1"/>
    <row r="1048105" ht="12.800000000000001" customHeight="1"/>
    <row r="1048106" ht="12.800000000000001" customHeight="1"/>
    <row r="1048107" ht="12.800000000000001" customHeight="1"/>
    <row r="1048108" ht="12.800000000000001" customHeight="1"/>
    <row r="1048109" ht="12.800000000000001" customHeight="1"/>
    <row r="1048110" ht="12.800000000000001" customHeight="1"/>
    <row r="1048111" ht="12.800000000000001" customHeight="1"/>
    <row r="1048112" ht="12.800000000000001" customHeight="1"/>
    <row r="1048113" ht="12.800000000000001" customHeight="1"/>
    <row r="1048114" ht="12.800000000000001" customHeight="1"/>
    <row r="1048115" ht="12.800000000000001" customHeight="1"/>
    <row r="1048116" ht="12.800000000000001" customHeight="1"/>
    <row r="1048117" ht="12.800000000000001" customHeight="1"/>
    <row r="1048118" ht="12.800000000000001" customHeight="1"/>
    <row r="1048119" ht="12.800000000000001" customHeight="1"/>
    <row r="1048120" ht="12.800000000000001" customHeight="1"/>
    <row r="1048121" ht="12.800000000000001" customHeight="1"/>
    <row r="1048122" ht="12.800000000000001" customHeight="1"/>
    <row r="1048123" ht="12.800000000000001" customHeight="1"/>
    <row r="1048124" ht="12.800000000000001" customHeight="1"/>
    <row r="1048125" ht="12.800000000000001" customHeight="1"/>
    <row r="1048126" ht="12.800000000000001" customHeight="1"/>
    <row r="1048127" ht="12.800000000000001" customHeight="1"/>
    <row r="1048128" ht="12.800000000000001" customHeight="1"/>
    <row r="1048129" ht="12.800000000000001" customHeight="1"/>
    <row r="1048130" ht="12.800000000000001" customHeight="1"/>
    <row r="1048131" ht="12.800000000000001" customHeight="1"/>
    <row r="1048132" ht="12.800000000000001" customHeight="1"/>
    <row r="1048133" ht="12.800000000000001" customHeight="1"/>
    <row r="1048134" ht="12.800000000000001" customHeight="1"/>
    <row r="1048135" ht="12.800000000000001" customHeight="1"/>
    <row r="1048136" ht="12.800000000000001" customHeight="1"/>
    <row r="1048137" ht="12.800000000000001" customHeight="1"/>
    <row r="1048138" ht="12.800000000000001" customHeight="1"/>
    <row r="1048139" ht="12.800000000000001" customHeight="1"/>
    <row r="1048140" ht="12.800000000000001" customHeight="1"/>
    <row r="1048141" ht="12.800000000000001" customHeight="1"/>
    <row r="1048142" ht="12.800000000000001" customHeight="1"/>
    <row r="1048143" ht="12.800000000000001" customHeight="1"/>
    <row r="1048144" ht="12.800000000000001" customHeight="1"/>
    <row r="1048145" ht="12.800000000000001" customHeight="1"/>
    <row r="1048146" ht="12.800000000000001" customHeight="1"/>
    <row r="1048147" ht="12.800000000000001" customHeight="1"/>
    <row r="1048148" ht="12.800000000000001" customHeight="1"/>
    <row r="1048149" ht="12.800000000000001" customHeight="1"/>
    <row r="1048150" ht="12.800000000000001" customHeight="1"/>
    <row r="1048151" ht="12.800000000000001" customHeight="1"/>
    <row r="1048152" ht="12.800000000000001" customHeight="1"/>
    <row r="1048153" ht="12.800000000000001" customHeight="1"/>
    <row r="1048154" ht="12.800000000000001" customHeight="1"/>
    <row r="1048155" ht="12.800000000000001" customHeight="1"/>
    <row r="1048156" ht="12.800000000000001" customHeight="1"/>
    <row r="1048157" ht="12.800000000000001" customHeight="1"/>
    <row r="1048158" ht="12.800000000000001" customHeight="1"/>
    <row r="1048159" ht="12.800000000000001" customHeight="1"/>
    <row r="1048160" ht="12.800000000000001" customHeight="1"/>
    <row r="1048161" ht="12.800000000000001" customHeight="1"/>
    <row r="1048162" ht="12.800000000000001" customHeight="1"/>
    <row r="1048163" ht="12.800000000000001" customHeight="1"/>
    <row r="1048164" ht="12.800000000000001" customHeight="1"/>
    <row r="1048165" ht="12.800000000000001" customHeight="1"/>
    <row r="1048166" ht="12.800000000000001" customHeight="1"/>
    <row r="1048167" ht="12.800000000000001" customHeight="1"/>
    <row r="1048168" ht="12.800000000000001" customHeight="1"/>
    <row r="1048169" ht="12.800000000000001" customHeight="1"/>
    <row r="1048170" ht="12.800000000000001" customHeight="1"/>
    <row r="1048171" ht="12.800000000000001" customHeight="1"/>
    <row r="1048172" ht="12.800000000000001" customHeight="1"/>
    <row r="1048173" ht="12.800000000000001" customHeight="1"/>
    <row r="1048174" ht="12.800000000000001" customHeight="1"/>
    <row r="1048175" ht="12.800000000000001" customHeight="1"/>
    <row r="1048176" ht="12.800000000000001" customHeight="1"/>
    <row r="1048177" ht="12.800000000000001" customHeight="1"/>
    <row r="1048178" ht="12.800000000000001" customHeight="1"/>
    <row r="1048179" ht="12.800000000000001" customHeight="1"/>
    <row r="1048180" ht="12.800000000000001" customHeight="1"/>
    <row r="1048181" ht="12.800000000000001" customHeight="1"/>
    <row r="1048182" ht="12.800000000000001" customHeight="1"/>
    <row r="1048183" ht="12.800000000000001" customHeight="1"/>
    <row r="1048184" ht="12.800000000000001" customHeight="1"/>
    <row r="1048185" ht="12.800000000000001" customHeight="1"/>
    <row r="1048186" ht="12.800000000000001" customHeight="1"/>
    <row r="1048187" ht="12.800000000000001" customHeight="1"/>
    <row r="1048188" ht="12.800000000000001" customHeight="1"/>
    <row r="1048189" ht="12.800000000000001" customHeight="1"/>
    <row r="1048190" ht="12.800000000000001" customHeight="1"/>
    <row r="1048191" ht="12.800000000000001" customHeight="1"/>
    <row r="1048192" ht="12.800000000000001" customHeight="1"/>
    <row r="1048193" ht="12.800000000000001" customHeight="1"/>
    <row r="1048194" ht="12.800000000000001" customHeight="1"/>
    <row r="1048195" ht="12.800000000000001" customHeight="1"/>
    <row r="1048196" ht="12.800000000000001" customHeight="1"/>
    <row r="1048197" ht="12.800000000000001" customHeight="1"/>
    <row r="1048198" ht="12.800000000000001" customHeight="1"/>
    <row r="1048199" ht="12.800000000000001" customHeight="1"/>
    <row r="1048200" ht="12.800000000000001" customHeight="1"/>
    <row r="1048201" ht="12.800000000000001" customHeight="1"/>
    <row r="1048202" ht="12.800000000000001" customHeight="1"/>
    <row r="1048203" ht="12.800000000000001" customHeight="1"/>
    <row r="1048204" ht="12.800000000000001" customHeight="1"/>
    <row r="1048205" ht="12.800000000000001" customHeight="1"/>
    <row r="1048206" ht="12.800000000000001" customHeight="1"/>
    <row r="1048207" ht="12.800000000000001" customHeight="1"/>
    <row r="1048208" ht="12.800000000000001" customHeight="1"/>
    <row r="1048209" ht="12.800000000000001" customHeight="1"/>
    <row r="1048210" ht="12.800000000000001" customHeight="1"/>
    <row r="1048211" ht="12.800000000000001" customHeight="1"/>
    <row r="1048212" ht="12.800000000000001" customHeight="1"/>
    <row r="1048213" ht="12.800000000000001" customHeight="1"/>
    <row r="1048214" ht="12.800000000000001" customHeight="1"/>
    <row r="1048215" ht="12.800000000000001" customHeight="1"/>
    <row r="1048216" ht="12.800000000000001" customHeight="1"/>
    <row r="1048217" ht="12.800000000000001" customHeight="1"/>
    <row r="1048218" ht="12.800000000000001" customHeight="1"/>
    <row r="1048219" ht="12.800000000000001" customHeight="1"/>
    <row r="1048220" ht="12.800000000000001" customHeight="1"/>
    <row r="1048221" ht="12.800000000000001" customHeight="1"/>
    <row r="1048222" ht="12.800000000000001" customHeight="1"/>
    <row r="1048223" ht="12.800000000000001" customHeight="1"/>
    <row r="1048224" ht="12.800000000000001" customHeight="1"/>
    <row r="1048225" ht="12.800000000000001" customHeight="1"/>
    <row r="1048226" ht="12.800000000000001" customHeight="1"/>
    <row r="1048227" ht="12.800000000000001" customHeight="1"/>
    <row r="1048228" ht="12.800000000000001" customHeight="1"/>
    <row r="1048229" ht="12.800000000000001" customHeight="1"/>
    <row r="1048230" ht="12.800000000000001" customHeight="1"/>
    <row r="1048231" ht="12.800000000000001" customHeight="1"/>
    <row r="1048232" ht="12.800000000000001" customHeight="1"/>
    <row r="1048233" ht="12.800000000000001" customHeight="1"/>
    <row r="1048234" ht="12.800000000000001" customHeight="1"/>
    <row r="1048235" ht="12.800000000000001" customHeight="1"/>
    <row r="1048236" ht="12.800000000000001" customHeight="1"/>
    <row r="1048237" ht="12.800000000000001" customHeight="1"/>
    <row r="1048238" ht="12.800000000000001" customHeight="1"/>
    <row r="1048239" ht="12.800000000000001" customHeight="1"/>
    <row r="1048240" ht="12.800000000000001" customHeight="1"/>
    <row r="1048241" ht="12.800000000000001" customHeight="1"/>
    <row r="1048242" ht="12.800000000000001" customHeight="1"/>
    <row r="1048243" ht="12.800000000000001" customHeight="1"/>
    <row r="1048244" ht="12.800000000000001" customHeight="1"/>
    <row r="1048245" ht="12.800000000000001" customHeight="1"/>
    <row r="1048246" ht="12.800000000000001" customHeight="1"/>
    <row r="1048247" ht="12.800000000000001" customHeight="1"/>
    <row r="1048248" ht="12.800000000000001" customHeight="1"/>
    <row r="1048249" ht="12.800000000000001" customHeight="1"/>
    <row r="1048250" ht="12.800000000000001" customHeight="1"/>
    <row r="1048251" ht="12.800000000000001" customHeight="1"/>
    <row r="1048252" ht="12.800000000000001" customHeight="1"/>
    <row r="1048253" ht="12.800000000000001" customHeight="1"/>
    <row r="1048254" ht="12.800000000000001" customHeight="1"/>
    <row r="1048255" ht="12.800000000000001" customHeight="1"/>
    <row r="1048256" ht="12.800000000000001" customHeight="1"/>
    <row r="1048257" ht="12.800000000000001" customHeight="1"/>
    <row r="1048258" ht="12.800000000000001" customHeight="1"/>
    <row r="1048259" ht="12.800000000000001" customHeight="1"/>
    <row r="1048260" ht="12.800000000000001" customHeight="1"/>
    <row r="1048261" ht="12.800000000000001" customHeight="1"/>
    <row r="1048262" ht="12.800000000000001" customHeight="1"/>
    <row r="1048263" ht="12.800000000000001" customHeight="1"/>
    <row r="1048264" ht="12.800000000000001" customHeight="1"/>
    <row r="1048265" ht="12.800000000000001" customHeight="1"/>
    <row r="1048266" ht="12.800000000000001" customHeight="1"/>
    <row r="1048267" ht="12.800000000000001" customHeight="1"/>
    <row r="1048268" ht="12.800000000000001" customHeight="1"/>
    <row r="1048269" ht="12.800000000000001" customHeight="1"/>
    <row r="1048270" ht="12.800000000000001" customHeight="1"/>
    <row r="1048271" ht="12.800000000000001" customHeight="1"/>
    <row r="1048272" ht="12.800000000000001" customHeight="1"/>
    <row r="1048273" ht="12.800000000000001" customHeight="1"/>
    <row r="1048274" ht="12.800000000000001" customHeight="1"/>
    <row r="1048275" ht="12.800000000000001" customHeight="1"/>
    <row r="1048276" ht="12.800000000000001" customHeight="1"/>
    <row r="1048277" ht="12.800000000000001" customHeight="1"/>
    <row r="1048278" ht="12.800000000000001" customHeight="1"/>
    <row r="1048279" ht="12.800000000000001" customHeight="1"/>
    <row r="1048280" ht="12.800000000000001" customHeight="1"/>
    <row r="1048281" ht="12.800000000000001" customHeight="1"/>
    <row r="1048282" ht="12.800000000000001" customHeight="1"/>
    <row r="1048283" ht="12.800000000000001" customHeight="1"/>
    <row r="1048284" ht="12.800000000000001" customHeight="1"/>
    <row r="1048285" ht="12.800000000000001" customHeight="1"/>
    <row r="1048286" ht="12.800000000000001" customHeight="1"/>
    <row r="1048287" ht="12.800000000000001" customHeight="1"/>
    <row r="1048288" ht="12.800000000000001" customHeight="1"/>
    <row r="1048289" ht="12.800000000000001" customHeight="1"/>
    <row r="1048290" ht="12.800000000000001" customHeight="1"/>
    <row r="1048291" ht="12.800000000000001" customHeight="1"/>
    <row r="1048292" ht="12.800000000000001" customHeight="1"/>
    <row r="1048293" ht="12.800000000000001" customHeight="1"/>
    <row r="1048294" ht="12.800000000000001" customHeight="1"/>
    <row r="1048295" ht="12.800000000000001" customHeight="1"/>
    <row r="1048296" ht="12.800000000000001" customHeight="1"/>
    <row r="1048297" ht="12.800000000000001" customHeight="1"/>
    <row r="1048298" ht="12.800000000000001" customHeight="1"/>
    <row r="1048299" ht="12.800000000000001" customHeight="1"/>
    <row r="1048300" ht="12.800000000000001" customHeight="1"/>
    <row r="1048301" ht="12.800000000000001" customHeight="1"/>
    <row r="1048302" ht="12.800000000000001" customHeight="1"/>
    <row r="1048303" ht="12.800000000000001" customHeight="1"/>
    <row r="1048304" ht="12.800000000000001" customHeight="1"/>
    <row r="1048305" ht="12.800000000000001" customHeight="1"/>
    <row r="1048306" ht="12.800000000000001" customHeight="1"/>
    <row r="1048307" ht="12.800000000000001" customHeight="1"/>
    <row r="1048308" ht="12.800000000000001" customHeight="1"/>
    <row r="1048309" ht="12.800000000000001" customHeight="1"/>
    <row r="1048310" ht="12.800000000000001" customHeight="1"/>
    <row r="1048311" ht="12.800000000000001" customHeight="1"/>
    <row r="1048312" ht="12.800000000000001" customHeight="1"/>
    <row r="1048313" ht="12.800000000000001" customHeight="1"/>
    <row r="1048314" ht="12.800000000000001" customHeight="1"/>
    <row r="1048315" ht="12.800000000000001" customHeight="1"/>
    <row r="1048316" ht="12.800000000000001" customHeight="1"/>
    <row r="1048317" ht="12.800000000000001" customHeight="1"/>
    <row r="1048318" ht="12.800000000000001" customHeight="1"/>
    <row r="1048319" ht="12.800000000000001" customHeight="1"/>
    <row r="1048320" ht="12.800000000000001" customHeight="1"/>
    <row r="1048321" ht="12.800000000000001" customHeight="1"/>
    <row r="1048322" ht="12.800000000000001" customHeight="1"/>
    <row r="1048323" ht="12.800000000000001" customHeight="1"/>
    <row r="1048324" ht="12.800000000000001" customHeight="1"/>
    <row r="1048325" ht="12.800000000000001" customHeight="1"/>
    <row r="1048326" ht="12.800000000000001" customHeight="1"/>
    <row r="1048327" ht="12.800000000000001" customHeight="1"/>
    <row r="1048328" ht="12.800000000000001" customHeight="1"/>
    <row r="1048329" ht="12.800000000000001" customHeight="1"/>
    <row r="1048330" ht="12.800000000000001" customHeight="1"/>
    <row r="1048331" ht="12.800000000000001" customHeight="1"/>
    <row r="1048332" ht="12.800000000000001" customHeight="1"/>
    <row r="1048333" ht="12.800000000000001" customHeight="1"/>
    <row r="1048334" ht="12.800000000000001" customHeight="1"/>
    <row r="1048335" ht="12.800000000000001" customHeight="1"/>
    <row r="1048336" ht="12.800000000000001" customHeight="1"/>
    <row r="1048337" ht="12.800000000000001" customHeight="1"/>
    <row r="1048338" ht="12.800000000000001" customHeight="1"/>
    <row r="1048339" ht="12.800000000000001" customHeight="1"/>
    <row r="1048340" ht="12.800000000000001" customHeight="1"/>
    <row r="1048341" ht="12.800000000000001" customHeight="1"/>
    <row r="1048342" ht="12.800000000000001" customHeight="1"/>
    <row r="1048343" ht="12.800000000000001" customHeight="1"/>
    <row r="1048344" ht="12.800000000000001" customHeight="1"/>
    <row r="1048345" ht="12.800000000000001" customHeight="1"/>
    <row r="1048346" ht="12.800000000000001" customHeight="1"/>
    <row r="1048347" ht="12.800000000000001" customHeight="1"/>
    <row r="1048348" ht="12.800000000000001" customHeight="1"/>
    <row r="1048349" ht="12.800000000000001" customHeight="1"/>
    <row r="1048350" ht="12.800000000000001" customHeight="1"/>
    <row r="1048351" ht="12.800000000000001" customHeight="1"/>
    <row r="1048352" ht="12.800000000000001" customHeight="1"/>
    <row r="1048353" ht="12.800000000000001" customHeight="1"/>
    <row r="1048354" ht="12.800000000000001" customHeight="1"/>
    <row r="1048355" ht="12.800000000000001" customHeight="1"/>
    <row r="1048356" ht="12.800000000000001" customHeight="1"/>
    <row r="1048357" ht="12.800000000000001" customHeight="1"/>
    <row r="1048358" ht="12.800000000000001" customHeight="1"/>
    <row r="1048359" ht="12.800000000000001" customHeight="1"/>
    <row r="1048360" ht="12.800000000000001" customHeight="1"/>
    <row r="1048361" ht="12.800000000000001" customHeight="1"/>
    <row r="1048362" ht="12.800000000000001" customHeight="1"/>
    <row r="1048363" ht="12.800000000000001" customHeight="1"/>
    <row r="1048364" ht="12.800000000000001" customHeight="1"/>
    <row r="1048365" ht="12.800000000000001" customHeight="1"/>
    <row r="1048366" ht="12.800000000000001" customHeight="1"/>
    <row r="1048367" ht="12.800000000000001" customHeight="1"/>
    <row r="1048368" ht="12.800000000000001" customHeight="1"/>
    <row r="1048369" ht="12.800000000000001" customHeight="1"/>
    <row r="1048370" ht="12.800000000000001" customHeight="1"/>
    <row r="1048371" ht="12.800000000000001" customHeight="1"/>
    <row r="1048372" ht="12.800000000000001" customHeight="1"/>
    <row r="1048373" ht="12.800000000000001" customHeight="1"/>
    <row r="1048374" ht="12.800000000000001" customHeight="1"/>
    <row r="1048375" ht="12.800000000000001" customHeight="1"/>
    <row r="1048376" ht="12.800000000000001" customHeight="1"/>
    <row r="1048377" ht="12.800000000000001" customHeight="1"/>
    <row r="1048378" ht="12.800000000000001" customHeight="1"/>
    <row r="1048379" ht="12.800000000000001" customHeight="1"/>
    <row r="1048380" ht="12.800000000000001" customHeight="1"/>
    <row r="1048381" ht="12.800000000000001" customHeight="1"/>
    <row r="1048382" ht="12.800000000000001" customHeight="1"/>
    <row r="1048383" ht="12.800000000000001" customHeight="1"/>
    <row r="1048384" ht="12.800000000000001" customHeight="1"/>
    <row r="1048385" ht="12.800000000000001" customHeight="1"/>
    <row r="1048386" ht="12.800000000000001" customHeight="1"/>
    <row r="1048387" ht="12.800000000000001" customHeight="1"/>
    <row r="1048388" ht="12.800000000000001" customHeight="1"/>
    <row r="1048389" ht="12.800000000000001" customHeight="1"/>
    <row r="1048390" ht="12.800000000000001" customHeight="1"/>
    <row r="1048391" ht="12.800000000000001" customHeight="1"/>
    <row r="1048392" ht="12.800000000000001" customHeight="1"/>
    <row r="1048393" ht="12.800000000000001" customHeight="1"/>
    <row r="1048394" ht="12.800000000000001" customHeight="1"/>
    <row r="1048395" ht="12.800000000000001" customHeight="1"/>
    <row r="1048396" ht="12.800000000000001" customHeight="1"/>
    <row r="1048397" ht="12.800000000000001" customHeight="1"/>
    <row r="1048398" ht="12.800000000000001" customHeight="1"/>
    <row r="1048399" ht="12.800000000000001" customHeight="1"/>
    <row r="1048400" ht="12.800000000000001" customHeight="1"/>
    <row r="1048401" ht="12.800000000000001" customHeight="1"/>
    <row r="1048402" ht="12.800000000000001" customHeight="1"/>
    <row r="1048403" ht="12.800000000000001" customHeight="1"/>
    <row r="1048404" ht="12.800000000000001" customHeight="1"/>
    <row r="1048405" ht="12.800000000000001" customHeight="1"/>
    <row r="1048406" ht="12.800000000000001" customHeight="1"/>
    <row r="1048407" ht="12.800000000000001" customHeight="1"/>
    <row r="1048408" ht="12.800000000000001" customHeight="1"/>
    <row r="1048409" ht="12.800000000000001" customHeight="1"/>
    <row r="1048410" ht="12.800000000000001" customHeight="1"/>
    <row r="1048411" ht="12.800000000000001" customHeight="1"/>
    <row r="1048412" ht="12.800000000000001" customHeight="1"/>
    <row r="1048413" ht="12.800000000000001" customHeight="1"/>
    <row r="1048414" ht="12.800000000000001" customHeight="1"/>
    <row r="1048415" ht="12.800000000000001" customHeight="1"/>
    <row r="1048416" ht="12.800000000000001" customHeight="1"/>
    <row r="1048417" ht="12.800000000000001" customHeight="1"/>
    <row r="1048418" ht="12.800000000000001" customHeight="1"/>
    <row r="1048419" ht="12.800000000000001" customHeight="1"/>
    <row r="1048420" ht="12.800000000000001" customHeight="1"/>
    <row r="1048421" ht="12.800000000000001" customHeight="1"/>
    <row r="1048422" ht="12.800000000000001" customHeight="1"/>
    <row r="1048423" ht="12.800000000000001" customHeight="1"/>
    <row r="1048424" ht="12.800000000000001" customHeight="1"/>
    <row r="1048425" ht="12.800000000000001" customHeight="1"/>
    <row r="1048426" ht="12.800000000000001" customHeight="1"/>
    <row r="1048427" ht="12.800000000000001" customHeight="1"/>
    <row r="1048428" ht="12.800000000000001" customHeight="1"/>
    <row r="1048429" ht="12.800000000000001" customHeight="1"/>
    <row r="1048430" ht="12.800000000000001" customHeight="1"/>
    <row r="1048431" ht="12.800000000000001" customHeight="1"/>
    <row r="1048432" ht="12.800000000000001" customHeight="1"/>
    <row r="1048433" ht="12.800000000000001" customHeight="1"/>
    <row r="1048434" ht="12.800000000000001" customHeight="1"/>
    <row r="1048435" ht="12.800000000000001" customHeight="1"/>
    <row r="1048436" ht="12.800000000000001" customHeight="1"/>
    <row r="1048437" ht="12.800000000000001" customHeight="1"/>
    <row r="1048438" ht="12.800000000000001" customHeight="1"/>
    <row r="1048439" ht="12.800000000000001" customHeight="1"/>
    <row r="1048440" ht="12.800000000000001" customHeight="1"/>
    <row r="1048441" ht="12.800000000000001" customHeight="1"/>
    <row r="1048442" ht="12.800000000000001" customHeight="1"/>
    <row r="1048443" ht="12.800000000000001" customHeight="1"/>
    <row r="1048444" ht="12.800000000000001" customHeight="1"/>
    <row r="1048445" ht="12.800000000000001" customHeight="1"/>
    <row r="1048446" ht="12.800000000000001" customHeight="1"/>
    <row r="1048447" ht="12.800000000000001" customHeight="1"/>
    <row r="1048448" ht="12.800000000000001" customHeight="1"/>
    <row r="1048449" ht="12.800000000000001" customHeight="1"/>
    <row r="1048450" ht="12.800000000000001" customHeight="1"/>
    <row r="1048451" ht="12.800000000000001" customHeight="1"/>
    <row r="1048452" ht="12.800000000000001" customHeight="1"/>
    <row r="1048453" ht="12.800000000000001" customHeight="1"/>
    <row r="1048454" ht="12.800000000000001" customHeight="1"/>
    <row r="1048455" ht="12.800000000000001" customHeight="1"/>
    <row r="1048456" ht="12.800000000000001" customHeight="1"/>
    <row r="1048457" ht="12.800000000000001" customHeight="1"/>
    <row r="1048458" ht="12.800000000000001" customHeight="1"/>
    <row r="1048459" ht="12.800000000000001" customHeight="1"/>
    <row r="1048460" ht="12.800000000000001" customHeight="1"/>
    <row r="1048461" ht="12.800000000000001" customHeight="1"/>
    <row r="1048462" ht="12.800000000000001" customHeight="1"/>
    <row r="1048463" ht="12.800000000000001" customHeight="1"/>
    <row r="1048464" ht="12.800000000000001" customHeight="1"/>
    <row r="1048465" ht="12.800000000000001" customHeight="1"/>
    <row r="1048466" ht="12.800000000000001" customHeight="1"/>
    <row r="1048467" ht="12.800000000000001" customHeight="1"/>
    <row r="1048468" ht="12.800000000000001" customHeight="1"/>
    <row r="1048469" ht="12.800000000000001" customHeight="1"/>
    <row r="1048470" ht="12.800000000000001" customHeight="1"/>
    <row r="1048471" ht="12.800000000000001" customHeight="1"/>
    <row r="1048472" ht="12.800000000000001" customHeight="1"/>
    <row r="1048473" ht="12.800000000000001" customHeight="1"/>
    <row r="1048474" ht="12.800000000000001" customHeight="1"/>
    <row r="1048475" ht="12.800000000000001" customHeight="1"/>
    <row r="1048476" ht="12.800000000000001" customHeight="1"/>
    <row r="1048477" ht="12.800000000000001" customHeight="1"/>
    <row r="1048478" ht="12.800000000000001" customHeight="1"/>
    <row r="1048479" ht="12.800000000000001" customHeight="1"/>
    <row r="1048480" ht="12.800000000000001" customHeight="1"/>
    <row r="1048481" ht="12.800000000000001" customHeight="1"/>
    <row r="1048482" ht="12.800000000000001" customHeight="1"/>
    <row r="1048483" ht="12.800000000000001" customHeight="1"/>
    <row r="1048484" ht="12.800000000000001" customHeight="1"/>
    <row r="1048485" ht="12.800000000000001" customHeight="1"/>
    <row r="1048486" ht="12.800000000000001" customHeight="1"/>
    <row r="1048487" ht="12.800000000000001" customHeight="1"/>
    <row r="1048488" ht="12.800000000000001" customHeight="1"/>
    <row r="1048489" ht="12.800000000000001" customHeight="1"/>
    <row r="1048490" ht="12.800000000000001" customHeight="1"/>
    <row r="1048491" ht="12.800000000000001" customHeight="1"/>
    <row r="1048492" ht="12.800000000000001" customHeight="1"/>
    <row r="1048493" ht="12.800000000000001" customHeight="1"/>
    <row r="1048494" ht="12.800000000000001" customHeight="1"/>
    <row r="1048495" ht="12.800000000000001" customHeight="1"/>
    <row r="1048496" ht="12.800000000000001" customHeight="1"/>
    <row r="1048497" ht="12.800000000000001" customHeight="1"/>
    <row r="1048498" ht="12.800000000000001" customHeight="1"/>
    <row r="1048499" ht="12.800000000000001" customHeight="1"/>
    <row r="1048500" ht="12.800000000000001" customHeight="1"/>
    <row r="1048501" ht="12.800000000000001" customHeight="1"/>
    <row r="1048502" ht="12.800000000000001" customHeight="1"/>
    <row r="1048503" ht="12.800000000000001" customHeight="1"/>
    <row r="1048504" ht="12.800000000000001" customHeight="1"/>
    <row r="1048505" ht="12.800000000000001" customHeight="1"/>
    <row r="1048506" ht="12.800000000000001" customHeight="1"/>
    <row r="1048507" ht="12.800000000000001" customHeight="1"/>
    <row r="1048508" ht="12.800000000000001" customHeight="1"/>
    <row r="1048509" ht="12.800000000000001" customHeight="1"/>
    <row r="1048510" ht="12.800000000000001" customHeight="1"/>
    <row r="1048511" ht="12.800000000000001" customHeight="1"/>
    <row r="1048512" ht="12.800000000000001" customHeight="1"/>
    <row r="1048513" ht="12.800000000000001" customHeight="1"/>
    <row r="1048514" ht="12.800000000000001" customHeight="1"/>
    <row r="1048515" ht="12.800000000000001" customHeight="1"/>
    <row r="1048516" ht="12.800000000000001" customHeight="1"/>
    <row r="1048517" ht="12.800000000000001" customHeight="1"/>
    <row r="1048518" ht="12.800000000000001" customHeight="1"/>
    <row r="1048519" ht="12.800000000000001" customHeight="1"/>
    <row r="1048520" ht="12.800000000000001" customHeight="1"/>
    <row r="1048521" ht="12.800000000000001" customHeight="1"/>
    <row r="1048522" ht="12.800000000000001" customHeight="1"/>
    <row r="1048523" ht="12.800000000000001" customHeight="1"/>
    <row r="1048524" ht="12.800000000000001" customHeight="1"/>
    <row r="1048525" ht="12.800000000000001" customHeight="1"/>
    <row r="1048526" ht="12.800000000000001" customHeight="1"/>
    <row r="1048527" ht="12.800000000000001" customHeight="1"/>
    <row r="1048528" ht="12.800000000000001" customHeight="1"/>
    <row r="1048529" ht="12.800000000000001" customHeight="1"/>
    <row r="1048530" ht="12.800000000000001" customHeight="1"/>
    <row r="1048531" ht="12.800000000000001" customHeight="1"/>
    <row r="1048532" ht="12.800000000000001" customHeight="1"/>
    <row r="1048533" ht="12.800000000000001" customHeight="1"/>
    <row r="1048534" ht="12.800000000000001" customHeight="1"/>
    <row r="1048535" ht="12.800000000000001" customHeight="1"/>
    <row r="1048536" ht="12.800000000000001" customHeight="1"/>
    <row r="1048537" ht="12.800000000000001" customHeight="1"/>
    <row r="1048538" ht="12.800000000000001" customHeight="1"/>
    <row r="1048539" ht="12.800000000000001" customHeight="1"/>
    <row r="1048540" ht="12.800000000000001" customHeight="1"/>
    <row r="1048541" ht="12.800000000000001" customHeight="1"/>
    <row r="1048542" ht="12.800000000000001" customHeight="1"/>
    <row r="1048543" ht="12.800000000000001" customHeight="1"/>
    <row r="1048544" ht="12.800000000000001" customHeight="1"/>
    <row r="1048545" ht="12.800000000000001" customHeight="1"/>
    <row r="1048546" ht="12.800000000000001" customHeight="1"/>
    <row r="1048547" ht="12.800000000000001" customHeight="1"/>
    <row r="1048548" ht="12.800000000000001" customHeight="1"/>
    <row r="1048549" ht="12.800000000000001" customHeight="1"/>
    <row r="1048550" ht="12.800000000000001" customHeight="1"/>
    <row r="1048551" ht="12.800000000000001" customHeight="1"/>
    <row r="1048552" ht="12.800000000000001" customHeight="1"/>
    <row r="1048553" ht="12.800000000000001" customHeight="1"/>
    <row r="1048554" ht="12.800000000000001" customHeight="1"/>
    <row r="1048555" ht="12.800000000000001" customHeight="1"/>
    <row r="1048556" ht="12.800000000000001" customHeight="1"/>
    <row r="1048557" ht="12.800000000000001" customHeight="1"/>
    <row r="1048558" ht="12.800000000000001" customHeight="1"/>
    <row r="1048559" ht="12.800000000000001" customHeight="1"/>
    <row r="1048560" ht="12.800000000000001" customHeight="1"/>
    <row r="1048561" ht="12.800000000000001" customHeight="1"/>
    <row r="1048562" ht="12.800000000000001" customHeight="1"/>
    <row r="1048563" ht="12.800000000000001" customHeight="1"/>
    <row r="1048564" ht="12.800000000000001" customHeight="1"/>
    <row r="1048565" ht="12.800000000000001" customHeight="1"/>
    <row r="1048566" ht="12.800000000000001" customHeight="1"/>
    <row r="1048567" ht="12.800000000000001" customHeight="1"/>
    <row r="1048568" ht="12.800000000000001" customHeight="1"/>
    <row r="1048569" ht="12.800000000000001" customHeight="1"/>
    <row r="1048570" ht="12.800000000000001" customHeight="1"/>
    <row r="1048571" ht="12.800000000000001" customHeight="1"/>
    <row r="1048572" ht="12.800000000000001" customHeight="1"/>
    <row r="1048573" ht="12.800000000000001" customHeight="1"/>
    <row r="1048574" ht="12.800000000000001" customHeight="1"/>
    <row r="1048575" ht="12.800000000000001" customHeight="1"/>
    <row r="1048576" ht="12.800000000000001" customHeight="1"/>
  </sheetData>
  <autoFilter ref="A1:F495"/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1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B3" activeCellId="0" sqref="B3"/>
    </sheetView>
  </sheetViews>
  <sheetFormatPr defaultColWidth="14.4296875" defaultRowHeight="15" customHeight="1"/>
  <cols>
    <col customWidth="1" min="1" max="1" style="1" width="45.859999999999999"/>
    <col customWidth="1" min="2" max="2" style="1" width="11.15"/>
    <col customWidth="1" min="3" max="3" style="1" width="14"/>
    <col customWidth="1" min="5" max="5" style="1" width="8.2899999999999991"/>
    <col customWidth="1" min="6" max="6" style="1" width="5.8600000000000003"/>
    <col customWidth="1" min="7" max="7" style="1" width="8.2899999999999991"/>
  </cols>
  <sheetData>
    <row r="1" ht="15">
      <c r="A1" s="1" t="s">
        <v>1</v>
      </c>
      <c r="B1" s="1" t="s">
        <v>1982</v>
      </c>
      <c r="C1" s="1" t="s">
        <v>1983</v>
      </c>
      <c r="D1" s="5" t="s">
        <v>1984</v>
      </c>
      <c r="E1" s="1" t="s">
        <v>4</v>
      </c>
      <c r="F1" s="1" t="s">
        <v>5</v>
      </c>
      <c r="G1" s="1" t="s">
        <v>1985</v>
      </c>
      <c r="H1" s="1" t="s">
        <v>1986</v>
      </c>
      <c r="I1" s="1" t="str">
        <f>VLOOKUP($A1,temporalBoundaries!$A$1:$E$470,4,FALSE())</f>
        <v>Orden</v>
      </c>
      <c r="J1" s="1" t="str">
        <f>VLOOKUP($A1,temporalBoundaries!$A$1:$E$470,5,FALSE())</f>
        <v>m/f</v>
      </c>
      <c r="K1" s="1" t="s">
        <v>1987</v>
      </c>
    </row>
    <row r="2" ht="15" hidden="1">
      <c r="A2" s="1" t="s">
        <v>297</v>
      </c>
      <c r="B2" s="1">
        <v>0</v>
      </c>
      <c r="C2" s="1">
        <v>0</v>
      </c>
      <c r="D2" s="5" t="e">
        <f t="shared" ref="D2:D9" si="0">100/B2*C2</f>
        <v>#DIV/0!</v>
      </c>
      <c r="E2" s="1" t="e">
        <f>VLOOKUP(A2,temporalBoundaries!$A$2:$G$500,2,FALSE())</f>
        <v>#VALUE!</v>
      </c>
      <c r="F2" s="1">
        <f>VLOOKUP(A2,temporalBoundaries!$A$2:$G$500,3,FALSE())</f>
        <v>0</v>
      </c>
      <c r="G2" s="1" t="e">
        <f t="shared" ref="G2:G9" si="1">F2-E2</f>
        <v>#VALUE!</v>
      </c>
      <c r="H2" s="1" t="e">
        <f t="shared" ref="H2:H9" si="2">B2/(G2+1)</f>
        <v>#VALUE!</v>
      </c>
      <c r="I2" s="1" t="str">
        <f>VLOOKUP($A2,temporalBoundaries!$A$1:$E$470,4,FALSE())</f>
        <v>NaN</v>
      </c>
      <c r="J2" s="1" t="str">
        <f>VLOOKUP($A2,temporalBoundaries!$A$1:$E$470,5,FALSE())</f>
        <v>NaN</v>
      </c>
      <c r="K2" s="1" t="s">
        <v>1988</v>
      </c>
    </row>
    <row r="3" ht="15" hidden="1">
      <c r="A3" s="1" t="s">
        <v>579</v>
      </c>
      <c r="B3" s="1">
        <v>0</v>
      </c>
      <c r="C3" s="1">
        <v>0</v>
      </c>
      <c r="D3" s="5" t="e">
        <f t="shared" si="0"/>
        <v>#DIV/0!</v>
      </c>
      <c r="E3" s="1" t="e">
        <f>VLOOKUP(A3,temporalBoundaries!$A$2:$G$500,2,FALSE())</f>
        <v>#VALUE!</v>
      </c>
      <c r="F3" s="1">
        <f>VLOOKUP(A3,temporalBoundaries!$A$2:$G$500,3,FALSE())</f>
        <v>0</v>
      </c>
      <c r="G3" s="1" t="e">
        <f t="shared" si="1"/>
        <v>#VALUE!</v>
      </c>
      <c r="H3" s="1" t="e">
        <f t="shared" si="2"/>
        <v>#VALUE!</v>
      </c>
      <c r="I3" s="1" t="str">
        <f>VLOOKUP($A3,temporalBoundaries!$A$1:$E$470,4,FALSE())</f>
        <v>NaN</v>
      </c>
      <c r="J3" s="1" t="str">
        <f>VLOOKUP($A3,temporalBoundaries!$A$1:$E$470,5,FALSE())</f>
        <v>NaN</v>
      </c>
      <c r="K3" s="1" t="s">
        <v>1989</v>
      </c>
    </row>
    <row r="4" ht="15" hidden="1">
      <c r="A4" s="1" t="s">
        <v>803</v>
      </c>
      <c r="B4" s="1">
        <v>0</v>
      </c>
      <c r="C4" s="1">
        <v>0</v>
      </c>
      <c r="D4" s="5" t="e">
        <f t="shared" si="0"/>
        <v>#DIV/0!</v>
      </c>
      <c r="E4" s="1" t="e">
        <f>VLOOKUP(A4,temporalBoundaries!$A$2:$G$500,2,FALSE())</f>
        <v>#VALUE!</v>
      </c>
      <c r="F4" s="1">
        <f>VLOOKUP(A4,temporalBoundaries!$A$2:$G$500,3,FALSE())</f>
        <v>0</v>
      </c>
      <c r="G4" s="1" t="e">
        <f t="shared" si="1"/>
        <v>#VALUE!</v>
      </c>
      <c r="H4" s="1" t="e">
        <f t="shared" si="2"/>
        <v>#VALUE!</v>
      </c>
      <c r="I4" s="1" t="str">
        <f>VLOOKUP($A4,temporalBoundaries!$A$1:$E$470,4,FALSE())</f>
        <v>NaN</v>
      </c>
      <c r="J4" s="1" t="str">
        <f>VLOOKUP($A4,temporalBoundaries!$A$1:$E$470,5,FALSE())</f>
        <v>NaN</v>
      </c>
      <c r="K4" s="1" t="s">
        <v>1989</v>
      </c>
    </row>
    <row r="5" ht="15" hidden="1">
      <c r="A5" s="1" t="s">
        <v>923</v>
      </c>
      <c r="B5" s="1">
        <v>0</v>
      </c>
      <c r="C5" s="1">
        <v>0</v>
      </c>
      <c r="D5" s="5" t="e">
        <f t="shared" si="0"/>
        <v>#DIV/0!</v>
      </c>
      <c r="E5" s="1" t="e">
        <f>VLOOKUP(A5,temporalBoundaries!$A$2:$G$500,2,FALSE())</f>
        <v>#VALUE!</v>
      </c>
      <c r="F5" s="1">
        <f>VLOOKUP(A5,temporalBoundaries!$A$2:$G$500,3,FALSE())</f>
        <v>0</v>
      </c>
      <c r="G5" s="1" t="e">
        <f t="shared" si="1"/>
        <v>#VALUE!</v>
      </c>
      <c r="H5" s="1" t="e">
        <f t="shared" si="2"/>
        <v>#VALUE!</v>
      </c>
      <c r="I5" s="1" t="str">
        <f>VLOOKUP($A5,temporalBoundaries!$A$1:$E$470,4,FALSE())</f>
        <v>NaN</v>
      </c>
      <c r="J5" s="1" t="str">
        <f>VLOOKUP($A5,temporalBoundaries!$A$1:$E$470,5,FALSE())</f>
        <v>NaN</v>
      </c>
      <c r="K5" s="1" t="s">
        <v>1989</v>
      </c>
    </row>
    <row r="6" ht="15" hidden="1">
      <c r="A6" s="1" t="s">
        <v>963</v>
      </c>
      <c r="B6" s="1">
        <v>0</v>
      </c>
      <c r="C6" s="1">
        <v>0</v>
      </c>
      <c r="D6" s="5" t="e">
        <f t="shared" si="0"/>
        <v>#DIV/0!</v>
      </c>
      <c r="E6" s="1" t="e">
        <f>VLOOKUP(A6,temporalBoundaries!$A$2:$G$500,2,FALSE())</f>
        <v>#VALUE!</v>
      </c>
      <c r="F6" s="1">
        <f>VLOOKUP(A6,temporalBoundaries!$A$2:$G$500,3,FALSE())</f>
        <v>0</v>
      </c>
      <c r="G6" s="1" t="e">
        <f t="shared" si="1"/>
        <v>#VALUE!</v>
      </c>
      <c r="H6" s="1" t="e">
        <f t="shared" si="2"/>
        <v>#VALUE!</v>
      </c>
      <c r="I6" s="1" t="str">
        <f>VLOOKUP($A6,temporalBoundaries!$A$1:$E$470,4,FALSE())</f>
        <v>NaN</v>
      </c>
      <c r="J6" s="1" t="str">
        <f>VLOOKUP($A6,temporalBoundaries!$A$1:$E$470,5,FALSE())</f>
        <v>NaN</v>
      </c>
      <c r="K6" s="1" t="s">
        <v>1989</v>
      </c>
    </row>
    <row r="7" ht="15" hidden="1">
      <c r="A7" s="1" t="s">
        <v>1519</v>
      </c>
      <c r="B7" s="1">
        <v>0</v>
      </c>
      <c r="C7" s="1">
        <v>0</v>
      </c>
      <c r="D7" s="5" t="e">
        <f t="shared" si="0"/>
        <v>#DIV/0!</v>
      </c>
      <c r="E7" s="1" t="e">
        <f>VLOOKUP(A7,temporalBoundaries!$A$2:$G$500,2,FALSE())</f>
        <v>#VALUE!</v>
      </c>
      <c r="F7" s="1">
        <f>VLOOKUP(A7,temporalBoundaries!$A$2:$G$500,3,FALSE())</f>
        <v>0</v>
      </c>
      <c r="G7" s="1" t="e">
        <f t="shared" si="1"/>
        <v>#VALUE!</v>
      </c>
      <c r="H7" s="1" t="e">
        <f t="shared" si="2"/>
        <v>#VALUE!</v>
      </c>
      <c r="I7" s="1" t="str">
        <f>VLOOKUP($A7,temporalBoundaries!$A$1:$E$470,4,FALSE())</f>
        <v>NaN</v>
      </c>
      <c r="J7" s="1" t="str">
        <f>VLOOKUP($A7,temporalBoundaries!$A$1:$E$470,5,FALSE())</f>
        <v>NaN</v>
      </c>
      <c r="K7" s="1" t="s">
        <v>1988</v>
      </c>
    </row>
    <row r="8" ht="15" hidden="1">
      <c r="A8" s="1" t="s">
        <v>1803</v>
      </c>
      <c r="B8" s="1">
        <v>0</v>
      </c>
      <c r="C8" s="1">
        <v>0</v>
      </c>
      <c r="D8" s="5" t="e">
        <f t="shared" si="0"/>
        <v>#DIV/0!</v>
      </c>
      <c r="E8" s="1" t="e">
        <f>VLOOKUP(A8,temporalBoundaries!$A$2:$G$500,2,FALSE())</f>
        <v>#VALUE!</v>
      </c>
      <c r="F8" s="1">
        <f>VLOOKUP(A8,temporalBoundaries!$A$2:$G$500,3,FALSE())</f>
        <v>0</v>
      </c>
      <c r="G8" s="1" t="e">
        <f t="shared" si="1"/>
        <v>#VALUE!</v>
      </c>
      <c r="H8" s="1" t="e">
        <f t="shared" si="2"/>
        <v>#VALUE!</v>
      </c>
      <c r="I8" s="1" t="str">
        <f>VLOOKUP($A8,temporalBoundaries!$A$1:$E$470,4,FALSE())</f>
        <v>NaN</v>
      </c>
      <c r="J8" s="1" t="str">
        <f>VLOOKUP($A8,temporalBoundaries!$A$1:$E$470,5,FALSE())</f>
        <v>NaN</v>
      </c>
      <c r="K8" s="1" t="s">
        <v>1989</v>
      </c>
    </row>
    <row r="9" ht="15" hidden="1">
      <c r="A9" s="1" t="s">
        <v>1815</v>
      </c>
      <c r="B9" s="1">
        <v>0</v>
      </c>
      <c r="C9" s="1">
        <v>0</v>
      </c>
      <c r="D9" s="5" t="e">
        <f t="shared" si="0"/>
        <v>#DIV/0!</v>
      </c>
      <c r="E9" s="1" t="e">
        <f>VLOOKUP(A9,temporalBoundaries!$A$2:$G$500,2,FALSE())</f>
        <v>#VALUE!</v>
      </c>
      <c r="F9" s="1">
        <f>VLOOKUP(A9,temporalBoundaries!$A$2:$G$500,3,FALSE())</f>
        <v>0</v>
      </c>
      <c r="G9" s="1" t="e">
        <f t="shared" si="1"/>
        <v>#VALUE!</v>
      </c>
      <c r="H9" s="1" t="e">
        <f t="shared" si="2"/>
        <v>#VALUE!</v>
      </c>
      <c r="I9" s="1" t="str">
        <f>VLOOKUP($A9,temporalBoundaries!$A$1:$E$470,4,FALSE())</f>
        <v>NaN</v>
      </c>
      <c r="J9" s="1" t="str">
        <f>VLOOKUP($A9,temporalBoundaries!$A$1:$E$470,5,FALSE())</f>
        <v>NaN</v>
      </c>
      <c r="K9" s="1" t="s">
        <v>1989</v>
      </c>
    </row>
    <row r="10" ht="15" hidden="1">
      <c r="A10" s="1"/>
      <c r="B10" s="1">
        <v>1</v>
      </c>
      <c r="C10" s="1">
        <v>1</v>
      </c>
      <c r="D10" s="5">
        <f t="shared" ref="D10:D73" si="3">100/B10*C10</f>
        <v>100</v>
      </c>
      <c r="E10" s="1" t="e">
        <f>VLOOKUP(A10,temporalBoundaries!$A$2:$G$500,2,FALSE())</f>
        <v>#N/A</v>
      </c>
      <c r="F10" s="1" t="e">
        <f>VLOOKUP(A10,temporalBoundaries!$A$2:$G$500,3,FALSE())</f>
        <v>#N/A</v>
      </c>
      <c r="G10" s="1" t="e">
        <f t="shared" ref="G10:G73" si="4">F10-E10</f>
        <v>#N/A</v>
      </c>
      <c r="H10" s="1" t="e">
        <f t="shared" ref="H10:H73" si="5">B10/(G10+1)</f>
        <v>#N/A</v>
      </c>
      <c r="I10" s="1" t="e">
        <f>VLOOKUP($A10,temporalBoundaries!$A$1:$E$470,4,FALSE())</f>
        <v>#N/A</v>
      </c>
      <c r="J10" s="1" t="e">
        <f>VLOOKUP($A10,temporalBoundaries!$A$1:$E$470,5,FALSE())</f>
        <v>#N/A</v>
      </c>
    </row>
    <row r="11" ht="15" hidden="1">
      <c r="A11" s="1" t="s">
        <v>49</v>
      </c>
      <c r="B11" s="1">
        <v>1</v>
      </c>
      <c r="C11" s="1">
        <v>1</v>
      </c>
      <c r="D11" s="5">
        <f t="shared" si="3"/>
        <v>100</v>
      </c>
      <c r="E11" s="1">
        <f>VLOOKUP(A11,temporalBoundaries!$A$2:$G$500,2,FALSE())</f>
        <v>1456</v>
      </c>
      <c r="F11" s="1">
        <f>VLOOKUP(A11,temporalBoundaries!$A$2:$G$500,3,FALSE())</f>
        <v>1456</v>
      </c>
      <c r="G11" s="1">
        <f t="shared" si="4"/>
        <v>0</v>
      </c>
      <c r="H11" s="1">
        <f t="shared" si="5"/>
        <v>1</v>
      </c>
      <c r="I11" s="1">
        <f>VLOOKUP($A11,temporalBoundaries!$A$1:$E$470,4,FALSE())</f>
        <v>14560122</v>
      </c>
      <c r="J11" s="1">
        <f>VLOOKUP($A11,temporalBoundaries!$A$1:$E$470,5,FALSE())</f>
        <v>14560122</v>
      </c>
    </row>
    <row r="12" ht="15" hidden="1">
      <c r="A12" s="1" t="s">
        <v>69</v>
      </c>
      <c r="B12" s="1">
        <v>1</v>
      </c>
      <c r="C12" s="1">
        <v>1</v>
      </c>
      <c r="D12" s="5">
        <f t="shared" si="3"/>
        <v>100</v>
      </c>
      <c r="E12" s="1">
        <f>VLOOKUP(A12,temporalBoundaries!$A$2:$G$500,2,FALSE())</f>
        <v>1434</v>
      </c>
      <c r="F12" s="1">
        <f>VLOOKUP(A12,temporalBoundaries!$A$2:$G$500,3,FALSE())</f>
        <v>1434</v>
      </c>
      <c r="G12" s="1">
        <f t="shared" si="4"/>
        <v>0</v>
      </c>
      <c r="H12" s="1">
        <f t="shared" si="5"/>
        <v>1</v>
      </c>
      <c r="I12" s="1">
        <f>VLOOKUP($A12,temporalBoundaries!$A$1:$E$470,4,FALSE())</f>
        <v>14340929</v>
      </c>
      <c r="J12" s="1">
        <f>VLOOKUP($A12,temporalBoundaries!$A$1:$E$470,5,FALSE())</f>
        <v>14340929</v>
      </c>
    </row>
    <row r="13" ht="15" hidden="1">
      <c r="A13" s="1" t="s">
        <v>77</v>
      </c>
      <c r="B13" s="1">
        <v>1</v>
      </c>
      <c r="C13" s="1">
        <v>1</v>
      </c>
      <c r="D13" s="5">
        <f t="shared" si="3"/>
        <v>100</v>
      </c>
      <c r="E13" s="1">
        <f>VLOOKUP(A13,temporalBoundaries!$A$2:$G$500,2,FALSE())</f>
        <v>1333</v>
      </c>
      <c r="F13" s="1">
        <f>VLOOKUP(A13,temporalBoundaries!$A$2:$G$500,3,FALSE())</f>
        <v>1333</v>
      </c>
      <c r="G13" s="1">
        <f t="shared" si="4"/>
        <v>0</v>
      </c>
      <c r="H13" s="1">
        <f t="shared" si="5"/>
        <v>1</v>
      </c>
      <c r="I13" s="1">
        <f>VLOOKUP($A13,temporalBoundaries!$A$1:$E$470,4,FALSE())</f>
        <v>13330616</v>
      </c>
      <c r="J13" s="1">
        <f>VLOOKUP($A13,temporalBoundaries!$A$1:$E$470,5,FALSE())</f>
        <v>13330616</v>
      </c>
    </row>
    <row r="14" ht="15" hidden="1">
      <c r="A14" s="1" t="s">
        <v>97</v>
      </c>
      <c r="B14" s="1">
        <v>1</v>
      </c>
      <c r="C14" s="1">
        <v>1</v>
      </c>
      <c r="D14" s="5">
        <f t="shared" si="3"/>
        <v>100</v>
      </c>
      <c r="E14" s="1">
        <f>VLOOKUP(A14,temporalBoundaries!$A$2:$G$500,2,FALSE())</f>
        <v>1468</v>
      </c>
      <c r="F14" s="1">
        <f>VLOOKUP(A14,temporalBoundaries!$A$2:$G$500,3,FALSE())</f>
        <v>1468</v>
      </c>
      <c r="G14" s="1">
        <f t="shared" si="4"/>
        <v>0</v>
      </c>
      <c r="H14" s="1">
        <f t="shared" si="5"/>
        <v>1</v>
      </c>
      <c r="I14" s="1">
        <f>VLOOKUP($A14,temporalBoundaries!$A$1:$E$470,4,FALSE())</f>
        <v>14680325</v>
      </c>
      <c r="J14" s="1">
        <f>VLOOKUP($A14,temporalBoundaries!$A$1:$E$470,5,FALSE())</f>
        <v>14680325</v>
      </c>
    </row>
    <row r="15" ht="15" hidden="1">
      <c r="A15" s="1" t="s">
        <v>105</v>
      </c>
      <c r="B15" s="1">
        <v>1</v>
      </c>
      <c r="C15" s="1">
        <v>1</v>
      </c>
      <c r="D15" s="5">
        <f t="shared" si="3"/>
        <v>100</v>
      </c>
      <c r="E15" s="1">
        <f>VLOOKUP(A15,temporalBoundaries!$A$2:$G$500,2,FALSE())</f>
        <v>1434</v>
      </c>
      <c r="F15" s="1">
        <f>VLOOKUP(A15,temporalBoundaries!$A$2:$G$500,3,FALSE())</f>
        <v>1434</v>
      </c>
      <c r="G15" s="1">
        <f t="shared" si="4"/>
        <v>0</v>
      </c>
      <c r="H15" s="1">
        <f t="shared" si="5"/>
        <v>1</v>
      </c>
      <c r="I15" s="1">
        <f>VLOOKUP($A15,temporalBoundaries!$A$1:$E$470,4,FALSE())</f>
        <v>14340531</v>
      </c>
      <c r="J15" s="1">
        <f>VLOOKUP($A15,temporalBoundaries!$A$1:$E$470,5,FALSE())</f>
        <v>14340531</v>
      </c>
    </row>
    <row r="16" ht="15" hidden="1">
      <c r="A16" s="1" t="s">
        <v>133</v>
      </c>
      <c r="B16" s="1">
        <v>1</v>
      </c>
      <c r="C16" s="1">
        <v>1</v>
      </c>
      <c r="D16" s="5">
        <f t="shared" si="3"/>
        <v>100</v>
      </c>
      <c r="E16" s="1">
        <f>VLOOKUP(A16,temporalBoundaries!$A$2:$G$500,2,FALSE())</f>
        <v>1414</v>
      </c>
      <c r="F16" s="1">
        <f>VLOOKUP(A16,temporalBoundaries!$A$2:$G$500,3,FALSE())</f>
        <v>1414</v>
      </c>
      <c r="G16" s="1">
        <f t="shared" si="4"/>
        <v>0</v>
      </c>
      <c r="H16" s="1">
        <f t="shared" si="5"/>
        <v>1</v>
      </c>
      <c r="I16" s="1">
        <f>VLOOKUP($A16,temporalBoundaries!$A$1:$E$470,4,FALSE())</f>
        <v>14140806</v>
      </c>
      <c r="J16" s="1">
        <f>VLOOKUP($A16,temporalBoundaries!$A$1:$E$470,5,FALSE())</f>
        <v>14140806</v>
      </c>
    </row>
    <row r="17" ht="15" hidden="1">
      <c r="A17" s="1" t="s">
        <v>173</v>
      </c>
      <c r="B17" s="1">
        <v>1</v>
      </c>
      <c r="C17" s="1">
        <v>1</v>
      </c>
      <c r="D17" s="5">
        <f t="shared" si="3"/>
        <v>100</v>
      </c>
      <c r="E17" s="1">
        <f>VLOOKUP(A17,temporalBoundaries!$A$2:$G$500,2,FALSE())</f>
        <v>1416</v>
      </c>
      <c r="F17" s="1">
        <f>VLOOKUP(A17,temporalBoundaries!$A$2:$G$500,3,FALSE())</f>
        <v>1416</v>
      </c>
      <c r="G17" s="1">
        <f t="shared" si="4"/>
        <v>0</v>
      </c>
      <c r="H17" s="1">
        <f t="shared" si="5"/>
        <v>1</v>
      </c>
      <c r="I17" s="1">
        <f>VLOOKUP($A17,temporalBoundaries!$A$1:$E$470,4,FALSE())</f>
        <v>14160424</v>
      </c>
      <c r="J17" s="1">
        <f>VLOOKUP($A17,temporalBoundaries!$A$1:$E$470,5,FALSE())</f>
        <v>14160424</v>
      </c>
    </row>
    <row r="18" ht="15" hidden="1">
      <c r="A18" s="1" t="s">
        <v>193</v>
      </c>
      <c r="B18" s="1">
        <v>1</v>
      </c>
      <c r="C18" s="1">
        <v>1</v>
      </c>
      <c r="D18" s="5">
        <f t="shared" si="3"/>
        <v>100</v>
      </c>
      <c r="E18" s="1">
        <f>VLOOKUP(A18,temporalBoundaries!$A$2:$G$500,2,FALSE())</f>
        <v>1618</v>
      </c>
      <c r="F18" s="1">
        <f>VLOOKUP(A18,temporalBoundaries!$A$2:$G$500,3,FALSE())</f>
        <v>1618</v>
      </c>
      <c r="G18" s="1">
        <f t="shared" si="4"/>
        <v>0</v>
      </c>
      <c r="H18" s="1">
        <f t="shared" si="5"/>
        <v>1</v>
      </c>
      <c r="I18" s="1">
        <f>VLOOKUP($A18,temporalBoundaries!$A$1:$E$470,4,FALSE())</f>
        <v>16180916</v>
      </c>
      <c r="J18" s="1">
        <f>VLOOKUP($A18,temporalBoundaries!$A$1:$E$470,5,FALSE())</f>
        <v>16180916</v>
      </c>
    </row>
    <row r="19" ht="15" hidden="1">
      <c r="A19" s="1" t="s">
        <v>197</v>
      </c>
      <c r="B19" s="1">
        <v>1</v>
      </c>
      <c r="C19" s="1">
        <v>1</v>
      </c>
      <c r="D19" s="5">
        <f t="shared" si="3"/>
        <v>100</v>
      </c>
      <c r="E19" s="1">
        <f>VLOOKUP(A19,temporalBoundaries!$A$2:$G$500,2,FALSE())</f>
        <v>839</v>
      </c>
      <c r="F19" s="1">
        <f>VLOOKUP(A19,temporalBoundaries!$A$2:$G$500,3,FALSE())</f>
        <v>839</v>
      </c>
      <c r="G19" s="1">
        <f t="shared" si="4"/>
        <v>0</v>
      </c>
      <c r="H19" s="1">
        <f t="shared" si="5"/>
        <v>1</v>
      </c>
      <c r="I19" s="1">
        <f>VLOOKUP($A19,temporalBoundaries!$A$1:$E$470,4,FALSE())</f>
        <v>8390421</v>
      </c>
      <c r="J19" s="1">
        <f>VLOOKUP($A19,temporalBoundaries!$A$1:$E$470,5,FALSE())</f>
        <v>8390421</v>
      </c>
    </row>
    <row r="20" ht="15" hidden="1">
      <c r="A20" s="1" t="s">
        <v>229</v>
      </c>
      <c r="B20" s="1">
        <v>1</v>
      </c>
      <c r="C20" s="1">
        <v>1</v>
      </c>
      <c r="D20" s="5">
        <f t="shared" si="3"/>
        <v>100</v>
      </c>
      <c r="E20" s="1">
        <f>VLOOKUP(A20,temporalBoundaries!$A$2:$G$500,2,FALSE())</f>
        <v>1317</v>
      </c>
      <c r="F20" s="1">
        <f>VLOOKUP(A20,temporalBoundaries!$A$2:$G$500,3,FALSE())</f>
        <v>1317</v>
      </c>
      <c r="G20" s="1">
        <f t="shared" si="4"/>
        <v>0</v>
      </c>
      <c r="H20" s="1">
        <f t="shared" si="5"/>
        <v>1</v>
      </c>
      <c r="I20" s="1">
        <f>VLOOKUP($A20,temporalBoundaries!$A$1:$E$470,4,FALSE())</f>
        <v>13170829</v>
      </c>
      <c r="J20" s="1">
        <f>VLOOKUP($A20,temporalBoundaries!$A$1:$E$470,5,FALSE())</f>
        <v>13170829</v>
      </c>
    </row>
    <row r="21" ht="15" hidden="1">
      <c r="A21" s="1" t="s">
        <v>241</v>
      </c>
      <c r="B21" s="1">
        <v>1</v>
      </c>
      <c r="C21" s="1">
        <v>1</v>
      </c>
      <c r="D21" s="5">
        <f t="shared" si="3"/>
        <v>100</v>
      </c>
      <c r="E21" s="1">
        <f>VLOOKUP(A21,temporalBoundaries!$A$2:$G$500,2,FALSE())</f>
        <v>1499</v>
      </c>
      <c r="F21" s="1">
        <f>VLOOKUP(A21,temporalBoundaries!$A$2:$G$500,3,FALSE())</f>
        <v>1499</v>
      </c>
      <c r="G21" s="1">
        <f t="shared" si="4"/>
        <v>0</v>
      </c>
      <c r="H21" s="1">
        <f t="shared" si="5"/>
        <v>1</v>
      </c>
      <c r="I21" s="1">
        <f>VLOOKUP($A21,temporalBoundaries!$A$1:$E$470,4,FALSE())</f>
        <v>14990913</v>
      </c>
      <c r="J21" s="1">
        <f>VLOOKUP($A21,temporalBoundaries!$A$1:$E$470,5,FALSE())</f>
        <v>14990913</v>
      </c>
    </row>
    <row r="22" ht="15" hidden="1">
      <c r="A22" s="1" t="s">
        <v>253</v>
      </c>
      <c r="B22" s="1">
        <v>1</v>
      </c>
      <c r="C22" s="1">
        <v>1</v>
      </c>
      <c r="D22" s="5">
        <f t="shared" si="3"/>
        <v>100</v>
      </c>
      <c r="E22" s="1">
        <f>VLOOKUP(A22,temporalBoundaries!$A$2:$G$500,2,FALSE())</f>
        <v>909</v>
      </c>
      <c r="F22" s="1">
        <f>VLOOKUP(A22,temporalBoundaries!$A$2:$G$500,3,FALSE())</f>
        <v>909</v>
      </c>
      <c r="G22" s="1">
        <f t="shared" si="4"/>
        <v>0</v>
      </c>
      <c r="H22" s="1">
        <f t="shared" si="5"/>
        <v>1</v>
      </c>
      <c r="I22" s="1">
        <f>VLOOKUP($A22,temporalBoundaries!$A$1:$E$470,4,FALSE())</f>
        <v>9090219</v>
      </c>
      <c r="J22" s="1">
        <f>VLOOKUP($A22,temporalBoundaries!$A$1:$E$470,5,FALSE())</f>
        <v>9090219</v>
      </c>
    </row>
    <row r="23" ht="15" hidden="1">
      <c r="A23" s="1" t="s">
        <v>289</v>
      </c>
      <c r="B23" s="1">
        <v>1</v>
      </c>
      <c r="C23" s="1">
        <v>1</v>
      </c>
      <c r="D23" s="5">
        <f t="shared" si="3"/>
        <v>100</v>
      </c>
      <c r="E23" s="1">
        <f>VLOOKUP(A23,temporalBoundaries!$A$2:$G$500,2,FALSE())</f>
        <v>1198</v>
      </c>
      <c r="F23" s="1">
        <f>VLOOKUP(A23,temporalBoundaries!$A$2:$G$500,3,FALSE())</f>
        <v>1198</v>
      </c>
      <c r="G23" s="1">
        <f t="shared" si="4"/>
        <v>0</v>
      </c>
      <c r="H23" s="1">
        <f t="shared" si="5"/>
        <v>1</v>
      </c>
      <c r="I23" s="1">
        <f>VLOOKUP($A23,temporalBoundaries!$A$1:$E$470,4,FALSE())</f>
        <v>11981231</v>
      </c>
      <c r="J23" s="1">
        <f>VLOOKUP($A23,temporalBoundaries!$A$1:$E$470,5,FALSE())</f>
        <v>11981231</v>
      </c>
    </row>
    <row r="24" ht="15" hidden="1">
      <c r="A24" s="1" t="s">
        <v>313</v>
      </c>
      <c r="B24" s="1">
        <v>1</v>
      </c>
      <c r="C24" s="1">
        <v>1</v>
      </c>
      <c r="D24" s="5">
        <f t="shared" si="3"/>
        <v>100</v>
      </c>
      <c r="E24" s="1">
        <f>VLOOKUP(A24,temporalBoundaries!$A$2:$G$500,2,FALSE())</f>
        <v>1410</v>
      </c>
      <c r="F24" s="1">
        <f>VLOOKUP(A24,temporalBoundaries!$A$2:$G$500,3,FALSE())</f>
        <v>1410</v>
      </c>
      <c r="G24" s="1">
        <f t="shared" si="4"/>
        <v>0</v>
      </c>
      <c r="H24" s="1">
        <f t="shared" si="5"/>
        <v>1</v>
      </c>
      <c r="I24" s="1">
        <f>VLOOKUP($A24,temporalBoundaries!$A$1:$E$470,4,FALSE())</f>
        <v>14100510</v>
      </c>
      <c r="J24" s="1">
        <f>VLOOKUP($A24,temporalBoundaries!$A$1:$E$470,5,FALSE())</f>
        <v>14100510</v>
      </c>
    </row>
    <row r="25" ht="15" hidden="1">
      <c r="A25" s="1" t="s">
        <v>321</v>
      </c>
      <c r="B25" s="1">
        <v>1</v>
      </c>
      <c r="C25" s="1">
        <v>1</v>
      </c>
      <c r="D25" s="5">
        <f t="shared" si="3"/>
        <v>100</v>
      </c>
      <c r="E25" s="1">
        <f>VLOOKUP(A25,temporalBoundaries!$A$2:$G$500,2,FALSE())</f>
        <v>1658</v>
      </c>
      <c r="F25" s="1">
        <f>VLOOKUP(A25,temporalBoundaries!$A$2:$G$500,3,FALSE())</f>
        <v>1658</v>
      </c>
      <c r="G25" s="1">
        <f t="shared" si="4"/>
        <v>0</v>
      </c>
      <c r="H25" s="1">
        <f t="shared" si="5"/>
        <v>1</v>
      </c>
      <c r="I25" s="1">
        <f>VLOOKUP($A25,temporalBoundaries!$A$1:$E$470,4,FALSE())</f>
        <v>16580408</v>
      </c>
      <c r="J25" s="1">
        <f>VLOOKUP($A25,temporalBoundaries!$A$1:$E$470,5,FALSE())</f>
        <v>16580408</v>
      </c>
    </row>
    <row r="26" ht="15" hidden="1">
      <c r="A26" s="1" t="s">
        <v>333</v>
      </c>
      <c r="B26" s="1">
        <v>1</v>
      </c>
      <c r="C26" s="1">
        <v>1</v>
      </c>
      <c r="D26" s="5">
        <f t="shared" si="3"/>
        <v>100</v>
      </c>
      <c r="E26" s="1">
        <f>VLOOKUP(A26,temporalBoundaries!$A$2:$G$500,2,FALSE())</f>
        <v>1332</v>
      </c>
      <c r="F26" s="1">
        <f>VLOOKUP(A26,temporalBoundaries!$A$2:$G$500,3,FALSE())</f>
        <v>1332</v>
      </c>
      <c r="G26" s="1">
        <f t="shared" si="4"/>
        <v>0</v>
      </c>
      <c r="H26" s="1">
        <f t="shared" si="5"/>
        <v>1</v>
      </c>
      <c r="I26" s="1">
        <f>VLOOKUP($A26,temporalBoundaries!$A$1:$E$470,4,FALSE())</f>
        <v>13320325</v>
      </c>
      <c r="J26" s="1">
        <f>VLOOKUP($A26,temporalBoundaries!$A$1:$E$470,5,FALSE())</f>
        <v>13320325</v>
      </c>
    </row>
    <row r="27" ht="15" hidden="1">
      <c r="A27" s="1" t="s">
        <v>345</v>
      </c>
      <c r="B27" s="1">
        <v>1</v>
      </c>
      <c r="C27" s="1">
        <v>1</v>
      </c>
      <c r="D27" s="5">
        <f t="shared" si="3"/>
        <v>100</v>
      </c>
      <c r="E27" s="1">
        <f>VLOOKUP(A27,temporalBoundaries!$A$2:$G$500,2,FALSE())</f>
        <v>1493</v>
      </c>
      <c r="F27" s="1">
        <f>VLOOKUP(A27,temporalBoundaries!$A$2:$G$500,3,FALSE())</f>
        <v>1493</v>
      </c>
      <c r="G27" s="1">
        <f t="shared" si="4"/>
        <v>0</v>
      </c>
      <c r="H27" s="1">
        <f t="shared" si="5"/>
        <v>1</v>
      </c>
      <c r="I27" s="1">
        <f>VLOOKUP($A27,temporalBoundaries!$A$1:$E$470,4,FALSE())</f>
        <v>14930926</v>
      </c>
      <c r="J27" s="1">
        <f>VLOOKUP($A27,temporalBoundaries!$A$1:$E$470,5,FALSE())</f>
        <v>14930926</v>
      </c>
    </row>
    <row r="28" ht="15" hidden="1">
      <c r="A28" s="1" t="s">
        <v>349</v>
      </c>
      <c r="B28" s="1">
        <v>1</v>
      </c>
      <c r="C28" s="1">
        <v>1</v>
      </c>
      <c r="D28" s="5">
        <f t="shared" si="3"/>
        <v>100</v>
      </c>
      <c r="E28" s="1">
        <f>VLOOKUP(A28,temporalBoundaries!$A$2:$G$500,2,FALSE())</f>
        <v>1456</v>
      </c>
      <c r="F28" s="1">
        <f>VLOOKUP(A28,temporalBoundaries!$A$2:$G$500,3,FALSE())</f>
        <v>1456</v>
      </c>
      <c r="G28" s="1">
        <f t="shared" si="4"/>
        <v>0</v>
      </c>
      <c r="H28" s="1">
        <f t="shared" si="5"/>
        <v>1</v>
      </c>
      <c r="I28" s="1">
        <f>VLOOKUP($A28,temporalBoundaries!$A$1:$E$470,4,FALSE())</f>
        <v>14561107</v>
      </c>
      <c r="J28" s="1">
        <f>VLOOKUP($A28,temporalBoundaries!$A$1:$E$470,5,FALSE())</f>
        <v>14561107</v>
      </c>
    </row>
    <row r="29" ht="15" hidden="1">
      <c r="A29" s="1" t="s">
        <v>365</v>
      </c>
      <c r="B29" s="1">
        <v>1</v>
      </c>
      <c r="C29" s="1">
        <v>1</v>
      </c>
      <c r="D29" s="5">
        <f t="shared" si="3"/>
        <v>100</v>
      </c>
      <c r="E29" s="1">
        <f>VLOOKUP(A29,temporalBoundaries!$A$2:$G$500,2,FALSE())</f>
        <v>1426</v>
      </c>
      <c r="F29" s="1">
        <f>VLOOKUP(A29,temporalBoundaries!$A$2:$G$500,3,FALSE())</f>
        <v>1426</v>
      </c>
      <c r="G29" s="1">
        <f t="shared" si="4"/>
        <v>0</v>
      </c>
      <c r="H29" s="1">
        <f t="shared" si="5"/>
        <v>1</v>
      </c>
      <c r="I29" s="1">
        <f>VLOOKUP($A29,temporalBoundaries!$A$1:$E$470,4,FALSE())</f>
        <v>14261112</v>
      </c>
      <c r="J29" s="1">
        <f>VLOOKUP($A29,temporalBoundaries!$A$1:$E$470,5,FALSE())</f>
        <v>14261112</v>
      </c>
    </row>
    <row r="30" ht="15" hidden="1">
      <c r="A30" s="1" t="s">
        <v>1990</v>
      </c>
      <c r="B30" s="1">
        <v>1</v>
      </c>
      <c r="C30" s="1">
        <v>1</v>
      </c>
      <c r="D30" s="5">
        <f t="shared" si="3"/>
        <v>100</v>
      </c>
      <c r="E30" s="1">
        <f>VLOOKUP(A30,temporalBoundaries!$A$2:$G$500,2,FALSE())</f>
        <v>1657</v>
      </c>
      <c r="F30" s="1">
        <f>VLOOKUP(A30,temporalBoundaries!$A$2:$G$500,3,FALSE())</f>
        <v>1657</v>
      </c>
      <c r="G30" s="1">
        <f t="shared" si="4"/>
        <v>0</v>
      </c>
      <c r="H30" s="1">
        <f t="shared" si="5"/>
        <v>1</v>
      </c>
      <c r="I30" s="1" t="e">
        <f>VLOOKUP($A30,temporalBoundaries!$A$1:$E$470,4,FALSE())</f>
        <v>#N/A</v>
      </c>
      <c r="J30" s="1" t="e">
        <f>VLOOKUP($A30,temporalBoundaries!$A$1:$E$470,5,FALSE())</f>
        <v>#N/A</v>
      </c>
    </row>
    <row r="31" ht="15" hidden="1">
      <c r="A31" s="1" t="s">
        <v>635</v>
      </c>
      <c r="B31" s="1">
        <v>1</v>
      </c>
      <c r="C31" s="1">
        <v>1</v>
      </c>
      <c r="D31" s="5">
        <f t="shared" si="3"/>
        <v>100</v>
      </c>
      <c r="E31" s="1">
        <f>VLOOKUP(A31,temporalBoundaries!$A$2:$G$500,2,FALSE())</f>
        <v>1686</v>
      </c>
      <c r="F31" s="1">
        <f>VLOOKUP(A31,temporalBoundaries!$A$2:$G$500,3,FALSE())</f>
        <v>1686</v>
      </c>
      <c r="G31" s="1">
        <f t="shared" si="4"/>
        <v>0</v>
      </c>
      <c r="H31" s="1">
        <f t="shared" si="5"/>
        <v>1</v>
      </c>
      <c r="I31" s="1">
        <f>VLOOKUP($A31,temporalBoundaries!$A$1:$E$470,4,FALSE())</f>
        <v>16860713</v>
      </c>
      <c r="J31" s="1">
        <f>VLOOKUP($A31,temporalBoundaries!$A$1:$E$470,5,FALSE())</f>
        <v>16860713</v>
      </c>
    </row>
    <row r="32" ht="15" hidden="1">
      <c r="A32" s="1" t="s">
        <v>639</v>
      </c>
      <c r="B32" s="1">
        <v>1</v>
      </c>
      <c r="C32" s="1">
        <v>1</v>
      </c>
      <c r="D32" s="5">
        <f t="shared" si="3"/>
        <v>100</v>
      </c>
      <c r="E32" s="1">
        <f>VLOOKUP(A32,temporalBoundaries!$A$2:$G$500,2,FALSE())</f>
        <v>1561</v>
      </c>
      <c r="F32" s="1">
        <f>VLOOKUP(A32,temporalBoundaries!$A$2:$G$500,3,FALSE())</f>
        <v>1561</v>
      </c>
      <c r="G32" s="1">
        <f t="shared" si="4"/>
        <v>0</v>
      </c>
      <c r="H32" s="1">
        <f t="shared" si="5"/>
        <v>1</v>
      </c>
      <c r="I32" s="1">
        <f>VLOOKUP($A32,temporalBoundaries!$A$1:$E$470,4,FALSE())</f>
        <v>15610602</v>
      </c>
      <c r="J32" s="1">
        <f>VLOOKUP($A32,temporalBoundaries!$A$1:$E$470,5,FALSE())</f>
        <v>15610602</v>
      </c>
    </row>
    <row r="33" ht="15" hidden="1">
      <c r="A33" s="1" t="s">
        <v>659</v>
      </c>
      <c r="B33" s="1">
        <v>1</v>
      </c>
      <c r="C33" s="1">
        <v>1</v>
      </c>
      <c r="D33" s="5">
        <f t="shared" si="3"/>
        <v>100</v>
      </c>
      <c r="E33" s="1">
        <f>VLOOKUP(A33,temporalBoundaries!$A$2:$G$500,2,FALSE())</f>
        <v>1734</v>
      </c>
      <c r="F33" s="1">
        <f>VLOOKUP(A33,temporalBoundaries!$A$2:$G$500,3,FALSE())</f>
        <v>1734</v>
      </c>
      <c r="G33" s="1">
        <f t="shared" si="4"/>
        <v>0</v>
      </c>
      <c r="H33" s="1">
        <f t="shared" si="5"/>
        <v>1</v>
      </c>
      <c r="I33" s="1">
        <f>VLOOKUP($A33,temporalBoundaries!$A$1:$E$470,4,FALSE())</f>
        <v>17341027</v>
      </c>
      <c r="J33" s="1">
        <f>VLOOKUP($A33,temporalBoundaries!$A$1:$E$470,5,FALSE())</f>
        <v>17341027</v>
      </c>
    </row>
    <row r="34" ht="15" hidden="1">
      <c r="A34" s="1" t="s">
        <v>811</v>
      </c>
      <c r="B34" s="1">
        <v>1</v>
      </c>
      <c r="C34" s="1">
        <v>1</v>
      </c>
      <c r="D34" s="5">
        <f t="shared" si="3"/>
        <v>100</v>
      </c>
      <c r="E34" s="1">
        <f>VLOOKUP(A34,temporalBoundaries!$A$2:$G$500,2,FALSE())</f>
        <v>1380</v>
      </c>
      <c r="F34" s="1">
        <f>VLOOKUP(A34,temporalBoundaries!$A$2:$G$500,3,FALSE())</f>
        <v>1380</v>
      </c>
      <c r="G34" s="1">
        <f t="shared" si="4"/>
        <v>0</v>
      </c>
      <c r="H34" s="1">
        <f t="shared" si="5"/>
        <v>1</v>
      </c>
      <c r="I34" s="1">
        <f>VLOOKUP($A34,temporalBoundaries!$A$1:$E$470,4,FALSE())</f>
        <v>13800228</v>
      </c>
      <c r="J34" s="1">
        <f>VLOOKUP($A34,temporalBoundaries!$A$1:$E$470,5,FALSE())</f>
        <v>13800228</v>
      </c>
    </row>
    <row r="35" ht="15" hidden="1">
      <c r="A35" s="1" t="s">
        <v>855</v>
      </c>
      <c r="B35" s="1">
        <v>1</v>
      </c>
      <c r="C35" s="1">
        <v>1</v>
      </c>
      <c r="D35" s="5">
        <f t="shared" si="3"/>
        <v>100</v>
      </c>
      <c r="E35" s="1">
        <f>VLOOKUP(A35,temporalBoundaries!$A$2:$G$500,2,FALSE())</f>
        <v>1483</v>
      </c>
      <c r="F35" s="1">
        <f>VLOOKUP(A35,temporalBoundaries!$A$2:$G$500,3,FALSE())</f>
        <v>1483</v>
      </c>
      <c r="G35" s="1">
        <f t="shared" si="4"/>
        <v>0</v>
      </c>
      <c r="H35" s="1">
        <f t="shared" si="5"/>
        <v>1</v>
      </c>
      <c r="I35" s="1">
        <f>VLOOKUP($A35,temporalBoundaries!$A$1:$E$470,4,FALSE())</f>
        <v>14830404</v>
      </c>
      <c r="J35" s="1">
        <f>VLOOKUP($A35,temporalBoundaries!$A$1:$E$470,5,FALSE())</f>
        <v>14830404</v>
      </c>
    </row>
    <row r="36" ht="15" hidden="1">
      <c r="A36" s="1" t="s">
        <v>867</v>
      </c>
      <c r="B36" s="1">
        <v>1</v>
      </c>
      <c r="C36" s="1">
        <v>1</v>
      </c>
      <c r="D36" s="5">
        <f t="shared" si="3"/>
        <v>100</v>
      </c>
      <c r="E36" s="1">
        <f>VLOOKUP(A36,temporalBoundaries!$A$2:$G$500,2,FALSE())</f>
        <v>1501</v>
      </c>
      <c r="F36" s="1">
        <f>VLOOKUP(A36,temporalBoundaries!$A$2:$G$500,3,FALSE())</f>
        <v>1501</v>
      </c>
      <c r="G36" s="1">
        <f t="shared" si="4"/>
        <v>0</v>
      </c>
      <c r="H36" s="1">
        <f t="shared" si="5"/>
        <v>1</v>
      </c>
      <c r="I36" s="1">
        <f>VLOOKUP($A36,temporalBoundaries!$A$1:$E$470,4,FALSE())</f>
        <v>15010624</v>
      </c>
      <c r="J36" s="1">
        <f>VLOOKUP($A36,temporalBoundaries!$A$1:$E$470,5,FALSE())</f>
        <v>15010624</v>
      </c>
    </row>
    <row r="37" ht="15" hidden="1">
      <c r="A37" s="1" t="s">
        <v>931</v>
      </c>
      <c r="B37" s="1">
        <v>1</v>
      </c>
      <c r="C37" s="1">
        <v>1</v>
      </c>
      <c r="D37" s="5">
        <f t="shared" si="3"/>
        <v>100</v>
      </c>
      <c r="E37" s="1">
        <f>VLOOKUP(A37,temporalBoundaries!$A$2:$G$500,2,FALSE())</f>
        <v>1433</v>
      </c>
      <c r="F37" s="1">
        <f>VLOOKUP(A37,temporalBoundaries!$A$2:$G$500,3,FALSE())</f>
        <v>1433</v>
      </c>
      <c r="G37" s="1">
        <f t="shared" si="4"/>
        <v>0</v>
      </c>
      <c r="H37" s="1">
        <f t="shared" si="5"/>
        <v>1</v>
      </c>
      <c r="I37" s="1">
        <f>VLOOKUP($A37,temporalBoundaries!$A$1:$E$470,4,FALSE())</f>
        <v>14330810</v>
      </c>
      <c r="J37" s="1">
        <f>VLOOKUP($A37,temporalBoundaries!$A$1:$E$470,5,FALSE())</f>
        <v>14330810</v>
      </c>
    </row>
    <row r="38" ht="15" hidden="1">
      <c r="A38" s="1" t="s">
        <v>943</v>
      </c>
      <c r="B38" s="1">
        <v>1</v>
      </c>
      <c r="C38" s="1">
        <v>1</v>
      </c>
      <c r="D38" s="5">
        <f t="shared" si="3"/>
        <v>100</v>
      </c>
      <c r="E38" s="1">
        <f>VLOOKUP(A38,temporalBoundaries!$A$2:$G$500,2,FALSE())</f>
        <v>1362</v>
      </c>
      <c r="F38" s="1">
        <f>VLOOKUP(A38,temporalBoundaries!$A$2:$G$500,3,FALSE())</f>
        <v>1362</v>
      </c>
      <c r="G38" s="1">
        <f t="shared" si="4"/>
        <v>0</v>
      </c>
      <c r="H38" s="1">
        <f t="shared" si="5"/>
        <v>1</v>
      </c>
      <c r="I38" s="1">
        <f>VLOOKUP($A38,temporalBoundaries!$A$1:$E$470,4,FALSE())</f>
        <v>13620202</v>
      </c>
      <c r="J38" s="1">
        <f>VLOOKUP($A38,temporalBoundaries!$A$1:$E$470,5,FALSE())</f>
        <v>13620202</v>
      </c>
    </row>
    <row r="39" ht="15" hidden="1">
      <c r="A39" s="1" t="s">
        <v>1019</v>
      </c>
      <c r="B39" s="1">
        <v>1</v>
      </c>
      <c r="C39" s="1">
        <v>1</v>
      </c>
      <c r="D39" s="5">
        <f t="shared" si="3"/>
        <v>100</v>
      </c>
      <c r="E39" s="1">
        <f>VLOOKUP(A39,temporalBoundaries!$A$2:$G$500,2,FALSE())</f>
        <v>1669</v>
      </c>
      <c r="F39" s="1">
        <f>VLOOKUP(A39,temporalBoundaries!$A$2:$G$500,3,FALSE())</f>
        <v>1669</v>
      </c>
      <c r="G39" s="1">
        <f t="shared" si="4"/>
        <v>0</v>
      </c>
      <c r="H39" s="1">
        <f t="shared" si="5"/>
        <v>1</v>
      </c>
      <c r="I39" s="1">
        <f>VLOOKUP($A39,temporalBoundaries!$A$1:$E$470,4,FALSE())</f>
        <v>16691004</v>
      </c>
      <c r="J39" s="1">
        <f>VLOOKUP($A39,temporalBoundaries!$A$1:$E$470,5,FALSE())</f>
        <v>16691004</v>
      </c>
    </row>
    <row r="40" ht="15" hidden="1">
      <c r="A40" s="1" t="s">
        <v>1023</v>
      </c>
      <c r="B40" s="1">
        <v>1</v>
      </c>
      <c r="C40" s="1">
        <v>1</v>
      </c>
      <c r="D40" s="5">
        <f t="shared" si="3"/>
        <v>100</v>
      </c>
      <c r="E40" s="1">
        <f>VLOOKUP(A40,temporalBoundaries!$A$2:$G$500,2,FALSE())</f>
        <v>1853</v>
      </c>
      <c r="F40" s="1">
        <f>VLOOKUP(A40,temporalBoundaries!$A$2:$G$500,3,FALSE())</f>
        <v>1853</v>
      </c>
      <c r="G40" s="1">
        <f t="shared" si="4"/>
        <v>0</v>
      </c>
      <c r="H40" s="1">
        <f t="shared" si="5"/>
        <v>1</v>
      </c>
      <c r="I40" s="1">
        <f>VLOOKUP($A40,temporalBoundaries!$A$1:$E$470,4,FALSE())</f>
        <v>18530304</v>
      </c>
      <c r="J40" s="1">
        <f>VLOOKUP($A40,temporalBoundaries!$A$1:$E$470,5,FALSE())</f>
        <v>18530304</v>
      </c>
    </row>
    <row r="41" ht="15" hidden="1">
      <c r="A41" s="1" t="s">
        <v>1395</v>
      </c>
      <c r="B41" s="1">
        <v>1</v>
      </c>
      <c r="C41" s="1">
        <v>1</v>
      </c>
      <c r="D41" s="5">
        <f t="shared" si="3"/>
        <v>100</v>
      </c>
      <c r="E41" s="1">
        <f>VLOOKUP(A41,temporalBoundaries!$A$2:$G$500,2,FALSE())</f>
        <v>1408</v>
      </c>
      <c r="F41" s="1">
        <f>VLOOKUP(A41,temporalBoundaries!$A$2:$G$500,3,FALSE())</f>
        <v>1408</v>
      </c>
      <c r="G41" s="1">
        <f t="shared" si="4"/>
        <v>0</v>
      </c>
      <c r="H41" s="1">
        <f t="shared" si="5"/>
        <v>1</v>
      </c>
      <c r="I41" s="1">
        <f>VLOOKUP($A41,temporalBoundaries!$A$1:$E$470,4,FALSE())</f>
        <v>14080506</v>
      </c>
      <c r="J41" s="1">
        <f>VLOOKUP($A41,temporalBoundaries!$A$1:$E$470,5,FALSE())</f>
        <v>14080506</v>
      </c>
    </row>
    <row r="42" ht="15" hidden="1">
      <c r="A42" s="1" t="s">
        <v>1971</v>
      </c>
      <c r="B42" s="1">
        <v>1</v>
      </c>
      <c r="C42" s="1">
        <v>1</v>
      </c>
      <c r="D42" s="5">
        <f t="shared" si="3"/>
        <v>100</v>
      </c>
      <c r="E42" s="1">
        <f>VLOOKUP(A42,temporalBoundaries!$A$2:$G$500,2,FALSE())</f>
        <v>1302</v>
      </c>
      <c r="F42" s="1">
        <f>VLOOKUP(A42,temporalBoundaries!$A$2:$G$500,3,FALSE())</f>
        <v>1302</v>
      </c>
      <c r="G42" s="1">
        <f t="shared" si="4"/>
        <v>0</v>
      </c>
      <c r="H42" s="1">
        <f t="shared" si="5"/>
        <v>1</v>
      </c>
      <c r="I42" s="1">
        <f>VLOOKUP($A42,temporalBoundaries!$A$1:$E$470,4,FALSE())</f>
        <v>13020616</v>
      </c>
      <c r="J42" s="1">
        <f>VLOOKUP($A42,temporalBoundaries!$A$1:$E$470,5,FALSE())</f>
        <v>13020616</v>
      </c>
    </row>
    <row r="43" ht="15" hidden="1">
      <c r="A43" s="1" t="s">
        <v>85</v>
      </c>
      <c r="B43" s="1">
        <v>1</v>
      </c>
      <c r="C43" s="1">
        <v>0</v>
      </c>
      <c r="D43" s="5">
        <f t="shared" si="3"/>
        <v>0</v>
      </c>
      <c r="E43" s="1">
        <f>VLOOKUP(A43,temporalBoundaries!$A$2:$G$500,2,FALSE())</f>
        <v>1476</v>
      </c>
      <c r="F43" s="1">
        <f>VLOOKUP(A43,temporalBoundaries!$A$2:$G$500,3,FALSE())</f>
        <v>1476</v>
      </c>
      <c r="G43" s="1">
        <f t="shared" si="4"/>
        <v>0</v>
      </c>
      <c r="H43" s="1">
        <f t="shared" si="5"/>
        <v>1</v>
      </c>
      <c r="I43" s="1">
        <f>VLOOKUP($A43,temporalBoundaries!$A$1:$E$470,4,FALSE())</f>
        <v>14760406</v>
      </c>
      <c r="J43" s="1">
        <f>VLOOKUP($A43,temporalBoundaries!$A$1:$E$470,5,FALSE())</f>
        <v>14760406</v>
      </c>
    </row>
    <row r="44" ht="15" hidden="1">
      <c r="A44" s="1" t="s">
        <v>109</v>
      </c>
      <c r="B44" s="1">
        <v>1</v>
      </c>
      <c r="C44" s="1">
        <v>0</v>
      </c>
      <c r="D44" s="5">
        <f t="shared" si="3"/>
        <v>0</v>
      </c>
      <c r="E44" s="1">
        <f>VLOOKUP(A44,temporalBoundaries!$A$2:$G$500,2,FALSE())</f>
        <v>1467</v>
      </c>
      <c r="F44" s="1">
        <f>VLOOKUP(A44,temporalBoundaries!$A$2:$G$500,3,FALSE())</f>
        <v>1467</v>
      </c>
      <c r="G44" s="1">
        <f t="shared" si="4"/>
        <v>0</v>
      </c>
      <c r="H44" s="1">
        <f t="shared" si="5"/>
        <v>1</v>
      </c>
      <c r="I44" s="1">
        <f>VLOOKUP($A44,temporalBoundaries!$A$1:$E$470,4,FALSE())</f>
        <v>14670714</v>
      </c>
      <c r="J44" s="1">
        <f>VLOOKUP($A44,temporalBoundaries!$A$1:$E$470,5,FALSE())</f>
        <v>14670714</v>
      </c>
    </row>
    <row r="45" ht="15" hidden="1">
      <c r="A45" s="1" t="s">
        <v>113</v>
      </c>
      <c r="B45" s="1">
        <v>1</v>
      </c>
      <c r="C45" s="1">
        <v>0</v>
      </c>
      <c r="D45" s="5">
        <f t="shared" si="3"/>
        <v>0</v>
      </c>
      <c r="E45" s="1">
        <f>VLOOKUP(A45,temporalBoundaries!$A$2:$G$500,2,FALSE())</f>
        <v>1398</v>
      </c>
      <c r="F45" s="1">
        <f>VLOOKUP(A45,temporalBoundaries!$A$2:$G$500,3,FALSE())</f>
        <v>1398</v>
      </c>
      <c r="G45" s="1">
        <f t="shared" si="4"/>
        <v>0</v>
      </c>
      <c r="H45" s="1">
        <f t="shared" si="5"/>
        <v>1</v>
      </c>
      <c r="I45" s="1">
        <f>VLOOKUP($A45,temporalBoundaries!$A$1:$E$470,4,FALSE())</f>
        <v>13980525</v>
      </c>
      <c r="J45" s="1">
        <f>VLOOKUP($A45,temporalBoundaries!$A$1:$E$470,5,FALSE())</f>
        <v>13980525</v>
      </c>
    </row>
    <row r="46" ht="15" hidden="1">
      <c r="A46" s="1" t="s">
        <v>165</v>
      </c>
      <c r="B46" s="1">
        <v>1</v>
      </c>
      <c r="C46" s="1">
        <v>0</v>
      </c>
      <c r="D46" s="5">
        <f t="shared" si="3"/>
        <v>0</v>
      </c>
      <c r="E46" s="1">
        <f>VLOOKUP(A46,temporalBoundaries!$A$2:$G$500,2,FALSE())</f>
        <v>1451</v>
      </c>
      <c r="F46" s="1">
        <f>VLOOKUP(A46,temporalBoundaries!$A$2:$G$500,3,FALSE())</f>
        <v>1451</v>
      </c>
      <c r="G46" s="1">
        <f t="shared" si="4"/>
        <v>0</v>
      </c>
      <c r="H46" s="1">
        <f t="shared" si="5"/>
        <v>1</v>
      </c>
      <c r="I46" s="1">
        <f>VLOOKUP($A46,temporalBoundaries!$A$1:$E$470,4,FALSE())</f>
        <v>14510820</v>
      </c>
      <c r="J46" s="1">
        <f>VLOOKUP($A46,temporalBoundaries!$A$1:$E$470,5,FALSE())</f>
        <v>14510820</v>
      </c>
    </row>
    <row r="47" ht="15" hidden="1">
      <c r="A47" s="1" t="s">
        <v>213</v>
      </c>
      <c r="B47" s="1">
        <v>1</v>
      </c>
      <c r="C47" s="1">
        <v>0</v>
      </c>
      <c r="D47" s="5">
        <f t="shared" si="3"/>
        <v>0</v>
      </c>
      <c r="E47" s="1">
        <f>VLOOKUP(A47,temporalBoundaries!$A$2:$G$500,2,FALSE())</f>
        <v>1273</v>
      </c>
      <c r="F47" s="1">
        <f>VLOOKUP(A47,temporalBoundaries!$A$2:$G$500,3,FALSE())</f>
        <v>1273</v>
      </c>
      <c r="G47" s="1">
        <f t="shared" si="4"/>
        <v>0</v>
      </c>
      <c r="H47" s="1">
        <f t="shared" si="5"/>
        <v>1</v>
      </c>
      <c r="I47" s="1">
        <f>VLOOKUP($A47,temporalBoundaries!$A$1:$E$470,4,FALSE())</f>
        <v>12731122</v>
      </c>
      <c r="J47" s="1">
        <f>VLOOKUP($A47,temporalBoundaries!$A$1:$E$470,5,FALSE())</f>
        <v>12731122</v>
      </c>
    </row>
    <row r="48" ht="15" hidden="1">
      <c r="A48" s="1" t="s">
        <v>249</v>
      </c>
      <c r="B48" s="1">
        <v>1</v>
      </c>
      <c r="C48" s="1">
        <v>0</v>
      </c>
      <c r="D48" s="5">
        <f t="shared" si="3"/>
        <v>0</v>
      </c>
      <c r="E48" s="1">
        <f>VLOOKUP(A48,temporalBoundaries!$A$2:$G$500,2,FALSE())</f>
        <v>1139</v>
      </c>
      <c r="F48" s="1">
        <f>VLOOKUP(A48,temporalBoundaries!$A$2:$G$500,3,FALSE())</f>
        <v>1139</v>
      </c>
      <c r="G48" s="1">
        <f t="shared" si="4"/>
        <v>0</v>
      </c>
      <c r="H48" s="1">
        <f t="shared" si="5"/>
        <v>1</v>
      </c>
      <c r="I48" s="1">
        <f>VLOOKUP($A48,temporalBoundaries!$A$1:$E$470,4,FALSE())</f>
        <v>11391231</v>
      </c>
      <c r="J48" s="1">
        <f>VLOOKUP($A48,temporalBoundaries!$A$1:$E$470,5,FALSE())</f>
        <v>11391231</v>
      </c>
    </row>
    <row r="49" ht="15" hidden="1">
      <c r="A49" s="1" t="s">
        <v>261</v>
      </c>
      <c r="B49" s="1">
        <v>1</v>
      </c>
      <c r="C49" s="1">
        <v>0</v>
      </c>
      <c r="D49" s="5">
        <f t="shared" si="3"/>
        <v>0</v>
      </c>
      <c r="E49" s="1">
        <f>VLOOKUP(A49,temporalBoundaries!$A$2:$G$500,2,FALSE())</f>
        <v>1343</v>
      </c>
      <c r="F49" s="1">
        <f>VLOOKUP(A49,temporalBoundaries!$A$2:$G$500,3,FALSE())</f>
        <v>1343</v>
      </c>
      <c r="G49" s="1">
        <f t="shared" si="4"/>
        <v>0</v>
      </c>
      <c r="H49" s="1">
        <f t="shared" si="5"/>
        <v>1</v>
      </c>
      <c r="I49" s="1">
        <f>VLOOKUP($A49,temporalBoundaries!$A$1:$E$470,4,FALSE())</f>
        <v>13430108</v>
      </c>
      <c r="J49" s="1">
        <f>VLOOKUP($A49,temporalBoundaries!$A$1:$E$470,5,FALSE())</f>
        <v>13430108</v>
      </c>
    </row>
    <row r="50" ht="15" hidden="1">
      <c r="A50" s="1" t="s">
        <v>281</v>
      </c>
      <c r="B50" s="1">
        <v>1</v>
      </c>
      <c r="C50" s="1">
        <v>0</v>
      </c>
      <c r="D50" s="5">
        <f t="shared" si="3"/>
        <v>0</v>
      </c>
      <c r="E50" s="1">
        <f>VLOOKUP(A50,temporalBoundaries!$A$2:$G$500,2,FALSE())</f>
        <v>1338</v>
      </c>
      <c r="F50" s="1">
        <f>VLOOKUP(A50,temporalBoundaries!$A$2:$G$500,3,FALSE())</f>
        <v>1338</v>
      </c>
      <c r="G50" s="1">
        <f t="shared" si="4"/>
        <v>0</v>
      </c>
      <c r="H50" s="1">
        <f t="shared" si="5"/>
        <v>1</v>
      </c>
      <c r="I50" s="1">
        <f>VLOOKUP($A50,temporalBoundaries!$A$1:$E$470,4,FALSE())</f>
        <v>13380826</v>
      </c>
      <c r="J50" s="1">
        <f>VLOOKUP($A50,temporalBoundaries!$A$1:$E$470,5,FALSE())</f>
        <v>13380826</v>
      </c>
    </row>
    <row r="51" ht="15" hidden="1">
      <c r="A51" s="1" t="s">
        <v>329</v>
      </c>
      <c r="B51" s="1">
        <v>1</v>
      </c>
      <c r="C51" s="1">
        <v>0</v>
      </c>
      <c r="D51" s="5">
        <f t="shared" si="3"/>
        <v>0</v>
      </c>
      <c r="E51" s="1">
        <f>VLOOKUP(A51,temporalBoundaries!$A$2:$G$500,2,FALSE())</f>
        <v>1257</v>
      </c>
      <c r="F51" s="1">
        <f>VLOOKUP(A51,temporalBoundaries!$A$2:$G$500,3,FALSE())</f>
        <v>1257</v>
      </c>
      <c r="G51" s="1">
        <f t="shared" si="4"/>
        <v>0</v>
      </c>
      <c r="H51" s="1">
        <f t="shared" si="5"/>
        <v>1</v>
      </c>
      <c r="I51" s="1">
        <f>VLOOKUP($A51,temporalBoundaries!$A$1:$E$470,4,FALSE())</f>
        <v>12570730</v>
      </c>
      <c r="J51" s="1">
        <f>VLOOKUP($A51,temporalBoundaries!$A$1:$E$470,5,FALSE())</f>
        <v>12570730</v>
      </c>
    </row>
    <row r="52" ht="15" hidden="1">
      <c r="A52" s="1" t="s">
        <v>381</v>
      </c>
      <c r="B52" s="1">
        <v>1</v>
      </c>
      <c r="C52" s="1">
        <v>0</v>
      </c>
      <c r="D52" s="5">
        <f t="shared" si="3"/>
        <v>0</v>
      </c>
      <c r="E52" s="1">
        <f>VLOOKUP(A52,temporalBoundaries!$A$2:$G$500,2,FALSE())</f>
        <v>1380</v>
      </c>
      <c r="F52" s="1">
        <f>VLOOKUP(A52,temporalBoundaries!$A$2:$G$500,3,FALSE())</f>
        <v>1380</v>
      </c>
      <c r="G52" s="1">
        <f t="shared" si="4"/>
        <v>0</v>
      </c>
      <c r="H52" s="1">
        <f t="shared" si="5"/>
        <v>1</v>
      </c>
      <c r="I52" s="1">
        <f>VLOOKUP($A52,temporalBoundaries!$A$1:$E$470,4,FALSE())</f>
        <v>13800228</v>
      </c>
      <c r="J52" s="1">
        <f>VLOOKUP($A52,temporalBoundaries!$A$1:$E$470,5,FALSE())</f>
        <v>13800228</v>
      </c>
    </row>
    <row r="53" ht="15" hidden="1">
      <c r="A53" s="1" t="s">
        <v>695</v>
      </c>
      <c r="B53" s="1">
        <v>1</v>
      </c>
      <c r="C53" s="1">
        <v>0</v>
      </c>
      <c r="D53" s="5">
        <f t="shared" si="3"/>
        <v>0</v>
      </c>
      <c r="E53" s="1">
        <f>VLOOKUP(A53,temporalBoundaries!$A$2:$G$500,2,FALSE())</f>
        <v>1684</v>
      </c>
      <c r="F53" s="1">
        <f>VLOOKUP(A53,temporalBoundaries!$A$2:$G$500,3,FALSE())</f>
        <v>1684</v>
      </c>
      <c r="G53" s="1">
        <f t="shared" si="4"/>
        <v>0</v>
      </c>
      <c r="H53" s="1">
        <f t="shared" si="5"/>
        <v>1</v>
      </c>
      <c r="I53" s="1">
        <f>VLOOKUP($A53,temporalBoundaries!$A$1:$E$470,4,FALSE())</f>
        <v>16840302</v>
      </c>
      <c r="J53" s="1">
        <f>VLOOKUP($A53,temporalBoundaries!$A$1:$E$470,5,FALSE())</f>
        <v>16840302</v>
      </c>
    </row>
    <row r="54" ht="15" hidden="1">
      <c r="A54" s="1" t="s">
        <v>771</v>
      </c>
      <c r="B54" s="1">
        <v>1</v>
      </c>
      <c r="C54" s="1">
        <v>0</v>
      </c>
      <c r="D54" s="5">
        <f t="shared" si="3"/>
        <v>0</v>
      </c>
      <c r="E54" s="1">
        <f>VLOOKUP(A54,temporalBoundaries!$A$2:$G$500,2,FALSE())</f>
        <v>1684</v>
      </c>
      <c r="F54" s="1">
        <f>VLOOKUP(A54,temporalBoundaries!$A$2:$G$500,3,FALSE())</f>
        <v>1684</v>
      </c>
      <c r="G54" s="1">
        <f t="shared" si="4"/>
        <v>0</v>
      </c>
      <c r="H54" s="1">
        <f t="shared" si="5"/>
        <v>1</v>
      </c>
      <c r="I54" s="1">
        <f>VLOOKUP($A54,temporalBoundaries!$A$1:$E$470,4,FALSE())</f>
        <v>16840513</v>
      </c>
      <c r="J54" s="1">
        <f>VLOOKUP($A54,temporalBoundaries!$A$1:$E$470,5,FALSE())</f>
        <v>16840513</v>
      </c>
    </row>
    <row r="55" ht="15" hidden="1">
      <c r="A55" s="1" t="s">
        <v>1539</v>
      </c>
      <c r="B55" s="1">
        <v>1</v>
      </c>
      <c r="C55" s="1">
        <v>0</v>
      </c>
      <c r="D55" s="5">
        <f t="shared" si="3"/>
        <v>0</v>
      </c>
      <c r="E55" s="1">
        <f>VLOOKUP(A55,temporalBoundaries!$A$2:$G$500,2,FALSE())</f>
        <v>1385</v>
      </c>
      <c r="F55" s="1">
        <f>VLOOKUP(A55,temporalBoundaries!$A$2:$G$500,3,FALSE())</f>
        <v>1385</v>
      </c>
      <c r="G55" s="1">
        <f t="shared" si="4"/>
        <v>0</v>
      </c>
      <c r="H55" s="1">
        <f t="shared" si="5"/>
        <v>1</v>
      </c>
      <c r="I55" s="1">
        <f>VLOOKUP($A55,temporalBoundaries!$A$1:$E$470,4,FALSE())</f>
        <v>13851210</v>
      </c>
      <c r="J55" s="1">
        <f>VLOOKUP($A55,temporalBoundaries!$A$1:$E$470,5,FALSE())</f>
        <v>13851210</v>
      </c>
    </row>
    <row r="56" ht="15" hidden="1">
      <c r="A56" s="1" t="s">
        <v>1575</v>
      </c>
      <c r="B56" s="1">
        <v>1</v>
      </c>
      <c r="C56" s="1">
        <v>0</v>
      </c>
      <c r="D56" s="5">
        <f t="shared" si="3"/>
        <v>0</v>
      </c>
      <c r="E56" s="1">
        <f>VLOOKUP(A56,temporalBoundaries!$A$2:$G$500,2,FALSE())</f>
        <v>1358</v>
      </c>
      <c r="F56" s="1">
        <f>VLOOKUP(A56,temporalBoundaries!$A$2:$G$500,3,FALSE())</f>
        <v>1358</v>
      </c>
      <c r="G56" s="1">
        <f t="shared" si="4"/>
        <v>0</v>
      </c>
      <c r="H56" s="1">
        <f t="shared" si="5"/>
        <v>1</v>
      </c>
      <c r="I56" s="1">
        <f>VLOOKUP($A56,temporalBoundaries!$A$1:$E$470,4,FALSE())</f>
        <v>13581202</v>
      </c>
      <c r="J56" s="1">
        <f>VLOOKUP($A56,temporalBoundaries!$A$1:$E$470,5,FALSE())</f>
        <v>13581202</v>
      </c>
    </row>
    <row r="57" ht="15" hidden="1">
      <c r="A57" s="1" t="s">
        <v>1615</v>
      </c>
      <c r="B57" s="1">
        <v>1</v>
      </c>
      <c r="C57" s="1">
        <v>0</v>
      </c>
      <c r="D57" s="5">
        <f t="shared" si="3"/>
        <v>0</v>
      </c>
      <c r="E57" s="1">
        <f>VLOOKUP(A57,temporalBoundaries!$A$2:$G$500,2,FALSE())</f>
        <v>1363</v>
      </c>
      <c r="F57" s="1">
        <f>VLOOKUP(A57,temporalBoundaries!$A$2:$G$500,3,FALSE())</f>
        <v>1363</v>
      </c>
      <c r="G57" s="1">
        <f t="shared" si="4"/>
        <v>0</v>
      </c>
      <c r="H57" s="1">
        <f t="shared" si="5"/>
        <v>1</v>
      </c>
      <c r="I57" s="1">
        <f>VLOOKUP($A57,temporalBoundaries!$A$1:$E$470,4,FALSE())</f>
        <v>13630301</v>
      </c>
      <c r="J57" s="1">
        <f>VLOOKUP($A57,temporalBoundaries!$A$1:$E$470,5,FALSE())</f>
        <v>13630301</v>
      </c>
    </row>
    <row r="58" ht="15" hidden="1">
      <c r="A58" s="1" t="s">
        <v>1667</v>
      </c>
      <c r="B58" s="1">
        <v>1</v>
      </c>
      <c r="C58" s="1">
        <v>0</v>
      </c>
      <c r="D58" s="5">
        <f t="shared" si="3"/>
        <v>0</v>
      </c>
      <c r="E58" s="1">
        <f>VLOOKUP(A58,temporalBoundaries!$A$2:$G$500,2,FALSE())</f>
        <v>1378</v>
      </c>
      <c r="F58" s="1">
        <f>VLOOKUP(A58,temporalBoundaries!$A$2:$G$500,3,FALSE())</f>
        <v>1378</v>
      </c>
      <c r="G58" s="1">
        <f t="shared" si="4"/>
        <v>0</v>
      </c>
      <c r="H58" s="1">
        <f t="shared" si="5"/>
        <v>1</v>
      </c>
      <c r="I58" s="1">
        <f>VLOOKUP($A58,temporalBoundaries!$A$1:$E$470,4,FALSE())</f>
        <v>13780922</v>
      </c>
      <c r="J58" s="1">
        <f>VLOOKUP($A58,temporalBoundaries!$A$1:$E$470,5,FALSE())</f>
        <v>13780922</v>
      </c>
    </row>
    <row r="59" ht="15" hidden="1">
      <c r="A59" s="1" t="s">
        <v>1739</v>
      </c>
      <c r="B59" s="1">
        <v>1</v>
      </c>
      <c r="C59" s="1">
        <v>0</v>
      </c>
      <c r="D59" s="5">
        <f t="shared" si="3"/>
        <v>0</v>
      </c>
      <c r="E59" s="1">
        <f>VLOOKUP(A59,temporalBoundaries!$A$2:$G$500,2,FALSE())</f>
        <v>1391</v>
      </c>
      <c r="F59" s="1">
        <f>VLOOKUP(A59,temporalBoundaries!$A$2:$G$500,3,FALSE())</f>
        <v>1391</v>
      </c>
      <c r="G59" s="1">
        <f t="shared" si="4"/>
        <v>0</v>
      </c>
      <c r="H59" s="1">
        <f t="shared" si="5"/>
        <v>1</v>
      </c>
      <c r="I59" s="1">
        <f>VLOOKUP($A59,temporalBoundaries!$A$1:$E$470,4,FALSE())</f>
        <v>13910926</v>
      </c>
      <c r="J59" s="1">
        <f>VLOOKUP($A59,temporalBoundaries!$A$1:$E$470,5,FALSE())</f>
        <v>13910926</v>
      </c>
    </row>
    <row r="60" ht="15" hidden="1">
      <c r="A60" s="1" t="s">
        <v>1807</v>
      </c>
      <c r="B60" s="1">
        <v>1</v>
      </c>
      <c r="C60" s="1">
        <v>0</v>
      </c>
      <c r="D60" s="5">
        <f t="shared" si="3"/>
        <v>0</v>
      </c>
      <c r="E60" s="1">
        <f>VLOOKUP(A60,temporalBoundaries!$A$2:$G$500,2,FALSE())</f>
        <v>1245</v>
      </c>
      <c r="F60" s="1">
        <f>VLOOKUP(A60,temporalBoundaries!$A$2:$G$500,3,FALSE())</f>
        <v>1245</v>
      </c>
      <c r="G60" s="1">
        <f t="shared" si="4"/>
        <v>0</v>
      </c>
      <c r="H60" s="1">
        <f t="shared" si="5"/>
        <v>1</v>
      </c>
      <c r="I60" s="1">
        <f>VLOOKUP($A60,temporalBoundaries!$A$1:$E$470,4,FALSE())</f>
        <v>12450129</v>
      </c>
      <c r="J60" s="1">
        <f>VLOOKUP($A60,temporalBoundaries!$A$1:$E$470,5,FALSE())</f>
        <v>12450129</v>
      </c>
    </row>
    <row r="61" ht="15" hidden="1">
      <c r="A61" s="1" t="s">
        <v>1899</v>
      </c>
      <c r="B61" s="1">
        <v>1</v>
      </c>
      <c r="C61" s="1">
        <v>0</v>
      </c>
      <c r="D61" s="5">
        <f t="shared" si="3"/>
        <v>0</v>
      </c>
      <c r="E61" s="1">
        <f>VLOOKUP(A61,temporalBoundaries!$A$2:$G$500,2,FALSE())</f>
        <v>1299</v>
      </c>
      <c r="F61" s="1">
        <f>VLOOKUP(A61,temporalBoundaries!$A$2:$G$500,3,FALSE())</f>
        <v>1299</v>
      </c>
      <c r="G61" s="1">
        <f t="shared" si="4"/>
        <v>0</v>
      </c>
      <c r="H61" s="1">
        <f t="shared" si="5"/>
        <v>1</v>
      </c>
      <c r="I61" s="1">
        <f>VLOOKUP($A61,temporalBoundaries!$A$1:$E$470,4,FALSE())</f>
        <v>12991222</v>
      </c>
      <c r="J61" s="1">
        <f>VLOOKUP($A61,temporalBoundaries!$A$1:$E$470,5,FALSE())</f>
        <v>12991222</v>
      </c>
    </row>
    <row r="62" ht="15" hidden="1">
      <c r="A62" s="1" t="s">
        <v>1843</v>
      </c>
      <c r="B62" s="1">
        <v>2</v>
      </c>
      <c r="C62" s="1">
        <v>0</v>
      </c>
      <c r="D62" s="5">
        <f t="shared" si="3"/>
        <v>0</v>
      </c>
      <c r="E62" s="1">
        <f>VLOOKUP(A62,temporalBoundaries!$A$2:$G$500,2,FALSE())</f>
        <v>1237</v>
      </c>
      <c r="F62" s="1">
        <f>VLOOKUP(A62,temporalBoundaries!$A$2:$G$500,3,FALSE())</f>
        <v>1387</v>
      </c>
      <c r="G62" s="1">
        <f t="shared" si="4"/>
        <v>150</v>
      </c>
      <c r="H62" s="1">
        <f t="shared" si="5"/>
        <v>0.013245033112582801</v>
      </c>
      <c r="I62" s="1">
        <f>VLOOKUP($A62,temporalBoundaries!$A$1:$E$470,4,FALSE())</f>
        <v>12370210</v>
      </c>
      <c r="J62" s="1">
        <f>VLOOKUP($A62,temporalBoundaries!$A$1:$E$470,5,FALSE())</f>
        <v>13870708</v>
      </c>
    </row>
    <row r="63" ht="15" hidden="1">
      <c r="A63" s="1" t="s">
        <v>823</v>
      </c>
      <c r="B63" s="1">
        <v>2</v>
      </c>
      <c r="C63" s="1">
        <v>2</v>
      </c>
      <c r="D63" s="5">
        <f t="shared" si="3"/>
        <v>100</v>
      </c>
      <c r="E63" s="1">
        <f>VLOOKUP(A63,temporalBoundaries!$A$2:$G$500,2,FALSE())</f>
        <v>1400</v>
      </c>
      <c r="F63" s="1">
        <f>VLOOKUP(A63,temporalBoundaries!$A$2:$G$500,3,FALSE())</f>
        <v>1500</v>
      </c>
      <c r="G63" s="1">
        <f t="shared" si="4"/>
        <v>100</v>
      </c>
      <c r="H63" s="1">
        <f t="shared" si="5"/>
        <v>0.019801980198019799</v>
      </c>
      <c r="I63" s="1">
        <f>VLOOKUP($A63,temporalBoundaries!$A$1:$E$470,4,FALSE())</f>
        <v>14000719</v>
      </c>
      <c r="J63" s="1">
        <f>VLOOKUP($A63,temporalBoundaries!$A$1:$E$470,5,FALSE())</f>
        <v>15000401</v>
      </c>
    </row>
    <row r="64" ht="15" hidden="1">
      <c r="A64" s="1" t="s">
        <v>655</v>
      </c>
      <c r="B64" s="1">
        <v>2</v>
      </c>
      <c r="C64" s="1">
        <v>2</v>
      </c>
      <c r="D64" s="5">
        <f t="shared" si="3"/>
        <v>100</v>
      </c>
      <c r="E64" s="1">
        <f>VLOOKUP(A64,temporalBoundaries!$A$2:$G$500,2,FALSE())</f>
        <v>1637</v>
      </c>
      <c r="F64" s="1">
        <f>VLOOKUP(A64,temporalBoundaries!$A$2:$G$500,3,FALSE())</f>
        <v>1703</v>
      </c>
      <c r="G64" s="1">
        <f t="shared" si="4"/>
        <v>66</v>
      </c>
      <c r="H64" s="1">
        <f t="shared" si="5"/>
        <v>0.029850746268656699</v>
      </c>
      <c r="I64" s="1">
        <f>VLOOKUP($A64,temporalBoundaries!$A$1:$E$470,4,FALSE())</f>
        <v>16370929</v>
      </c>
      <c r="J64" s="1">
        <f>VLOOKUP($A64,temporalBoundaries!$A$1:$E$470,5,FALSE())</f>
        <v>17030920</v>
      </c>
    </row>
    <row r="65" ht="15" hidden="1">
      <c r="A65" s="1" t="s">
        <v>373</v>
      </c>
      <c r="B65" s="1">
        <v>2</v>
      </c>
      <c r="C65" s="1">
        <v>0</v>
      </c>
      <c r="D65" s="5">
        <f t="shared" si="3"/>
        <v>0</v>
      </c>
      <c r="E65" s="1">
        <f>VLOOKUP(A65,temporalBoundaries!$A$2:$G$500,2,FALSE())</f>
        <v>1476</v>
      </c>
      <c r="F65" s="1">
        <f>VLOOKUP(A65,temporalBoundaries!$A$2:$G$500,3,FALSE())</f>
        <v>1517</v>
      </c>
      <c r="G65" s="1">
        <f t="shared" si="4"/>
        <v>41</v>
      </c>
      <c r="H65" s="1">
        <f t="shared" si="5"/>
        <v>0.047619047619047603</v>
      </c>
      <c r="I65" s="1">
        <f>VLOOKUP($A65,temporalBoundaries!$A$1:$E$470,4,FALSE())</f>
        <v>14761011</v>
      </c>
      <c r="J65" s="1">
        <f>VLOOKUP($A65,temporalBoundaries!$A$1:$E$470,5,FALSE())</f>
        <v>15171217</v>
      </c>
    </row>
    <row r="66" ht="15" hidden="1">
      <c r="A66" s="1" t="s">
        <v>1255</v>
      </c>
      <c r="B66" s="1">
        <v>2</v>
      </c>
      <c r="C66" s="1">
        <v>2</v>
      </c>
      <c r="D66" s="5">
        <f t="shared" si="3"/>
        <v>100</v>
      </c>
      <c r="E66" s="1">
        <f>VLOOKUP(A66,temporalBoundaries!$A$2:$G$500,2,FALSE())</f>
        <v>1596</v>
      </c>
      <c r="F66" s="1">
        <f>VLOOKUP(A66,temporalBoundaries!$A$2:$G$500,3,FALSE())</f>
        <v>1612</v>
      </c>
      <c r="G66" s="1">
        <f t="shared" si="4"/>
        <v>16</v>
      </c>
      <c r="H66" s="1">
        <f t="shared" si="5"/>
        <v>0.11764705882352899</v>
      </c>
      <c r="I66" s="1">
        <f>VLOOKUP($A66,temporalBoundaries!$A$1:$E$470,4,FALSE())</f>
        <v>15961231</v>
      </c>
      <c r="J66" s="1">
        <f>VLOOKUP($A66,temporalBoundaries!$A$1:$E$470,5,FALSE())</f>
        <v>16121231</v>
      </c>
    </row>
    <row r="67" ht="15" hidden="1">
      <c r="A67" s="1" t="s">
        <v>1579</v>
      </c>
      <c r="B67" s="1">
        <v>2</v>
      </c>
      <c r="C67" s="1">
        <v>0</v>
      </c>
      <c r="D67" s="5">
        <f t="shared" si="3"/>
        <v>0</v>
      </c>
      <c r="E67" s="1">
        <f>VLOOKUP(A67,temporalBoundaries!$A$2:$G$500,2,FALSE())</f>
        <v>1382</v>
      </c>
      <c r="F67" s="1">
        <f>VLOOKUP(A67,temporalBoundaries!$A$2:$G$500,3,FALSE())</f>
        <v>1396</v>
      </c>
      <c r="G67" s="1">
        <f t="shared" si="4"/>
        <v>14</v>
      </c>
      <c r="H67" s="1">
        <f t="shared" si="5"/>
        <v>0.133333333333333</v>
      </c>
      <c r="I67" s="1">
        <f>VLOOKUP($A67,temporalBoundaries!$A$1:$E$470,4,FALSE())</f>
        <v>13820226</v>
      </c>
      <c r="J67" s="1">
        <f>VLOOKUP($A67,temporalBoundaries!$A$1:$E$470,5,FALSE())</f>
        <v>13960125</v>
      </c>
    </row>
    <row r="68" ht="15" hidden="1">
      <c r="A68" s="1" t="s">
        <v>783</v>
      </c>
      <c r="B68" s="1">
        <v>2</v>
      </c>
      <c r="C68" s="1">
        <v>2</v>
      </c>
      <c r="D68" s="5">
        <f t="shared" si="3"/>
        <v>100</v>
      </c>
      <c r="E68" s="1">
        <f>VLOOKUP(A68,temporalBoundaries!$A$2:$G$500,2,FALSE())</f>
        <v>1633</v>
      </c>
      <c r="F68" s="1">
        <f>VLOOKUP(A68,temporalBoundaries!$A$2:$G$500,3,FALSE())</f>
        <v>1643</v>
      </c>
      <c r="G68" s="1">
        <f t="shared" si="4"/>
        <v>10</v>
      </c>
      <c r="H68" s="1">
        <f t="shared" si="5"/>
        <v>0.18181818181818199</v>
      </c>
      <c r="I68" s="1">
        <f>VLOOKUP($A68,temporalBoundaries!$A$1:$E$470,4,FALSE())</f>
        <v>16330904</v>
      </c>
      <c r="J68" s="1">
        <f>VLOOKUP($A68,temporalBoundaries!$A$1:$E$470,5,FALSE())</f>
        <v>16430412</v>
      </c>
    </row>
    <row r="69" ht="15" hidden="1">
      <c r="A69" s="1" t="s">
        <v>1875</v>
      </c>
      <c r="B69" s="1">
        <v>2</v>
      </c>
      <c r="C69" s="1">
        <v>0</v>
      </c>
      <c r="D69" s="5">
        <f t="shared" si="3"/>
        <v>0</v>
      </c>
      <c r="E69" s="1">
        <f>VLOOKUP(A69,temporalBoundaries!$A$2:$G$500,2,FALSE())</f>
        <v>1390</v>
      </c>
      <c r="F69" s="1">
        <f>VLOOKUP(A69,temporalBoundaries!$A$2:$G$500,3,FALSE())</f>
        <v>1398</v>
      </c>
      <c r="G69" s="1">
        <f t="shared" si="4"/>
        <v>8</v>
      </c>
      <c r="H69" s="1">
        <f t="shared" si="5"/>
        <v>0.22222222222222199</v>
      </c>
      <c r="I69" s="1">
        <f>VLOOKUP($A69,temporalBoundaries!$A$1:$E$470,4,FALSE())</f>
        <v>13901224</v>
      </c>
      <c r="J69" s="1">
        <f>VLOOKUP($A69,temporalBoundaries!$A$1:$E$470,5,FALSE())</f>
        <v>13980930</v>
      </c>
    </row>
    <row r="70" ht="15" hidden="1">
      <c r="A70" s="1" t="s">
        <v>121</v>
      </c>
      <c r="B70" s="1">
        <v>2</v>
      </c>
      <c r="C70" s="1">
        <v>0</v>
      </c>
      <c r="D70" s="5">
        <f t="shared" si="3"/>
        <v>0</v>
      </c>
      <c r="E70" s="1">
        <f>VLOOKUP(A70,temporalBoundaries!$A$2:$G$500,2,FALSE())</f>
        <v>1482</v>
      </c>
      <c r="F70" s="1">
        <f>VLOOKUP(A70,temporalBoundaries!$A$2:$G$500,3,FALSE())</f>
        <v>1483</v>
      </c>
      <c r="G70" s="1">
        <f t="shared" si="4"/>
        <v>1</v>
      </c>
      <c r="H70" s="1">
        <f t="shared" si="5"/>
        <v>1</v>
      </c>
      <c r="I70" s="1">
        <f>VLOOKUP($A70,temporalBoundaries!$A$1:$E$470,4,FALSE())</f>
        <v>14820312</v>
      </c>
      <c r="J70" s="1">
        <f>VLOOKUP($A70,temporalBoundaries!$A$1:$E$470,5,FALSE())</f>
        <v>14830311</v>
      </c>
    </row>
    <row r="71" ht="15" hidden="1">
      <c r="A71" s="1" t="s">
        <v>237</v>
      </c>
      <c r="B71" s="1">
        <v>2</v>
      </c>
      <c r="C71" s="1">
        <v>2</v>
      </c>
      <c r="D71" s="5">
        <f t="shared" si="3"/>
        <v>100</v>
      </c>
      <c r="E71" s="1">
        <f>VLOOKUP(A71,temporalBoundaries!$A$2:$G$500,2,FALSE())</f>
        <v>1418</v>
      </c>
      <c r="F71" s="1">
        <f>VLOOKUP(A71,temporalBoundaries!$A$2:$G$500,3,FALSE())</f>
        <v>1418</v>
      </c>
      <c r="G71" s="1">
        <f t="shared" si="4"/>
        <v>0</v>
      </c>
      <c r="H71" s="1">
        <f t="shared" si="5"/>
        <v>2</v>
      </c>
      <c r="I71" s="1">
        <f>VLOOKUP($A71,temporalBoundaries!$A$1:$E$470,4,FALSE())</f>
        <v>14181231</v>
      </c>
      <c r="J71" s="1">
        <f>VLOOKUP($A71,temporalBoundaries!$A$1:$E$470,5,FALSE())</f>
        <v>14181231</v>
      </c>
    </row>
    <row r="72" ht="15" hidden="1">
      <c r="A72" s="1" t="s">
        <v>1723</v>
      </c>
      <c r="B72" s="1">
        <v>2</v>
      </c>
      <c r="C72" s="1">
        <v>0</v>
      </c>
      <c r="D72" s="5">
        <f t="shared" si="3"/>
        <v>0</v>
      </c>
      <c r="E72" s="1">
        <f>VLOOKUP(A72,temporalBoundaries!$A$2:$G$500,2,FALSE())</f>
        <v>1345</v>
      </c>
      <c r="F72" s="1">
        <f>VLOOKUP(A72,temporalBoundaries!$A$2:$G$500,3,FALSE())</f>
        <v>1345</v>
      </c>
      <c r="G72" s="1">
        <f t="shared" si="4"/>
        <v>0</v>
      </c>
      <c r="H72" s="1">
        <f t="shared" si="5"/>
        <v>2</v>
      </c>
      <c r="I72" s="1">
        <f>VLOOKUP($A72,temporalBoundaries!$A$1:$E$470,4,FALSE())</f>
        <v>13450821</v>
      </c>
      <c r="J72" s="1">
        <f>VLOOKUP($A72,temporalBoundaries!$A$1:$E$470,5,FALSE())</f>
        <v>13451110</v>
      </c>
    </row>
    <row r="73" ht="15">
      <c r="A73" s="1" t="s">
        <v>1819</v>
      </c>
      <c r="B73" s="1">
        <v>3</v>
      </c>
      <c r="C73" s="1">
        <v>0</v>
      </c>
      <c r="D73" s="5">
        <f t="shared" si="3"/>
        <v>0</v>
      </c>
      <c r="E73" s="1">
        <f>VLOOKUP(A73,temporalBoundaries!$A$2:$G$500,2,FALSE())</f>
        <v>1182</v>
      </c>
      <c r="F73" s="1">
        <f>VLOOKUP(A73,temporalBoundaries!$A$2:$G$500,3,FALSE())</f>
        <v>1368</v>
      </c>
      <c r="G73" s="1">
        <f t="shared" si="4"/>
        <v>186</v>
      </c>
      <c r="H73" s="1">
        <f t="shared" si="5"/>
        <v>0.0160427807486631</v>
      </c>
      <c r="I73" s="1">
        <f>VLOOKUP($A73,temporalBoundaries!$A$1:$E$470,4,FALSE())</f>
        <v>11820124</v>
      </c>
      <c r="J73" s="1">
        <f>VLOOKUP($A73,temporalBoundaries!$A$1:$E$470,5,FALSE())</f>
        <v>13680327</v>
      </c>
    </row>
    <row r="74" ht="15">
      <c r="A74" s="1" t="s">
        <v>719</v>
      </c>
      <c r="B74" s="1">
        <v>3</v>
      </c>
      <c r="C74" s="1">
        <v>0</v>
      </c>
      <c r="D74" s="5">
        <f t="shared" ref="D74:D99" si="6">100/B74*C74</f>
        <v>0</v>
      </c>
      <c r="E74" s="1">
        <f>VLOOKUP(A74,temporalBoundaries!$A$2:$G$500,2,FALSE())</f>
        <v>1531</v>
      </c>
      <c r="F74" s="1">
        <f>VLOOKUP(A74,temporalBoundaries!$A$2:$G$500,3,FALSE())</f>
        <v>1691</v>
      </c>
      <c r="G74" s="1">
        <f t="shared" ref="G74:G99" si="7">F74-E74</f>
        <v>160</v>
      </c>
      <c r="H74" s="1">
        <f t="shared" ref="H74:H99" si="8">B74/(G74+1)</f>
        <v>0.018633540372670801</v>
      </c>
      <c r="I74" s="1">
        <f>VLOOKUP($A74,temporalBoundaries!$A$1:$E$470,4,FALSE())</f>
        <v>15310623</v>
      </c>
      <c r="J74" s="1">
        <f>VLOOKUP($A74,temporalBoundaries!$A$1:$E$470,5,FALSE())</f>
        <v>16911020</v>
      </c>
    </row>
    <row r="75" ht="15">
      <c r="A75" s="1" t="s">
        <v>807</v>
      </c>
      <c r="B75" s="1">
        <v>3</v>
      </c>
      <c r="C75" s="1">
        <v>3</v>
      </c>
      <c r="D75" s="5">
        <f t="shared" si="6"/>
        <v>100</v>
      </c>
      <c r="E75" s="1">
        <f>VLOOKUP(A75,temporalBoundaries!$A$2:$G$500,2,FALSE())</f>
        <v>1278</v>
      </c>
      <c r="F75" s="1">
        <f>VLOOKUP(A75,temporalBoundaries!$A$2:$G$500,3,FALSE())</f>
        <v>1407</v>
      </c>
      <c r="G75" s="1">
        <f t="shared" si="7"/>
        <v>129</v>
      </c>
      <c r="H75" s="1">
        <f t="shared" si="8"/>
        <v>0.023076923076923099</v>
      </c>
      <c r="I75" s="1">
        <f>VLOOKUP($A75,temporalBoundaries!$A$1:$E$470,4,FALSE())</f>
        <v>12780727</v>
      </c>
      <c r="J75" s="1">
        <f>VLOOKUP($A75,temporalBoundaries!$A$1:$E$470,5,FALSE())</f>
        <v>14070611</v>
      </c>
    </row>
    <row r="76" ht="15">
      <c r="A76" s="1" t="s">
        <v>1359</v>
      </c>
      <c r="B76" s="1">
        <v>3</v>
      </c>
      <c r="C76" s="1">
        <v>3</v>
      </c>
      <c r="D76" s="5">
        <f t="shared" si="6"/>
        <v>100</v>
      </c>
      <c r="E76" s="1">
        <f>VLOOKUP(A76,temporalBoundaries!$A$2:$G$500,2,FALSE())</f>
        <v>1096</v>
      </c>
      <c r="F76" s="1">
        <f>VLOOKUP(A76,temporalBoundaries!$A$2:$G$500,3,FALSE())</f>
        <v>1222</v>
      </c>
      <c r="G76" s="1">
        <f t="shared" si="7"/>
        <v>126</v>
      </c>
      <c r="H76" s="1">
        <f t="shared" si="8"/>
        <v>0.023622047244094498</v>
      </c>
      <c r="I76" s="1">
        <f>VLOOKUP($A76,temporalBoundaries!$A$1:$E$470,4,FALSE())</f>
        <v>10960408</v>
      </c>
      <c r="J76" s="1">
        <f>VLOOKUP($A76,temporalBoundaries!$A$1:$E$470,5,FALSE())</f>
        <v>12220401</v>
      </c>
    </row>
    <row r="77" ht="15">
      <c r="A77" s="1" t="s">
        <v>1887</v>
      </c>
      <c r="B77" s="1">
        <v>3</v>
      </c>
      <c r="C77" s="1">
        <v>0</v>
      </c>
      <c r="D77" s="5">
        <f t="shared" si="6"/>
        <v>0</v>
      </c>
      <c r="E77" s="1">
        <f>VLOOKUP(A77,temporalBoundaries!$A$2:$G$500,2,FALSE())</f>
        <v>1255</v>
      </c>
      <c r="F77" s="1">
        <f>VLOOKUP(A77,temporalBoundaries!$A$2:$G$500,3,FALSE())</f>
        <v>1372</v>
      </c>
      <c r="G77" s="1">
        <f t="shared" si="7"/>
        <v>117</v>
      </c>
      <c r="H77" s="1">
        <f t="shared" si="8"/>
        <v>0.025423728813559299</v>
      </c>
      <c r="I77" s="1">
        <f>VLOOKUP($A77,temporalBoundaries!$A$1:$E$470,4,FALSE())</f>
        <v>12550320</v>
      </c>
      <c r="J77" s="1">
        <f>VLOOKUP($A77,temporalBoundaries!$A$1:$E$470,5,FALSE())</f>
        <v>13721205</v>
      </c>
    </row>
    <row r="78" ht="15">
      <c r="A78" s="1" t="s">
        <v>819</v>
      </c>
      <c r="B78" s="1">
        <v>3</v>
      </c>
      <c r="C78" s="1">
        <v>3</v>
      </c>
      <c r="D78" s="5">
        <f t="shared" si="6"/>
        <v>100</v>
      </c>
      <c r="E78" s="1">
        <f>VLOOKUP(A78,temporalBoundaries!$A$2:$G$500,2,FALSE())</f>
        <v>1374</v>
      </c>
      <c r="F78" s="1">
        <f>VLOOKUP(A78,temporalBoundaries!$A$2:$G$500,3,FALSE())</f>
        <v>1475</v>
      </c>
      <c r="G78" s="1">
        <f t="shared" si="7"/>
        <v>101</v>
      </c>
      <c r="H78" s="1">
        <f t="shared" si="8"/>
        <v>0.029411764705882401</v>
      </c>
      <c r="I78" s="1">
        <f>VLOOKUP($A78,temporalBoundaries!$A$1:$E$470,4,FALSE())</f>
        <v>13740917</v>
      </c>
      <c r="J78" s="1">
        <f>VLOOKUP($A78,temporalBoundaries!$A$1:$E$470,5,FALSE())</f>
        <v>14750706</v>
      </c>
    </row>
    <row r="79" ht="15">
      <c r="A79" s="1" t="s">
        <v>1467</v>
      </c>
      <c r="B79" s="1">
        <v>3</v>
      </c>
      <c r="C79" s="1">
        <v>0</v>
      </c>
      <c r="D79" s="5">
        <f t="shared" si="6"/>
        <v>0</v>
      </c>
      <c r="E79" s="1">
        <f>VLOOKUP(A79,temporalBoundaries!$A$2:$G$500,2,FALSE())</f>
        <v>1307</v>
      </c>
      <c r="F79" s="1">
        <f>VLOOKUP(A79,temporalBoundaries!$A$2:$G$500,3,FALSE())</f>
        <v>1386</v>
      </c>
      <c r="G79" s="1">
        <f t="shared" si="7"/>
        <v>79</v>
      </c>
      <c r="H79" s="1">
        <f t="shared" si="8"/>
        <v>0.037499999999999999</v>
      </c>
      <c r="I79" s="1">
        <f>VLOOKUP($A79,temporalBoundaries!$A$1:$E$470,4,FALSE())</f>
        <v>13071113</v>
      </c>
      <c r="J79" s="1">
        <f>VLOOKUP($A79,temporalBoundaries!$A$1:$E$470,5,FALSE())</f>
        <v>13861105</v>
      </c>
    </row>
    <row r="80" ht="15">
      <c r="A80" s="1" t="s">
        <v>153</v>
      </c>
      <c r="B80" s="1">
        <v>3</v>
      </c>
      <c r="C80" s="1">
        <v>3</v>
      </c>
      <c r="D80" s="5">
        <f t="shared" si="6"/>
        <v>100</v>
      </c>
      <c r="E80" s="1">
        <f>VLOOKUP(A80,temporalBoundaries!$A$2:$G$500,2,FALSE())</f>
        <v>1340</v>
      </c>
      <c r="F80" s="1">
        <f>VLOOKUP(A80,temporalBoundaries!$A$2:$G$500,3,FALSE())</f>
        <v>1388</v>
      </c>
      <c r="G80" s="1">
        <f t="shared" si="7"/>
        <v>48</v>
      </c>
      <c r="H80" s="1">
        <f t="shared" si="8"/>
        <v>0.061224489795918401</v>
      </c>
      <c r="I80" s="1">
        <f>VLOOKUP($A80,temporalBoundaries!$A$1:$E$470,4,FALSE())</f>
        <v>13401008</v>
      </c>
      <c r="J80" s="1">
        <f>VLOOKUP($A80,temporalBoundaries!$A$1:$E$470,5,FALSE())</f>
        <v>13881021</v>
      </c>
    </row>
    <row r="81" ht="15">
      <c r="A81" s="1" t="s">
        <v>1719</v>
      </c>
      <c r="B81" s="1">
        <v>3</v>
      </c>
      <c r="C81" s="1">
        <v>0</v>
      </c>
      <c r="D81" s="5">
        <f t="shared" si="6"/>
        <v>0</v>
      </c>
      <c r="E81" s="1">
        <f>VLOOKUP(A81,temporalBoundaries!$A$2:$G$500,2,FALSE())</f>
        <v>1349</v>
      </c>
      <c r="F81" s="1">
        <f>VLOOKUP(A81,temporalBoundaries!$A$2:$G$500,3,FALSE())</f>
        <v>1396</v>
      </c>
      <c r="G81" s="1">
        <f t="shared" si="7"/>
        <v>47</v>
      </c>
      <c r="H81" s="1">
        <f t="shared" si="8"/>
        <v>0.0625</v>
      </c>
      <c r="I81" s="1">
        <f>VLOOKUP($A81,temporalBoundaries!$A$1:$E$470,4,FALSE())</f>
        <v>13490723</v>
      </c>
      <c r="J81" s="1">
        <f>VLOOKUP($A81,temporalBoundaries!$A$1:$E$470,5,FALSE())</f>
        <v>13960619</v>
      </c>
    </row>
    <row r="82" ht="15">
      <c r="A82" s="1" t="s">
        <v>185</v>
      </c>
      <c r="B82" s="1">
        <v>3</v>
      </c>
      <c r="C82" s="1">
        <v>2</v>
      </c>
      <c r="D82" s="5">
        <f t="shared" si="6"/>
        <v>66.6666666666667</v>
      </c>
      <c r="E82" s="1">
        <f>VLOOKUP(A82,temporalBoundaries!$A$2:$G$500,2,FALSE())</f>
        <v>1443</v>
      </c>
      <c r="F82" s="1">
        <f>VLOOKUP(A82,temporalBoundaries!$A$2:$G$500,3,FALSE())</f>
        <v>1474</v>
      </c>
      <c r="G82" s="1">
        <f t="shared" si="7"/>
        <v>31</v>
      </c>
      <c r="H82" s="1">
        <f t="shared" si="8"/>
        <v>0.09375</v>
      </c>
      <c r="I82" s="1">
        <f>VLOOKUP($A82,temporalBoundaries!$A$1:$E$470,4,FALSE())</f>
        <v>14430522</v>
      </c>
      <c r="J82" s="1">
        <f>VLOOKUP($A82,temporalBoundaries!$A$1:$E$470,5,FALSE())</f>
        <v>14740328</v>
      </c>
    </row>
    <row r="83" ht="15">
      <c r="A83" s="1" t="s">
        <v>277</v>
      </c>
      <c r="B83" s="1">
        <v>3</v>
      </c>
      <c r="C83" s="1">
        <v>0</v>
      </c>
      <c r="D83" s="5">
        <f t="shared" si="6"/>
        <v>0</v>
      </c>
      <c r="E83" s="1">
        <f>VLOOKUP(A83,temporalBoundaries!$A$2:$G$500,2,FALSE())</f>
        <v>1288</v>
      </c>
      <c r="F83" s="1">
        <f>VLOOKUP(A83,temporalBoundaries!$A$2:$G$500,3,FALSE())</f>
        <v>1313</v>
      </c>
      <c r="G83" s="1">
        <f t="shared" si="7"/>
        <v>25</v>
      </c>
      <c r="H83" s="1">
        <f t="shared" si="8"/>
        <v>0.115384615384615</v>
      </c>
      <c r="I83" s="1">
        <f>VLOOKUP($A83,temporalBoundaries!$A$1:$E$470,4,FALSE())</f>
        <v>12880728</v>
      </c>
      <c r="J83" s="1">
        <f>VLOOKUP($A83,temporalBoundaries!$A$1:$E$470,5,FALSE())</f>
        <v>13130202</v>
      </c>
    </row>
    <row r="84" ht="15">
      <c r="A84" s="1" t="s">
        <v>149</v>
      </c>
      <c r="B84" s="1">
        <v>3</v>
      </c>
      <c r="C84" s="1">
        <v>0</v>
      </c>
      <c r="D84" s="5">
        <f t="shared" si="6"/>
        <v>0</v>
      </c>
      <c r="E84" s="1">
        <f>VLOOKUP(A84,temporalBoundaries!$A$2:$G$500,2,FALSE())</f>
        <v>1450</v>
      </c>
      <c r="F84" s="1">
        <f>VLOOKUP(A84,temporalBoundaries!$A$2:$G$500,3,FALSE())</f>
        <v>1472</v>
      </c>
      <c r="G84" s="1">
        <f t="shared" si="7"/>
        <v>22</v>
      </c>
      <c r="H84" s="1">
        <f t="shared" si="8"/>
        <v>0.13043478260869601</v>
      </c>
      <c r="I84" s="1">
        <f>VLOOKUP($A84,temporalBoundaries!$A$1:$E$470,4,FALSE())</f>
        <v>14500601</v>
      </c>
      <c r="J84" s="1">
        <f>VLOOKUP($A84,temporalBoundaries!$A$1:$E$470,5,FALSE())</f>
        <v>14721224</v>
      </c>
    </row>
    <row r="85" ht="15">
      <c r="A85" s="1" t="s">
        <v>1991</v>
      </c>
      <c r="B85" s="1">
        <v>3</v>
      </c>
      <c r="C85" s="1">
        <v>3</v>
      </c>
      <c r="D85" s="5">
        <f t="shared" si="6"/>
        <v>100</v>
      </c>
      <c r="E85" s="1">
        <f>VLOOKUP(A85,temporalBoundaries!$A$2:$G$500,2,FALSE())</f>
        <v>1889</v>
      </c>
      <c r="F85" s="1">
        <f>VLOOKUP(A85,temporalBoundaries!$A$2:$G$500,3,FALSE())</f>
        <v>1906</v>
      </c>
      <c r="G85" s="1">
        <f t="shared" si="7"/>
        <v>17</v>
      </c>
      <c r="H85" s="1">
        <f t="shared" si="8"/>
        <v>0.16666666666666699</v>
      </c>
      <c r="I85" s="1" t="e">
        <f>VLOOKUP($A85,temporalBoundaries!$A$1:$E$470,4,FALSE())</f>
        <v>#N/A</v>
      </c>
      <c r="J85" s="1" t="e">
        <f>VLOOKUP($A85,temporalBoundaries!$A$1:$E$470,5,FALSE())</f>
        <v>#N/A</v>
      </c>
    </row>
    <row r="86" ht="15">
      <c r="A86" s="1" t="s">
        <v>1619</v>
      </c>
      <c r="B86" s="1">
        <v>3</v>
      </c>
      <c r="C86" s="1">
        <v>0</v>
      </c>
      <c r="D86" s="5">
        <f t="shared" si="6"/>
        <v>0</v>
      </c>
      <c r="E86" s="1">
        <f>VLOOKUP(A86,temporalBoundaries!$A$2:$G$500,2,FALSE())</f>
        <v>1374</v>
      </c>
      <c r="F86" s="1">
        <f>VLOOKUP(A86,temporalBoundaries!$A$2:$G$500,3,FALSE())</f>
        <v>1391</v>
      </c>
      <c r="G86" s="1">
        <f t="shared" si="7"/>
        <v>17</v>
      </c>
      <c r="H86" s="1">
        <f t="shared" si="8"/>
        <v>0.16666666666666699</v>
      </c>
      <c r="I86" s="1">
        <f>VLOOKUP($A86,temporalBoundaries!$A$1:$E$470,4,FALSE())</f>
        <v>13740314</v>
      </c>
      <c r="J86" s="1">
        <f>VLOOKUP($A86,temporalBoundaries!$A$1:$E$470,5,FALSE())</f>
        <v>13910429</v>
      </c>
    </row>
    <row r="87" ht="15">
      <c r="A87" s="1" t="s">
        <v>225</v>
      </c>
      <c r="B87" s="1">
        <v>4</v>
      </c>
      <c r="C87" s="1">
        <v>0</v>
      </c>
      <c r="D87" s="5">
        <f t="shared" si="6"/>
        <v>0</v>
      </c>
      <c r="E87" s="1">
        <f>VLOOKUP(A87,temporalBoundaries!$A$2:$G$500,2,FALSE())</f>
        <v>1360</v>
      </c>
      <c r="F87" s="1">
        <f>VLOOKUP(A87,temporalBoundaries!$A$2:$G$500,3,FALSE())</f>
        <v>1532</v>
      </c>
      <c r="G87" s="1">
        <f t="shared" si="7"/>
        <v>172</v>
      </c>
      <c r="H87" s="1">
        <f t="shared" si="8"/>
        <v>0.023121387283237</v>
      </c>
      <c r="I87" s="1">
        <f>VLOOKUP($A87,temporalBoundaries!$A$1:$E$470,4,FALSE())</f>
        <v>13600106</v>
      </c>
      <c r="J87" s="1">
        <f>VLOOKUP($A87,temporalBoundaries!$A$1:$E$470,5,FALSE())</f>
        <v>15320209</v>
      </c>
    </row>
    <row r="88" ht="15">
      <c r="A88" s="1" t="s">
        <v>317</v>
      </c>
      <c r="B88" s="1">
        <v>4</v>
      </c>
      <c r="C88" s="1">
        <v>0</v>
      </c>
      <c r="D88" s="5">
        <f t="shared" si="6"/>
        <v>0</v>
      </c>
      <c r="E88" s="1">
        <f>VLOOKUP(A88,temporalBoundaries!$A$2:$G$500,2,FALSE())</f>
        <v>1220</v>
      </c>
      <c r="F88" s="1">
        <f>VLOOKUP(A88,temporalBoundaries!$A$2:$G$500,3,FALSE())</f>
        <v>1372</v>
      </c>
      <c r="G88" s="1">
        <f t="shared" si="7"/>
        <v>152</v>
      </c>
      <c r="H88" s="1">
        <f t="shared" si="8"/>
        <v>0.0261437908496732</v>
      </c>
      <c r="I88" s="1">
        <f>VLOOKUP($A88,temporalBoundaries!$A$1:$E$470,4,FALSE())</f>
        <v>12200108</v>
      </c>
      <c r="J88" s="1">
        <f>VLOOKUP($A88,temporalBoundaries!$A$1:$E$470,5,FALSE())</f>
        <v>13720930</v>
      </c>
    </row>
    <row r="89" ht="15">
      <c r="A89" s="1" t="s">
        <v>939</v>
      </c>
      <c r="B89" s="1">
        <v>4</v>
      </c>
      <c r="C89" s="1">
        <v>4</v>
      </c>
      <c r="D89" s="5">
        <f t="shared" si="6"/>
        <v>100</v>
      </c>
      <c r="E89" s="1">
        <f>VLOOKUP(A89,temporalBoundaries!$A$2:$G$500,2,FALSE())</f>
        <v>1321</v>
      </c>
      <c r="F89" s="1">
        <f>VLOOKUP(A89,temporalBoundaries!$A$2:$G$500,3,FALSE())</f>
        <v>1444</v>
      </c>
      <c r="G89" s="1">
        <f t="shared" si="7"/>
        <v>123</v>
      </c>
      <c r="H89" s="1">
        <f t="shared" si="8"/>
        <v>0.032258064516128997</v>
      </c>
      <c r="I89" s="1">
        <f>VLOOKUP($A89,temporalBoundaries!$A$1:$E$470,4,FALSE())</f>
        <v>13211214</v>
      </c>
      <c r="J89" s="1">
        <f>VLOOKUP($A89,temporalBoundaries!$A$1:$E$470,5,FALSE())</f>
        <v>14440605</v>
      </c>
    </row>
    <row r="90" ht="15">
      <c r="A90" s="1" t="s">
        <v>1035</v>
      </c>
      <c r="B90" s="1">
        <v>4</v>
      </c>
      <c r="C90" s="1">
        <v>4</v>
      </c>
      <c r="D90" s="5">
        <f t="shared" si="6"/>
        <v>100</v>
      </c>
      <c r="E90" s="1">
        <f>VLOOKUP(A90,temporalBoundaries!$A$2:$G$500,2,FALSE())</f>
        <v>1395</v>
      </c>
      <c r="F90" s="1">
        <f>VLOOKUP(A90,temporalBoundaries!$A$2:$G$500,3,FALSE())</f>
        <v>1503</v>
      </c>
      <c r="G90" s="1">
        <f t="shared" si="7"/>
        <v>108</v>
      </c>
      <c r="H90" s="1">
        <f t="shared" si="8"/>
        <v>0.036697247706422</v>
      </c>
      <c r="I90" s="1">
        <f>VLOOKUP($A90,temporalBoundaries!$A$1:$E$470,4,FALSE())</f>
        <v>13950605</v>
      </c>
      <c r="J90" s="1">
        <f>VLOOKUP($A90,temporalBoundaries!$A$1:$E$470,5,FALSE())</f>
        <v>15031231</v>
      </c>
    </row>
    <row r="91" ht="15">
      <c r="A91" s="1" t="s">
        <v>169</v>
      </c>
      <c r="B91" s="1">
        <v>4</v>
      </c>
      <c r="C91" s="1">
        <v>0</v>
      </c>
      <c r="D91" s="5">
        <f t="shared" si="6"/>
        <v>0</v>
      </c>
      <c r="E91" s="1">
        <f>VLOOKUP(A91,temporalBoundaries!$A$2:$G$500,2,FALSE())</f>
        <v>1344</v>
      </c>
      <c r="F91" s="1">
        <f>VLOOKUP(A91,temporalBoundaries!$A$2:$G$500,3,FALSE())</f>
        <v>1410</v>
      </c>
      <c r="G91" s="1">
        <f t="shared" si="7"/>
        <v>66</v>
      </c>
      <c r="H91" s="1">
        <f t="shared" si="8"/>
        <v>0.059701492537313397</v>
      </c>
      <c r="I91" s="1">
        <f>VLOOKUP($A91,temporalBoundaries!$A$1:$E$470,4,FALSE())</f>
        <v>13440121</v>
      </c>
      <c r="J91" s="1">
        <f>VLOOKUP($A91,temporalBoundaries!$A$1:$E$470,5,FALSE())</f>
        <v>14100408</v>
      </c>
    </row>
    <row r="92" ht="15">
      <c r="A92" s="1" t="s">
        <v>1435</v>
      </c>
      <c r="B92" s="1">
        <v>4</v>
      </c>
      <c r="C92" s="1">
        <v>0</v>
      </c>
      <c r="D92" s="5">
        <f t="shared" si="6"/>
        <v>0</v>
      </c>
      <c r="E92" s="1">
        <f>VLOOKUP(A92,temporalBoundaries!$A$2:$G$500,2,FALSE())</f>
        <v>1252</v>
      </c>
      <c r="F92" s="1">
        <f>VLOOKUP(A92,temporalBoundaries!$A$2:$G$500,3,FALSE())</f>
        <v>1317</v>
      </c>
      <c r="G92" s="1">
        <f t="shared" si="7"/>
        <v>65</v>
      </c>
      <c r="H92" s="1">
        <f t="shared" si="8"/>
        <v>0.060606060606060601</v>
      </c>
      <c r="I92" s="1">
        <f>VLOOKUP($A92,temporalBoundaries!$A$1:$E$470,4,FALSE())</f>
        <v>12520430</v>
      </c>
      <c r="J92" s="1">
        <f>VLOOKUP($A92,temporalBoundaries!$A$1:$E$470,5,FALSE())</f>
        <v>13170214</v>
      </c>
    </row>
    <row r="93" ht="15">
      <c r="A93" s="1" t="s">
        <v>41</v>
      </c>
      <c r="B93" s="1">
        <v>4</v>
      </c>
      <c r="C93" s="1">
        <v>4</v>
      </c>
      <c r="D93" s="5">
        <f t="shared" si="6"/>
        <v>100</v>
      </c>
      <c r="E93" s="1">
        <f>VLOOKUP(A93,temporalBoundaries!$A$2:$G$500,2,FALSE())</f>
        <v>1282</v>
      </c>
      <c r="F93" s="1">
        <f>VLOOKUP(A93,temporalBoundaries!$A$2:$G$500,3,FALSE())</f>
        <v>1340</v>
      </c>
      <c r="G93" s="1">
        <f t="shared" si="7"/>
        <v>58</v>
      </c>
      <c r="H93" s="1">
        <f t="shared" si="8"/>
        <v>0.067796610169491497</v>
      </c>
      <c r="I93" s="1">
        <f>VLOOKUP($A93,temporalBoundaries!$A$1:$E$470,4,FALSE())</f>
        <v>12820905</v>
      </c>
      <c r="J93" s="1">
        <f>VLOOKUP($A93,temporalBoundaries!$A$1:$E$470,5,FALSE())</f>
        <v>13400424</v>
      </c>
    </row>
    <row r="94" ht="15">
      <c r="A94" s="1" t="s">
        <v>1823</v>
      </c>
      <c r="B94" s="1">
        <v>4</v>
      </c>
      <c r="C94" s="1">
        <v>0</v>
      </c>
      <c r="D94" s="5">
        <f t="shared" si="6"/>
        <v>0</v>
      </c>
      <c r="E94" s="1">
        <f>VLOOKUP(A94,temporalBoundaries!$A$2:$G$500,2,FALSE())</f>
        <v>1232</v>
      </c>
      <c r="F94" s="1">
        <f>VLOOKUP(A94,temporalBoundaries!$A$2:$G$500,3,FALSE())</f>
        <v>1256</v>
      </c>
      <c r="G94" s="1">
        <f t="shared" si="7"/>
        <v>24</v>
      </c>
      <c r="H94" s="1">
        <f t="shared" si="8"/>
        <v>0.16</v>
      </c>
      <c r="I94" s="1">
        <f>VLOOKUP($A94,temporalBoundaries!$A$1:$E$470,4,FALSE())</f>
        <v>12320609</v>
      </c>
      <c r="J94" s="1">
        <f>VLOOKUP($A94,temporalBoundaries!$A$1:$E$470,5,FALSE())</f>
        <v>12560711</v>
      </c>
    </row>
    <row r="95" ht="15">
      <c r="A95" s="1" t="s">
        <v>1891</v>
      </c>
      <c r="B95" s="1">
        <v>4</v>
      </c>
      <c r="C95" s="1">
        <v>0</v>
      </c>
      <c r="D95" s="5">
        <f t="shared" si="6"/>
        <v>0</v>
      </c>
      <c r="E95" s="1">
        <f>VLOOKUP(A95,temporalBoundaries!$A$2:$G$500,2,FALSE())</f>
        <v>1373</v>
      </c>
      <c r="F95" s="1">
        <f>VLOOKUP(A95,temporalBoundaries!$A$2:$G$500,3,FALSE())</f>
        <v>1390</v>
      </c>
      <c r="G95" s="1">
        <f t="shared" si="7"/>
        <v>17</v>
      </c>
      <c r="H95" s="1">
        <f t="shared" si="8"/>
        <v>0.22222222222222199</v>
      </c>
      <c r="I95" s="1">
        <f>VLOOKUP($A95,temporalBoundaries!$A$1:$E$470,4,FALSE())</f>
        <v>13730926</v>
      </c>
      <c r="J95" s="1">
        <f>VLOOKUP($A95,temporalBoundaries!$A$1:$E$470,5,FALSE())</f>
        <v>13900408</v>
      </c>
    </row>
    <row r="96" ht="15">
      <c r="A96" s="1" t="s">
        <v>787</v>
      </c>
      <c r="B96" s="1">
        <v>4</v>
      </c>
      <c r="C96" s="1">
        <v>2</v>
      </c>
      <c r="D96" s="5">
        <f t="shared" si="6"/>
        <v>50</v>
      </c>
      <c r="E96" s="1">
        <f>VLOOKUP(A96,temporalBoundaries!$A$2:$G$500,2,FALSE())</f>
        <v>1679</v>
      </c>
      <c r="F96" s="1">
        <f>VLOOKUP(A96,temporalBoundaries!$A$2:$G$500,3,FALSE())</f>
        <v>1680</v>
      </c>
      <c r="G96" s="1">
        <f t="shared" si="7"/>
        <v>1</v>
      </c>
      <c r="H96" s="1">
        <f t="shared" si="8"/>
        <v>2</v>
      </c>
      <c r="I96" s="1">
        <f>VLOOKUP($A96,temporalBoundaries!$A$1:$E$470,4,FALSE())</f>
        <v>16790622</v>
      </c>
      <c r="J96" s="1">
        <f>VLOOKUP($A96,temporalBoundaries!$A$1:$E$470,5,FALSE())</f>
        <v>16800425</v>
      </c>
    </row>
    <row r="97" ht="15">
      <c r="A97" s="1" t="s">
        <v>369</v>
      </c>
      <c r="B97" s="1">
        <v>5</v>
      </c>
      <c r="C97" s="1">
        <v>0</v>
      </c>
      <c r="D97" s="5">
        <f t="shared" si="6"/>
        <v>0</v>
      </c>
      <c r="E97" s="1">
        <f>VLOOKUP(A97,temporalBoundaries!$A$2:$G$500,2,FALSE())</f>
        <v>1243</v>
      </c>
      <c r="F97" s="1">
        <f>VLOOKUP(A97,temporalBoundaries!$A$2:$G$500,3,FALSE())</f>
        <v>1461</v>
      </c>
      <c r="G97" s="1">
        <f t="shared" si="7"/>
        <v>218</v>
      </c>
      <c r="H97" s="1">
        <f t="shared" si="8"/>
        <v>0.022831050228310501</v>
      </c>
      <c r="I97" s="1">
        <f>VLOOKUP($A97,temporalBoundaries!$A$1:$E$470,4,FALSE())</f>
        <v>12431014</v>
      </c>
      <c r="J97" s="1">
        <f>VLOOKUP($A97,temporalBoundaries!$A$1:$E$470,5,FALSE())</f>
        <v>14610903</v>
      </c>
    </row>
    <row r="98" ht="15">
      <c r="A98" s="1" t="s">
        <v>1031</v>
      </c>
      <c r="B98" s="1">
        <v>5</v>
      </c>
      <c r="C98" s="1">
        <v>5</v>
      </c>
      <c r="D98" s="5">
        <f t="shared" si="6"/>
        <v>100</v>
      </c>
      <c r="E98" s="1">
        <f>VLOOKUP(A98,temporalBoundaries!$A$2:$G$500,2,FALSE())</f>
        <v>1422</v>
      </c>
      <c r="F98" s="1">
        <f>VLOOKUP(A98,temporalBoundaries!$A$2:$G$500,3,FALSE())</f>
        <v>1547</v>
      </c>
      <c r="G98" s="1">
        <f t="shared" si="7"/>
        <v>125</v>
      </c>
      <c r="H98" s="1">
        <f t="shared" si="8"/>
        <v>0.039682539682539701</v>
      </c>
      <c r="I98" s="1">
        <f>VLOOKUP($A98,temporalBoundaries!$A$1:$E$470,4,FALSE())</f>
        <v>14220805</v>
      </c>
      <c r="J98" s="1">
        <f>VLOOKUP($A98,temporalBoundaries!$A$1:$E$470,5,FALSE())</f>
        <v>15470929</v>
      </c>
    </row>
    <row r="99" ht="15">
      <c r="A99" s="1" t="s">
        <v>875</v>
      </c>
      <c r="B99" s="1">
        <v>5</v>
      </c>
      <c r="C99" s="1">
        <v>5</v>
      </c>
      <c r="D99" s="5">
        <f t="shared" si="6"/>
        <v>100</v>
      </c>
      <c r="E99" s="1">
        <f>VLOOKUP(A99,temporalBoundaries!$A$2:$G$500,2,FALSE())</f>
        <v>1398</v>
      </c>
      <c r="F99" s="1">
        <f>VLOOKUP(A99,temporalBoundaries!$A$2:$G$500,3,FALSE())</f>
        <v>1512</v>
      </c>
      <c r="G99" s="1">
        <f t="shared" si="7"/>
        <v>114</v>
      </c>
      <c r="H99" s="1">
        <f t="shared" si="8"/>
        <v>0.043478260869565202</v>
      </c>
      <c r="I99" s="1">
        <f>VLOOKUP($A99,temporalBoundaries!$A$1:$E$470,4,FALSE())</f>
        <v>13980525</v>
      </c>
      <c r="J99" s="1">
        <f>VLOOKUP($A99,temporalBoundaries!$A$1:$E$470,5,FALSE())</f>
        <v>15120211</v>
      </c>
    </row>
    <row r="100" ht="15">
      <c r="A100" s="1" t="s">
        <v>1907</v>
      </c>
      <c r="B100" s="1">
        <v>5</v>
      </c>
      <c r="C100" s="1">
        <v>0</v>
      </c>
      <c r="D100" s="5">
        <f t="shared" ref="D100:D163" si="9">100/B100*C100</f>
        <v>0</v>
      </c>
      <c r="E100" s="1">
        <f>VLOOKUP(A100,temporalBoundaries!$A$2:$G$500,2,FALSE())</f>
        <v>1299</v>
      </c>
      <c r="F100" s="1">
        <f>VLOOKUP(A100,temporalBoundaries!$A$2:$G$500,3,FALSE())</f>
        <v>1361</v>
      </c>
      <c r="G100" s="1">
        <f t="shared" ref="G100:G163" si="10">F100-E100</f>
        <v>62</v>
      </c>
      <c r="H100" s="1">
        <f t="shared" ref="H100:H163" si="11">B100/(G100+1)</f>
        <v>0.079365079365079402</v>
      </c>
      <c r="I100" s="1">
        <f>VLOOKUP($A100,temporalBoundaries!$A$1:$E$470,4,FALSE())</f>
        <v>12990521</v>
      </c>
      <c r="J100" s="1">
        <f>VLOOKUP($A100,temporalBoundaries!$A$1:$E$470,5,FALSE())</f>
        <v>13610816</v>
      </c>
    </row>
    <row r="101" ht="15">
      <c r="A101" s="1" t="s">
        <v>1992</v>
      </c>
      <c r="B101" s="1">
        <v>5</v>
      </c>
      <c r="C101" s="1">
        <v>5</v>
      </c>
      <c r="D101" s="5">
        <f t="shared" si="9"/>
        <v>100</v>
      </c>
      <c r="E101" s="1">
        <f>VLOOKUP(A101,temporalBoundaries!$A$2:$G$500,2,FALSE())</f>
        <v>1511</v>
      </c>
      <c r="F101" s="1">
        <f>VLOOKUP(A101,temporalBoundaries!$A$2:$G$500,3,FALSE())</f>
        <v>1526</v>
      </c>
      <c r="G101" s="1">
        <f t="shared" si="10"/>
        <v>15</v>
      </c>
      <c r="H101" s="1">
        <f t="shared" si="11"/>
        <v>0.3125</v>
      </c>
      <c r="I101" s="1" t="e">
        <f>VLOOKUP($A101,temporalBoundaries!$A$1:$E$470,4,FALSE())</f>
        <v>#N/A</v>
      </c>
      <c r="J101" s="1" t="e">
        <f>VLOOKUP($A101,temporalBoundaries!$A$1:$E$470,5,FALSE())</f>
        <v>#N/A</v>
      </c>
    </row>
    <row r="102" ht="15">
      <c r="A102" s="1" t="s">
        <v>987</v>
      </c>
      <c r="B102" s="1">
        <v>5</v>
      </c>
      <c r="C102" s="1">
        <v>1</v>
      </c>
      <c r="D102" s="5">
        <f t="shared" si="9"/>
        <v>20</v>
      </c>
      <c r="E102" s="1">
        <f>VLOOKUP(A102,temporalBoundaries!$A$2:$G$500,2,FALSE())</f>
        <v>1724</v>
      </c>
      <c r="F102" s="1">
        <f>VLOOKUP(A102,temporalBoundaries!$A$2:$G$500,3,FALSE())</f>
        <v>1735</v>
      </c>
      <c r="G102" s="1">
        <f t="shared" si="10"/>
        <v>11</v>
      </c>
      <c r="H102" s="1">
        <f t="shared" si="11"/>
        <v>0.41666666666666702</v>
      </c>
      <c r="I102" s="1">
        <f>VLOOKUP($A102,temporalBoundaries!$A$1:$E$470,4,FALSE())</f>
        <v>17240309</v>
      </c>
      <c r="J102" s="1">
        <f>VLOOKUP($A102,temporalBoundaries!$A$1:$E$470,5,FALSE())</f>
        <v>17350502</v>
      </c>
    </row>
    <row r="103" ht="15">
      <c r="A103" s="1" t="s">
        <v>137</v>
      </c>
      <c r="B103" s="1">
        <v>5</v>
      </c>
      <c r="C103" s="1">
        <v>5</v>
      </c>
      <c r="D103" s="5">
        <f t="shared" si="9"/>
        <v>100</v>
      </c>
      <c r="E103" s="1">
        <f>VLOOKUP(A103,temporalBoundaries!$A$2:$G$500,2,FALSE())</f>
        <v>1494</v>
      </c>
      <c r="F103" s="1">
        <f>VLOOKUP(A103,temporalBoundaries!$A$2:$G$500,3,FALSE())</f>
        <v>1500</v>
      </c>
      <c r="G103" s="1">
        <f t="shared" si="10"/>
        <v>6</v>
      </c>
      <c r="H103" s="1">
        <f t="shared" si="11"/>
        <v>0.71428571428571397</v>
      </c>
      <c r="I103" s="1">
        <f>VLOOKUP($A103,temporalBoundaries!$A$1:$E$470,4,FALSE())</f>
        <v>14940119</v>
      </c>
      <c r="J103" s="1">
        <f>VLOOKUP($A103,temporalBoundaries!$A$1:$E$470,5,FALSE())</f>
        <v>15009999</v>
      </c>
    </row>
    <row r="104" ht="15" hidden="1">
      <c r="A104" s="1" t="s">
        <v>571</v>
      </c>
      <c r="B104" s="1">
        <v>6</v>
      </c>
      <c r="C104" s="1">
        <v>6</v>
      </c>
      <c r="D104" s="5">
        <f t="shared" si="9"/>
        <v>100</v>
      </c>
      <c r="E104" s="1">
        <f>VLOOKUP(A104,temporalBoundaries!$A$2:$G$500,2,FALSE())</f>
        <v>1095</v>
      </c>
      <c r="F104" s="1">
        <f>VLOOKUP(A104,temporalBoundaries!$A$2:$G$500,3,FALSE())</f>
        <v>1516</v>
      </c>
      <c r="G104" s="1">
        <f t="shared" si="10"/>
        <v>421</v>
      </c>
      <c r="H104" s="1">
        <f t="shared" si="11"/>
        <v>0.014218009478673001</v>
      </c>
      <c r="I104" s="1">
        <f>VLOOKUP($A104,temporalBoundaries!$A$1:$E$470,4,FALSE())</f>
        <v>10950308</v>
      </c>
      <c r="J104" s="1">
        <f>VLOOKUP($A104,temporalBoundaries!$A$1:$E$470,5,FALSE())</f>
        <v>15160915</v>
      </c>
    </row>
    <row r="105" ht="15" hidden="1">
      <c r="A105" s="1" t="s">
        <v>1407</v>
      </c>
      <c r="B105" s="1">
        <v>6</v>
      </c>
      <c r="C105" s="1">
        <v>5</v>
      </c>
      <c r="D105" s="5">
        <f t="shared" si="9"/>
        <v>83.3333333333333</v>
      </c>
      <c r="E105" s="1">
        <f>VLOOKUP(A105,temporalBoundaries!$A$2:$G$500,2,FALSE())</f>
        <v>1246</v>
      </c>
      <c r="F105" s="1">
        <f>VLOOKUP(A105,temporalBoundaries!$A$2:$G$500,3,FALSE())</f>
        <v>1525</v>
      </c>
      <c r="G105" s="1">
        <f t="shared" si="10"/>
        <v>279</v>
      </c>
      <c r="H105" s="1">
        <f t="shared" si="11"/>
        <v>0.021428571428571401</v>
      </c>
      <c r="I105" s="1">
        <f>VLOOKUP($A105,temporalBoundaries!$A$1:$E$470,4,FALSE())</f>
        <v>12461112</v>
      </c>
      <c r="J105" s="1">
        <f>VLOOKUP($A105,temporalBoundaries!$A$1:$E$470,5,FALSE())</f>
        <v>15250811</v>
      </c>
    </row>
    <row r="106" ht="15" hidden="1">
      <c r="A106" s="1" t="s">
        <v>141</v>
      </c>
      <c r="B106" s="1">
        <v>6</v>
      </c>
      <c r="C106" s="1">
        <v>0</v>
      </c>
      <c r="D106" s="5">
        <f t="shared" si="9"/>
        <v>0</v>
      </c>
      <c r="E106" s="1">
        <f>VLOOKUP(A106,temporalBoundaries!$A$2:$G$500,2,FALSE())</f>
        <v>1202</v>
      </c>
      <c r="F106" s="1">
        <f>VLOOKUP(A106,temporalBoundaries!$A$2:$G$500,3,FALSE())</f>
        <v>1460</v>
      </c>
      <c r="G106" s="1">
        <f t="shared" si="10"/>
        <v>258</v>
      </c>
      <c r="H106" s="1">
        <f t="shared" si="11"/>
        <v>0.0231660231660232</v>
      </c>
      <c r="I106" s="1">
        <f>VLOOKUP($A106,temporalBoundaries!$A$1:$E$470,4,FALSE())</f>
        <v>12020608</v>
      </c>
      <c r="J106" s="1">
        <f>VLOOKUP($A106,temporalBoundaries!$A$1:$E$470,5,FALSE())</f>
        <v>14600329</v>
      </c>
    </row>
    <row r="107" ht="15" hidden="1">
      <c r="A107" s="1" t="s">
        <v>991</v>
      </c>
      <c r="B107" s="1">
        <v>6</v>
      </c>
      <c r="C107" s="1">
        <v>1</v>
      </c>
      <c r="D107" s="5">
        <f t="shared" si="9"/>
        <v>16.6666666666667</v>
      </c>
      <c r="E107" s="1">
        <f>VLOOKUP(A107,temporalBoundaries!$A$2:$G$500,2,FALSE())</f>
        <v>1711</v>
      </c>
      <c r="F107" s="1">
        <f>VLOOKUP(A107,temporalBoundaries!$A$2:$G$500,3,FALSE())</f>
        <v>1921</v>
      </c>
      <c r="G107" s="1">
        <f t="shared" si="10"/>
        <v>210</v>
      </c>
      <c r="H107" s="1">
        <f t="shared" si="11"/>
        <v>0.028436018957346001</v>
      </c>
      <c r="I107" s="1">
        <f>VLOOKUP($A107,temporalBoundaries!$A$1:$E$470,4,FALSE())</f>
        <v>17110820</v>
      </c>
      <c r="J107" s="1">
        <f>VLOOKUP($A107,temporalBoundaries!$A$1:$E$470,5,FALSE())</f>
        <v>19211115</v>
      </c>
    </row>
    <row r="108" ht="15" hidden="1">
      <c r="A108" s="1" t="s">
        <v>401</v>
      </c>
      <c r="B108" s="1">
        <v>6</v>
      </c>
      <c r="C108" s="1">
        <v>6</v>
      </c>
      <c r="D108" s="5">
        <f t="shared" si="9"/>
        <v>100</v>
      </c>
      <c r="E108" s="1">
        <f>VLOOKUP(A108,temporalBoundaries!$A$2:$G$500,2,FALSE())</f>
        <v>1448</v>
      </c>
      <c r="F108" s="1">
        <f>VLOOKUP(A108,temporalBoundaries!$A$2:$G$500,3,FALSE())</f>
        <v>1646</v>
      </c>
      <c r="G108" s="1">
        <f t="shared" si="10"/>
        <v>198</v>
      </c>
      <c r="H108" s="1">
        <f t="shared" si="11"/>
        <v>0.030150753768844199</v>
      </c>
      <c r="I108" s="1">
        <f>VLOOKUP($A108,temporalBoundaries!$A$1:$E$470,4,FALSE())</f>
        <v>14480309</v>
      </c>
      <c r="J108" s="1">
        <f>VLOOKUP($A108,temporalBoundaries!$A$1:$E$470,5,FALSE())</f>
        <v>16461208</v>
      </c>
    </row>
    <row r="109" ht="15" hidden="1">
      <c r="A109" s="1" t="s">
        <v>305</v>
      </c>
      <c r="B109" s="1">
        <v>6</v>
      </c>
      <c r="C109" s="1">
        <v>6</v>
      </c>
      <c r="D109" s="5">
        <f t="shared" si="9"/>
        <v>100</v>
      </c>
      <c r="E109" s="1">
        <f>VLOOKUP(A109,temporalBoundaries!$A$2:$G$500,2,FALSE())</f>
        <v>1381</v>
      </c>
      <c r="F109" s="1">
        <f>VLOOKUP(A109,temporalBoundaries!$A$2:$G$500,3,FALSE())</f>
        <v>1507</v>
      </c>
      <c r="G109" s="1">
        <f t="shared" si="10"/>
        <v>126</v>
      </c>
      <c r="H109" s="1">
        <f t="shared" si="11"/>
        <v>0.047244094488188997</v>
      </c>
      <c r="I109" s="1">
        <f>VLOOKUP($A109,temporalBoundaries!$A$1:$E$470,4,FALSE())</f>
        <v>13810530</v>
      </c>
      <c r="J109" s="1">
        <f>VLOOKUP($A109,temporalBoundaries!$A$1:$E$470,5,FALSE())</f>
        <v>15070322</v>
      </c>
    </row>
    <row r="110" ht="15" hidden="1">
      <c r="A110" s="1" t="s">
        <v>309</v>
      </c>
      <c r="B110" s="1">
        <v>6</v>
      </c>
      <c r="C110" s="1">
        <v>0</v>
      </c>
      <c r="D110" s="5">
        <f t="shared" si="9"/>
        <v>0</v>
      </c>
      <c r="E110" s="1">
        <f>VLOOKUP(A110,temporalBoundaries!$A$2:$G$500,2,FALSE())</f>
        <v>1638</v>
      </c>
      <c r="F110" s="1">
        <f>VLOOKUP(A110,temporalBoundaries!$A$2:$G$500,3,FALSE())</f>
        <v>1718</v>
      </c>
      <c r="G110" s="1">
        <f t="shared" si="10"/>
        <v>80</v>
      </c>
      <c r="H110" s="1">
        <f t="shared" si="11"/>
        <v>0.074074074074074098</v>
      </c>
      <c r="I110" s="1">
        <f>VLOOKUP($A110,temporalBoundaries!$A$1:$E$470,4,FALSE())</f>
        <v>16381120</v>
      </c>
      <c r="J110" s="1">
        <f>VLOOKUP($A110,temporalBoundaries!$A$1:$E$470,5,FALSE())</f>
        <v>17180409</v>
      </c>
    </row>
    <row r="111" ht="15" hidden="1">
      <c r="A111" s="1" t="s">
        <v>627</v>
      </c>
      <c r="B111" s="1">
        <v>6</v>
      </c>
      <c r="C111" s="1">
        <v>6</v>
      </c>
      <c r="D111" s="5">
        <f t="shared" si="9"/>
        <v>100</v>
      </c>
      <c r="E111" s="1">
        <f>VLOOKUP(A111,temporalBoundaries!$A$2:$G$500,2,FALSE())</f>
        <v>1442</v>
      </c>
      <c r="F111" s="1">
        <f>VLOOKUP(A111,temporalBoundaries!$A$2:$G$500,3,FALSE())</f>
        <v>1482</v>
      </c>
      <c r="G111" s="1">
        <f t="shared" si="10"/>
        <v>40</v>
      </c>
      <c r="H111" s="1">
        <f t="shared" si="11"/>
        <v>0.146341463414634</v>
      </c>
      <c r="I111" s="1">
        <f>VLOOKUP($A111,temporalBoundaries!$A$1:$E$470,4,FALSE())</f>
        <v>14420331</v>
      </c>
      <c r="J111" s="1">
        <f>VLOOKUP($A111,temporalBoundaries!$A$1:$E$470,5,FALSE())</f>
        <v>14820708</v>
      </c>
    </row>
    <row r="112" ht="15" hidden="1">
      <c r="A112" s="1" t="s">
        <v>1827</v>
      </c>
      <c r="B112" s="1">
        <v>6</v>
      </c>
      <c r="C112" s="1">
        <v>0</v>
      </c>
      <c r="D112" s="5">
        <f t="shared" si="9"/>
        <v>0</v>
      </c>
      <c r="E112" s="1">
        <f>VLOOKUP(A112,temporalBoundaries!$A$2:$G$500,2,FALSE())</f>
        <v>1364</v>
      </c>
      <c r="F112" s="1">
        <f>VLOOKUP(A112,temporalBoundaries!$A$2:$G$500,3,FALSE())</f>
        <v>1379</v>
      </c>
      <c r="G112" s="1">
        <f t="shared" si="10"/>
        <v>15</v>
      </c>
      <c r="H112" s="1">
        <f t="shared" si="11"/>
        <v>0.375</v>
      </c>
      <c r="I112" s="1">
        <f>VLOOKUP($A112,temporalBoundaries!$A$1:$E$470,4,FALSE())</f>
        <v>13640215</v>
      </c>
      <c r="J112" s="1">
        <f>VLOOKUP($A112,temporalBoundaries!$A$1:$E$470,5,FALSE())</f>
        <v>13790815</v>
      </c>
    </row>
    <row r="113" ht="15" hidden="1">
      <c r="A113" s="1" t="s">
        <v>583</v>
      </c>
      <c r="B113" s="1">
        <v>7</v>
      </c>
      <c r="C113" s="1">
        <v>7</v>
      </c>
      <c r="D113" s="5">
        <f t="shared" si="9"/>
        <v>100</v>
      </c>
      <c r="E113" s="1">
        <f>VLOOKUP(A113,temporalBoundaries!$A$2:$G$500,2,FALSE())</f>
        <v>1102</v>
      </c>
      <c r="F113" s="1">
        <f>VLOOKUP(A113,temporalBoundaries!$A$2:$G$500,3,FALSE())</f>
        <v>1564</v>
      </c>
      <c r="G113" s="1">
        <f t="shared" si="10"/>
        <v>462</v>
      </c>
      <c r="H113" s="1">
        <f t="shared" si="11"/>
        <v>0.0151187904967603</v>
      </c>
      <c r="I113" s="1">
        <f>VLOOKUP($A113,temporalBoundaries!$A$1:$E$470,4,FALSE())</f>
        <v>11020503</v>
      </c>
      <c r="J113" s="1">
        <f>VLOOKUP($A113,temporalBoundaries!$A$1:$E$470,5,FALSE())</f>
        <v>15640718</v>
      </c>
    </row>
    <row r="114" ht="15" hidden="1">
      <c r="A114" s="1" t="s">
        <v>999</v>
      </c>
      <c r="B114" s="1">
        <v>7</v>
      </c>
      <c r="C114" s="1">
        <v>7</v>
      </c>
      <c r="D114" s="5">
        <f t="shared" si="9"/>
        <v>100</v>
      </c>
      <c r="E114" s="1">
        <f>VLOOKUP(A114,temporalBoundaries!$A$2:$G$500,2,FALSE())</f>
        <v>1408</v>
      </c>
      <c r="F114" s="1">
        <f>VLOOKUP(A114,temporalBoundaries!$A$2:$G$500,3,FALSE())</f>
        <v>1715</v>
      </c>
      <c r="G114" s="1">
        <f t="shared" si="10"/>
        <v>307</v>
      </c>
      <c r="H114" s="1">
        <f t="shared" si="11"/>
        <v>0.0227272727272727</v>
      </c>
      <c r="I114" s="1">
        <f>VLOOKUP($A114,temporalBoundaries!$A$1:$E$470,4,FALSE())</f>
        <v>14080214</v>
      </c>
      <c r="J114" s="1">
        <f>VLOOKUP($A114,temporalBoundaries!$A$1:$E$470,5,FALSE())</f>
        <v>17150425</v>
      </c>
    </row>
    <row r="115" ht="15" hidden="1">
      <c r="A115" s="1" t="s">
        <v>265</v>
      </c>
      <c r="B115" s="1">
        <v>7</v>
      </c>
      <c r="C115" s="1">
        <v>0</v>
      </c>
      <c r="D115" s="5">
        <f t="shared" si="9"/>
        <v>0</v>
      </c>
      <c r="E115" s="1">
        <f>VLOOKUP(A115,temporalBoundaries!$A$2:$G$500,2,FALSE())</f>
        <v>1344</v>
      </c>
      <c r="F115" s="1">
        <f>VLOOKUP(A115,temporalBoundaries!$A$2:$G$500,3,FALSE())</f>
        <v>1507</v>
      </c>
      <c r="G115" s="1">
        <f t="shared" si="10"/>
        <v>163</v>
      </c>
      <c r="H115" s="1">
        <f t="shared" si="11"/>
        <v>0.042682926829268303</v>
      </c>
      <c r="I115" s="1">
        <f>VLOOKUP($A115,temporalBoundaries!$A$1:$E$470,4,FALSE())</f>
        <v>13440912</v>
      </c>
      <c r="J115" s="1">
        <f>VLOOKUP($A115,temporalBoundaries!$A$1:$E$470,5,FALSE())</f>
        <v>15070322</v>
      </c>
    </row>
    <row r="116" ht="15" hidden="1">
      <c r="A116" s="1" t="s">
        <v>1831</v>
      </c>
      <c r="B116" s="1">
        <v>7</v>
      </c>
      <c r="C116" s="1">
        <v>0</v>
      </c>
      <c r="D116" s="5">
        <f t="shared" si="9"/>
        <v>0</v>
      </c>
      <c r="E116" s="1">
        <f>VLOOKUP(A116,temporalBoundaries!$A$2:$G$500,2,FALSE())</f>
        <v>1227</v>
      </c>
      <c r="F116" s="1">
        <f>VLOOKUP(A116,temporalBoundaries!$A$2:$G$500,3,FALSE())</f>
        <v>1380</v>
      </c>
      <c r="G116" s="1">
        <f t="shared" si="10"/>
        <v>153</v>
      </c>
      <c r="H116" s="1">
        <f t="shared" si="11"/>
        <v>0.045454545454545497</v>
      </c>
      <c r="I116" s="1">
        <f>VLOOKUP($A116,temporalBoundaries!$A$1:$E$470,4,FALSE())</f>
        <v>12270319</v>
      </c>
      <c r="J116" s="1">
        <f>VLOOKUP($A116,temporalBoundaries!$A$1:$E$470,5,FALSE())</f>
        <v>13800930</v>
      </c>
    </row>
    <row r="117" ht="15" hidden="1">
      <c r="A117" s="1" t="s">
        <v>357</v>
      </c>
      <c r="B117" s="1">
        <v>7</v>
      </c>
      <c r="C117" s="1">
        <v>4</v>
      </c>
      <c r="D117" s="5">
        <f t="shared" si="9"/>
        <v>57.142857142857103</v>
      </c>
      <c r="E117" s="1">
        <f>VLOOKUP(A117,temporalBoundaries!$A$2:$G$500,2,FALSE())</f>
        <v>1430</v>
      </c>
      <c r="F117" s="1">
        <f>VLOOKUP(A117,temporalBoundaries!$A$2:$G$500,3,FALSE())</f>
        <v>1571</v>
      </c>
      <c r="G117" s="1">
        <f t="shared" si="10"/>
        <v>141</v>
      </c>
      <c r="H117" s="1">
        <f t="shared" si="11"/>
        <v>0.0492957746478873</v>
      </c>
      <c r="I117" s="1">
        <f>VLOOKUP($A117,temporalBoundaries!$A$1:$E$470,4,FALSE())</f>
        <v>14300107</v>
      </c>
      <c r="J117" s="1">
        <f>VLOOKUP($A117,temporalBoundaries!$A$1:$E$470,5,FALSE())</f>
        <v>15710526</v>
      </c>
    </row>
    <row r="118" ht="15" hidden="1">
      <c r="A118" s="1" t="s">
        <v>1459</v>
      </c>
      <c r="B118" s="1">
        <v>7</v>
      </c>
      <c r="C118" s="1">
        <v>0</v>
      </c>
      <c r="D118" s="5">
        <f t="shared" si="9"/>
        <v>0</v>
      </c>
      <c r="E118" s="1">
        <f>VLOOKUP(A118,temporalBoundaries!$A$2:$G$500,2,FALSE())</f>
        <v>1304</v>
      </c>
      <c r="F118" s="1">
        <f>VLOOKUP(A118,temporalBoundaries!$A$2:$G$500,3,FALSE())</f>
        <v>1392</v>
      </c>
      <c r="G118" s="1">
        <f t="shared" si="10"/>
        <v>88</v>
      </c>
      <c r="H118" s="1">
        <f t="shared" si="11"/>
        <v>0.078651685393258397</v>
      </c>
      <c r="I118" s="1">
        <f>VLOOKUP($A118,temporalBoundaries!$A$1:$E$470,4,FALSE())</f>
        <v>13040318</v>
      </c>
      <c r="J118" s="1">
        <f>VLOOKUP($A118,temporalBoundaries!$A$1:$E$470,5,FALSE())</f>
        <v>13920314</v>
      </c>
    </row>
    <row r="119" ht="15" hidden="1">
      <c r="A119" s="1" t="s">
        <v>516</v>
      </c>
      <c r="B119" s="1">
        <v>7</v>
      </c>
      <c r="C119" s="1">
        <v>0</v>
      </c>
      <c r="D119" s="5">
        <f t="shared" si="9"/>
        <v>0</v>
      </c>
      <c r="E119" s="1">
        <f>VLOOKUP(A119,temporalBoundaries!$A$2:$G$500,2,FALSE())</f>
        <v>1318</v>
      </c>
      <c r="F119" s="1">
        <f>VLOOKUP(A119,temporalBoundaries!$A$2:$G$500,3,FALSE())</f>
        <v>1393</v>
      </c>
      <c r="G119" s="1">
        <f t="shared" si="10"/>
        <v>75</v>
      </c>
      <c r="H119" s="1">
        <f t="shared" si="11"/>
        <v>0.092105263157894704</v>
      </c>
      <c r="I119" s="1">
        <f>VLOOKUP($A119,temporalBoundaries!$A$1:$E$470,4,FALSE())</f>
        <v>13180911</v>
      </c>
      <c r="J119" s="1">
        <f>VLOOKUP($A119,temporalBoundaries!$A$1:$E$470,5,FALSE())</f>
        <v>13930205</v>
      </c>
    </row>
    <row r="120" ht="15" hidden="1">
      <c r="A120" s="1" t="s">
        <v>1663</v>
      </c>
      <c r="B120" s="1">
        <v>7</v>
      </c>
      <c r="C120" s="1">
        <v>0</v>
      </c>
      <c r="D120" s="5">
        <f t="shared" si="9"/>
        <v>0</v>
      </c>
      <c r="E120" s="1">
        <f>VLOOKUP(A120,temporalBoundaries!$A$2:$G$500,2,FALSE())</f>
        <v>1299</v>
      </c>
      <c r="F120" s="1">
        <f>VLOOKUP(A120,temporalBoundaries!$A$2:$G$500,3,FALSE())</f>
        <v>1373</v>
      </c>
      <c r="G120" s="1">
        <f t="shared" si="10"/>
        <v>74</v>
      </c>
      <c r="H120" s="1">
        <f t="shared" si="11"/>
        <v>0.093333333333333296</v>
      </c>
      <c r="I120" s="1">
        <f>VLOOKUP($A120,temporalBoundaries!$A$1:$E$470,4,FALSE())</f>
        <v>12990824</v>
      </c>
      <c r="J120" s="1">
        <f>VLOOKUP($A120,temporalBoundaries!$A$1:$E$470,5,FALSE())</f>
        <v>13730209</v>
      </c>
    </row>
    <row r="121" ht="15" hidden="1">
      <c r="A121" s="1" t="s">
        <v>1755</v>
      </c>
      <c r="B121" s="1">
        <v>7</v>
      </c>
      <c r="C121" s="1">
        <v>0</v>
      </c>
      <c r="D121" s="5">
        <f t="shared" si="9"/>
        <v>0</v>
      </c>
      <c r="E121" s="1">
        <f>VLOOKUP(A121,temporalBoundaries!$A$2:$G$500,2,FALSE())</f>
        <v>1338</v>
      </c>
      <c r="F121" s="1">
        <f>VLOOKUP(A121,temporalBoundaries!$A$2:$G$500,3,FALSE())</f>
        <v>1393</v>
      </c>
      <c r="G121" s="1">
        <f t="shared" si="10"/>
        <v>55</v>
      </c>
      <c r="H121" s="1">
        <f t="shared" si="11"/>
        <v>0.125</v>
      </c>
      <c r="I121" s="1">
        <f>VLOOKUP($A121,temporalBoundaries!$A$1:$E$470,4,FALSE())</f>
        <v>13380503</v>
      </c>
      <c r="J121" s="1">
        <f>VLOOKUP($A121,temporalBoundaries!$A$1:$E$470,5,FALSE())</f>
        <v>13930120</v>
      </c>
    </row>
    <row r="122" ht="15" hidden="1">
      <c r="A122" s="1" t="s">
        <v>301</v>
      </c>
      <c r="B122" s="1">
        <v>8</v>
      </c>
      <c r="C122" s="1">
        <v>7</v>
      </c>
      <c r="D122" s="5">
        <f t="shared" si="9"/>
        <v>87.5</v>
      </c>
      <c r="E122" s="1">
        <f>VLOOKUP(A122,temporalBoundaries!$A$2:$G$500,2,FALSE())</f>
        <v>1372</v>
      </c>
      <c r="F122" s="1">
        <f>VLOOKUP(A122,temporalBoundaries!$A$2:$G$500,3,FALSE())</f>
        <v>1755</v>
      </c>
      <c r="G122" s="1">
        <f t="shared" si="10"/>
        <v>383</v>
      </c>
      <c r="H122" s="1">
        <f t="shared" si="11"/>
        <v>0.020833333333333301</v>
      </c>
      <c r="I122" s="1">
        <f>VLOOKUP($A122,temporalBoundaries!$A$1:$E$470,4,FALSE())</f>
        <v>13721111</v>
      </c>
      <c r="J122" s="1">
        <f>VLOOKUP($A122,temporalBoundaries!$A$1:$E$470,5,FALSE())</f>
        <v>17550108</v>
      </c>
    </row>
    <row r="123" ht="15" hidden="1">
      <c r="A123" s="1" t="s">
        <v>29</v>
      </c>
      <c r="B123" s="1">
        <v>8</v>
      </c>
      <c r="C123" s="1">
        <v>0</v>
      </c>
      <c r="D123" s="5">
        <f t="shared" si="9"/>
        <v>0</v>
      </c>
      <c r="E123" s="1">
        <f>VLOOKUP(A123,temporalBoundaries!$A$2:$G$500,2,FALSE())</f>
        <v>1188</v>
      </c>
      <c r="F123" s="1">
        <f>VLOOKUP(A123,temporalBoundaries!$A$2:$G$500,3,FALSE())</f>
        <v>1488</v>
      </c>
      <c r="G123" s="1">
        <f t="shared" si="10"/>
        <v>300</v>
      </c>
      <c r="H123" s="1">
        <f t="shared" si="11"/>
        <v>0.026578073089701001</v>
      </c>
      <c r="I123" s="1">
        <f>VLOOKUP($A123,temporalBoundaries!$A$1:$E$470,4,FALSE())</f>
        <v>11881214</v>
      </c>
      <c r="J123" s="1">
        <f>VLOOKUP($A123,temporalBoundaries!$A$1:$E$470,5,FALSE())</f>
        <v>14880117</v>
      </c>
    </row>
    <row r="124" ht="15" hidden="1">
      <c r="A124" s="1" t="s">
        <v>353</v>
      </c>
      <c r="B124" s="1">
        <v>8</v>
      </c>
      <c r="C124" s="1">
        <v>6</v>
      </c>
      <c r="D124" s="5">
        <f t="shared" si="9"/>
        <v>75</v>
      </c>
      <c r="E124" s="1">
        <f>VLOOKUP(A124,temporalBoundaries!$A$2:$G$500,2,FALSE())</f>
        <v>1278</v>
      </c>
      <c r="F124" s="1">
        <f>VLOOKUP(A124,temporalBoundaries!$A$2:$G$500,3,FALSE())</f>
        <v>1489</v>
      </c>
      <c r="G124" s="1">
        <f t="shared" si="10"/>
        <v>211</v>
      </c>
      <c r="H124" s="1">
        <f t="shared" si="11"/>
        <v>0.0377358490566038</v>
      </c>
      <c r="I124" s="1">
        <f>VLOOKUP($A124,temporalBoundaries!$A$1:$E$470,4,FALSE())</f>
        <v>12780211</v>
      </c>
      <c r="J124" s="1">
        <f>VLOOKUP($A124,temporalBoundaries!$A$1:$E$470,5,FALSE())</f>
        <v>14890926</v>
      </c>
    </row>
    <row r="125" ht="15" hidden="1">
      <c r="A125" s="1" t="s">
        <v>293</v>
      </c>
      <c r="B125" s="1">
        <v>8</v>
      </c>
      <c r="C125" s="1">
        <v>2</v>
      </c>
      <c r="D125" s="5">
        <f t="shared" si="9"/>
        <v>25</v>
      </c>
      <c r="E125" s="1">
        <f>VLOOKUP(A125,temporalBoundaries!$A$2:$G$500,2,FALSE())</f>
        <v>1333</v>
      </c>
      <c r="F125" s="1">
        <f>VLOOKUP(A125,temporalBoundaries!$A$2:$G$500,3,FALSE())</f>
        <v>1467</v>
      </c>
      <c r="G125" s="1">
        <f t="shared" si="10"/>
        <v>134</v>
      </c>
      <c r="H125" s="1">
        <f t="shared" si="11"/>
        <v>0.059259259259259303</v>
      </c>
      <c r="I125" s="1">
        <f>VLOOKUP($A125,temporalBoundaries!$A$1:$E$470,4,FALSE())</f>
        <v>13331126</v>
      </c>
      <c r="J125" s="1">
        <f>VLOOKUP($A125,temporalBoundaries!$A$1:$E$470,5,FALSE())</f>
        <v>14670907</v>
      </c>
    </row>
    <row r="126" ht="15" hidden="1">
      <c r="A126" s="1" t="s">
        <v>285</v>
      </c>
      <c r="B126" s="1">
        <v>8</v>
      </c>
      <c r="C126" s="1">
        <v>2</v>
      </c>
      <c r="D126" s="5">
        <f t="shared" si="9"/>
        <v>25</v>
      </c>
      <c r="E126" s="1">
        <f>VLOOKUP(A126,temporalBoundaries!$A$2:$G$500,2,FALSE())</f>
        <v>1399</v>
      </c>
      <c r="F126" s="1">
        <f>VLOOKUP(A126,temporalBoundaries!$A$2:$G$500,3,FALSE())</f>
        <v>1424</v>
      </c>
      <c r="G126" s="1">
        <f t="shared" si="10"/>
        <v>25</v>
      </c>
      <c r="H126" s="1">
        <f t="shared" si="11"/>
        <v>0.30769230769230799</v>
      </c>
      <c r="I126" s="1">
        <f>VLOOKUP($A126,temporalBoundaries!$A$1:$E$470,4,FALSE())</f>
        <v>13990602</v>
      </c>
      <c r="J126" s="1">
        <f>VLOOKUP($A126,temporalBoundaries!$A$1:$E$470,5,FALSE())</f>
        <v>14240802</v>
      </c>
    </row>
    <row r="127" ht="15" hidden="1">
      <c r="A127" s="1" t="s">
        <v>57</v>
      </c>
      <c r="B127" s="1">
        <v>9</v>
      </c>
      <c r="C127" s="1">
        <v>0</v>
      </c>
      <c r="D127" s="5">
        <f t="shared" si="9"/>
        <v>0</v>
      </c>
      <c r="E127" s="1">
        <f>VLOOKUP(A127,temporalBoundaries!$A$2:$G$500,2,FALSE())</f>
        <v>1350</v>
      </c>
      <c r="F127" s="1">
        <f>VLOOKUP(A127,temporalBoundaries!$A$2:$G$500,3,FALSE())</f>
        <v>1545</v>
      </c>
      <c r="G127" s="1">
        <f t="shared" si="10"/>
        <v>195</v>
      </c>
      <c r="H127" s="1">
        <f t="shared" si="11"/>
        <v>0.045918367346938799</v>
      </c>
      <c r="I127" s="1">
        <f>VLOOKUP($A127,temporalBoundaries!$A$1:$E$470,4,FALSE())</f>
        <v>13501123</v>
      </c>
      <c r="J127" s="1">
        <f>VLOOKUP($A127,temporalBoundaries!$A$1:$E$470,5,FALSE())</f>
        <v>15450424</v>
      </c>
    </row>
    <row r="128" ht="15" hidden="1">
      <c r="A128" s="1" t="s">
        <v>1923</v>
      </c>
      <c r="B128" s="1">
        <v>9</v>
      </c>
      <c r="C128" s="1">
        <v>0</v>
      </c>
      <c r="D128" s="5">
        <f t="shared" si="9"/>
        <v>0</v>
      </c>
      <c r="E128" s="1">
        <f>VLOOKUP(A128,temporalBoundaries!$A$2:$G$500,2,FALSE())</f>
        <v>1304</v>
      </c>
      <c r="F128" s="1">
        <f>VLOOKUP(A128,temporalBoundaries!$A$2:$G$500,3,FALSE())</f>
        <v>1392</v>
      </c>
      <c r="G128" s="1">
        <f t="shared" si="10"/>
        <v>88</v>
      </c>
      <c r="H128" s="1">
        <f t="shared" si="11"/>
        <v>0.101123595505618</v>
      </c>
      <c r="I128" s="1">
        <f>VLOOKUP($A128,temporalBoundaries!$A$1:$E$470,4,FALSE())</f>
        <v>13040131</v>
      </c>
      <c r="J128" s="1">
        <f>VLOOKUP($A128,temporalBoundaries!$A$1:$E$470,5,FALSE())</f>
        <v>13920111</v>
      </c>
    </row>
    <row r="129" ht="15" hidden="1">
      <c r="A129" s="1" t="s">
        <v>603</v>
      </c>
      <c r="B129" s="1">
        <v>10</v>
      </c>
      <c r="C129" s="1">
        <v>9</v>
      </c>
      <c r="D129" s="5">
        <f t="shared" si="9"/>
        <v>90</v>
      </c>
      <c r="E129" s="1">
        <f>VLOOKUP(A129,temporalBoundaries!$A$2:$G$500,2,FALSE())</f>
        <v>1193</v>
      </c>
      <c r="F129" s="1">
        <f>VLOOKUP(A129,temporalBoundaries!$A$2:$G$500,3,FALSE())</f>
        <v>1550</v>
      </c>
      <c r="G129" s="1">
        <f t="shared" si="10"/>
        <v>357</v>
      </c>
      <c r="H129" s="1">
        <f t="shared" si="11"/>
        <v>0.027932960893854698</v>
      </c>
      <c r="I129" s="1">
        <f>VLOOKUP($A129,temporalBoundaries!$A$1:$E$470,4,FALSE())</f>
        <v>11930629</v>
      </c>
      <c r="J129" s="1">
        <f>VLOOKUP($A129,temporalBoundaries!$A$1:$E$470,5,FALSE())</f>
        <v>15500423</v>
      </c>
    </row>
    <row r="130" ht="15" hidden="1">
      <c r="A130" s="1" t="s">
        <v>1643</v>
      </c>
      <c r="B130" s="1">
        <v>10</v>
      </c>
      <c r="C130" s="1">
        <v>0</v>
      </c>
      <c r="D130" s="5">
        <f t="shared" si="9"/>
        <v>0</v>
      </c>
      <c r="E130" s="1">
        <f>VLOOKUP(A130,temporalBoundaries!$A$2:$G$500,2,FALSE())</f>
        <v>1227</v>
      </c>
      <c r="F130" s="1">
        <f>VLOOKUP(A130,temporalBoundaries!$A$2:$G$500,3,FALSE())</f>
        <v>1391</v>
      </c>
      <c r="G130" s="1">
        <f t="shared" si="10"/>
        <v>164</v>
      </c>
      <c r="H130" s="1">
        <f t="shared" si="11"/>
        <v>0.060606060606060601</v>
      </c>
      <c r="I130" s="1">
        <f>VLOOKUP($A130,temporalBoundaries!$A$1:$E$470,4,FALSE())</f>
        <v>12270902</v>
      </c>
      <c r="J130" s="1">
        <f>VLOOKUP($A130,temporalBoundaries!$A$1:$E$470,5,FALSE())</f>
        <v>13910413</v>
      </c>
    </row>
    <row r="131" ht="15" hidden="1">
      <c r="A131" s="1" t="s">
        <v>1607</v>
      </c>
      <c r="B131" s="1">
        <v>10</v>
      </c>
      <c r="C131" s="1">
        <v>0</v>
      </c>
      <c r="D131" s="5">
        <f t="shared" si="9"/>
        <v>0</v>
      </c>
      <c r="E131" s="1">
        <f>VLOOKUP(A131,temporalBoundaries!$A$2:$G$500,2,FALSE())</f>
        <v>1260</v>
      </c>
      <c r="F131" s="1">
        <f>VLOOKUP(A131,temporalBoundaries!$A$2:$G$500,3,FALSE())</f>
        <v>1379</v>
      </c>
      <c r="G131" s="1">
        <f t="shared" si="10"/>
        <v>119</v>
      </c>
      <c r="H131" s="1">
        <f t="shared" si="11"/>
        <v>0.083333333333333301</v>
      </c>
      <c r="I131" s="1">
        <f>VLOOKUP($A131,temporalBoundaries!$A$1:$E$470,4,FALSE())</f>
        <v>12600105</v>
      </c>
      <c r="J131" s="1">
        <f>VLOOKUP($A131,temporalBoundaries!$A$1:$E$470,5,FALSE())</f>
        <v>13791226</v>
      </c>
    </row>
    <row r="132" ht="15" hidden="1">
      <c r="A132" s="1" t="s">
        <v>1603</v>
      </c>
      <c r="B132" s="1">
        <v>10</v>
      </c>
      <c r="C132" s="1">
        <v>0</v>
      </c>
      <c r="D132" s="5">
        <f t="shared" si="9"/>
        <v>0</v>
      </c>
      <c r="E132" s="1">
        <f>VLOOKUP(A132,temporalBoundaries!$A$2:$G$500,2,FALSE())</f>
        <v>1303</v>
      </c>
      <c r="F132" s="1">
        <f>VLOOKUP(A132,temporalBoundaries!$A$2:$G$500,3,FALSE())</f>
        <v>1389</v>
      </c>
      <c r="G132" s="1">
        <f t="shared" si="10"/>
        <v>86</v>
      </c>
      <c r="H132" s="1">
        <f t="shared" si="11"/>
        <v>0.114942528735632</v>
      </c>
      <c r="I132" s="1">
        <f>VLOOKUP($A132,temporalBoundaries!$A$1:$E$470,4,FALSE())</f>
        <v>13030217</v>
      </c>
      <c r="J132" s="1">
        <f>VLOOKUP($A132,temporalBoundaries!$A$1:$E$470,5,FALSE())</f>
        <v>13890624</v>
      </c>
    </row>
    <row r="133" ht="15" hidden="1">
      <c r="A133" s="1" t="s">
        <v>731</v>
      </c>
      <c r="B133" s="1">
        <v>11</v>
      </c>
      <c r="C133" s="1">
        <v>11</v>
      </c>
      <c r="D133" s="5">
        <f t="shared" si="9"/>
        <v>100</v>
      </c>
      <c r="E133" s="1">
        <f>VLOOKUP(A133,temporalBoundaries!$A$2:$G$500,2,FALSE())</f>
        <v>1407</v>
      </c>
      <c r="F133" s="1">
        <f>VLOOKUP(A133,temporalBoundaries!$A$2:$G$500,3,FALSE())</f>
        <v>1746</v>
      </c>
      <c r="G133" s="1">
        <f t="shared" si="10"/>
        <v>339</v>
      </c>
      <c r="H133" s="1">
        <f t="shared" si="11"/>
        <v>0.032352941176470598</v>
      </c>
      <c r="I133" s="1">
        <f>VLOOKUP($A133,temporalBoundaries!$A$1:$E$470,4,FALSE())</f>
        <v>14070511</v>
      </c>
      <c r="J133" s="1">
        <f>VLOOKUP($A133,temporalBoundaries!$A$1:$E$470,5,FALSE())</f>
        <v>17460525</v>
      </c>
    </row>
    <row r="134" ht="15" hidden="1">
      <c r="A134" s="1" t="s">
        <v>273</v>
      </c>
      <c r="B134" s="1">
        <v>11</v>
      </c>
      <c r="C134" s="1">
        <v>10</v>
      </c>
      <c r="D134" s="5">
        <f t="shared" si="9"/>
        <v>90.909090909090907</v>
      </c>
      <c r="E134" s="1">
        <f>VLOOKUP(A134,temporalBoundaries!$A$2:$G$500,2,FALSE())</f>
        <v>1401</v>
      </c>
      <c r="F134" s="1">
        <f>VLOOKUP(A134,temporalBoundaries!$A$2:$G$500,3,FALSE())</f>
        <v>1666</v>
      </c>
      <c r="G134" s="1">
        <f t="shared" si="10"/>
        <v>265</v>
      </c>
      <c r="H134" s="1">
        <f t="shared" si="11"/>
        <v>0.0413533834586466</v>
      </c>
      <c r="I134" s="1">
        <f>VLOOKUP($A134,temporalBoundaries!$A$1:$E$470,4,FALSE())</f>
        <v>14010825</v>
      </c>
      <c r="J134" s="1">
        <f>VLOOKUP($A134,temporalBoundaries!$A$1:$E$470,5,FALSE())</f>
        <v>16660410</v>
      </c>
    </row>
    <row r="135" ht="15" hidden="1">
      <c r="A135" s="1" t="s">
        <v>791</v>
      </c>
      <c r="B135" s="1">
        <v>11</v>
      </c>
      <c r="C135" s="1">
        <v>11</v>
      </c>
      <c r="D135" s="5">
        <f t="shared" si="9"/>
        <v>100</v>
      </c>
      <c r="E135" s="1">
        <f>VLOOKUP(A135,temporalBoundaries!$A$2:$G$500,2,FALSE())</f>
        <v>1342</v>
      </c>
      <c r="F135" s="1">
        <f>VLOOKUP(A135,temporalBoundaries!$A$2:$G$500,3,FALSE())</f>
        <v>1597</v>
      </c>
      <c r="G135" s="1">
        <f t="shared" si="10"/>
        <v>255</v>
      </c>
      <c r="H135" s="1">
        <f t="shared" si="11"/>
        <v>0.04296875</v>
      </c>
      <c r="I135" s="1">
        <f>VLOOKUP($A135,temporalBoundaries!$A$1:$E$470,4,FALSE())</f>
        <v>13420419</v>
      </c>
      <c r="J135" s="1">
        <f>VLOOKUP($A135,temporalBoundaries!$A$1:$E$470,5,FALSE())</f>
        <v>15970106</v>
      </c>
    </row>
    <row r="136" ht="15" hidden="1">
      <c r="A136" s="1" t="s">
        <v>935</v>
      </c>
      <c r="B136" s="1">
        <v>11</v>
      </c>
      <c r="C136" s="1">
        <v>11</v>
      </c>
      <c r="D136" s="5">
        <f t="shared" si="9"/>
        <v>100</v>
      </c>
      <c r="E136" s="1">
        <f>VLOOKUP(A136,temporalBoundaries!$A$2:$G$500,2,FALSE())</f>
        <v>1283</v>
      </c>
      <c r="F136" s="1">
        <f>VLOOKUP(A136,temporalBoundaries!$A$2:$G$500,3,FALSE())</f>
        <v>1523</v>
      </c>
      <c r="G136" s="1">
        <f t="shared" si="10"/>
        <v>240</v>
      </c>
      <c r="H136" s="1">
        <f t="shared" si="11"/>
        <v>0.045643153526971</v>
      </c>
      <c r="I136" s="1">
        <f>VLOOKUP($A136,temporalBoundaries!$A$1:$E$470,4,FALSE())</f>
        <v>12831121</v>
      </c>
      <c r="J136" s="1">
        <f>VLOOKUP($A136,temporalBoundaries!$A$1:$E$470,5,FALSE())</f>
        <v>15230128</v>
      </c>
    </row>
    <row r="137" ht="15" hidden="1">
      <c r="A137" s="1" t="s">
        <v>1475</v>
      </c>
      <c r="B137" s="1">
        <v>11</v>
      </c>
      <c r="C137" s="1">
        <v>0</v>
      </c>
      <c r="D137" s="5">
        <f t="shared" si="9"/>
        <v>0</v>
      </c>
      <c r="E137" s="1">
        <f>VLOOKUP(A137,temporalBoundaries!$A$2:$G$500,2,FALSE())</f>
        <v>1280</v>
      </c>
      <c r="F137" s="1">
        <f>VLOOKUP(A137,temporalBoundaries!$A$2:$G$500,3,FALSE())</f>
        <v>1387</v>
      </c>
      <c r="G137" s="1">
        <f t="shared" si="10"/>
        <v>107</v>
      </c>
      <c r="H137" s="1">
        <f t="shared" si="11"/>
        <v>0.101851851851852</v>
      </c>
      <c r="I137" s="1">
        <f>VLOOKUP($A137,temporalBoundaries!$A$1:$E$470,4,FALSE())</f>
        <v>12800703</v>
      </c>
      <c r="J137" s="1">
        <f>VLOOKUP($A137,temporalBoundaries!$A$1:$E$470,5,FALSE())</f>
        <v>13870426</v>
      </c>
    </row>
    <row r="138" ht="15" hidden="1">
      <c r="A138" s="1" t="s">
        <v>177</v>
      </c>
      <c r="B138" s="1">
        <v>11</v>
      </c>
      <c r="C138" s="1">
        <v>0</v>
      </c>
      <c r="D138" s="5">
        <f t="shared" si="9"/>
        <v>0</v>
      </c>
      <c r="E138" s="1">
        <f>VLOOKUP(A138,temporalBoundaries!$A$2:$G$500,2,FALSE())</f>
        <v>1352</v>
      </c>
      <c r="F138" s="1">
        <f>VLOOKUP(A138,temporalBoundaries!$A$2:$G$500,3,FALSE())</f>
        <v>1454</v>
      </c>
      <c r="G138" s="1">
        <f t="shared" si="10"/>
        <v>102</v>
      </c>
      <c r="H138" s="1">
        <f t="shared" si="11"/>
        <v>0.106796116504854</v>
      </c>
      <c r="I138" s="1">
        <f>VLOOKUP($A138,temporalBoundaries!$A$1:$E$470,4,FALSE())</f>
        <v>13520329</v>
      </c>
      <c r="J138" s="1">
        <f>VLOOKUP($A138,temporalBoundaries!$A$1:$E$470,5,FALSE())</f>
        <v>14541125</v>
      </c>
    </row>
    <row r="139" ht="15" hidden="1">
      <c r="A139" s="1" t="s">
        <v>145</v>
      </c>
      <c r="B139" s="1">
        <v>11</v>
      </c>
      <c r="C139" s="1">
        <v>0</v>
      </c>
      <c r="D139" s="5">
        <f t="shared" si="9"/>
        <v>0</v>
      </c>
      <c r="E139" s="1">
        <f>VLOOKUP(A139,temporalBoundaries!$A$2:$G$500,2,FALSE())</f>
        <v>1403</v>
      </c>
      <c r="F139" s="1">
        <f>VLOOKUP(A139,temporalBoundaries!$A$2:$G$500,3,FALSE())</f>
        <v>1459</v>
      </c>
      <c r="G139" s="1">
        <f t="shared" si="10"/>
        <v>56</v>
      </c>
      <c r="H139" s="1">
        <f t="shared" si="11"/>
        <v>0.19298245614035101</v>
      </c>
      <c r="I139" s="1">
        <f>VLOOKUP($A139,temporalBoundaries!$A$1:$E$470,4,FALSE())</f>
        <v>14031214</v>
      </c>
      <c r="J139" s="1">
        <f>VLOOKUP($A139,temporalBoundaries!$A$1:$E$470,5,FALSE())</f>
        <v>14590108</v>
      </c>
    </row>
    <row r="140" ht="15" hidden="1">
      <c r="A140" s="1" t="s">
        <v>341</v>
      </c>
      <c r="B140" s="1">
        <v>12</v>
      </c>
      <c r="C140" s="1">
        <v>1</v>
      </c>
      <c r="D140" s="5">
        <f t="shared" si="9"/>
        <v>8.3333333333333304</v>
      </c>
      <c r="E140" s="1">
        <f>VLOOKUP(A140,temporalBoundaries!$A$2:$G$500,2,FALSE())</f>
        <v>1368</v>
      </c>
      <c r="F140" s="1">
        <f>VLOOKUP(A140,temporalBoundaries!$A$2:$G$500,3,FALSE())</f>
        <v>1742</v>
      </c>
      <c r="G140" s="1">
        <f t="shared" si="10"/>
        <v>374</v>
      </c>
      <c r="H140" s="1">
        <f t="shared" si="11"/>
        <v>0.032000000000000001</v>
      </c>
      <c r="I140" s="1">
        <f>VLOOKUP($A140,temporalBoundaries!$A$1:$E$470,4,FALSE())</f>
        <v>13681111</v>
      </c>
      <c r="J140" s="1">
        <f>VLOOKUP($A140,temporalBoundaries!$A$1:$E$470,5,FALSE())</f>
        <v>17421231</v>
      </c>
    </row>
    <row r="141" ht="15" hidden="1">
      <c r="A141" s="1" t="s">
        <v>245</v>
      </c>
      <c r="B141" s="1">
        <v>12</v>
      </c>
      <c r="C141" s="1">
        <v>12</v>
      </c>
      <c r="D141" s="5">
        <f t="shared" si="9"/>
        <v>100</v>
      </c>
      <c r="E141" s="1">
        <f>VLOOKUP(A141,temporalBoundaries!$A$2:$G$500,2,FALSE())</f>
        <v>1299</v>
      </c>
      <c r="F141" s="1">
        <f>VLOOKUP(A141,temporalBoundaries!$A$2:$G$500,3,FALSE())</f>
        <v>1484</v>
      </c>
      <c r="G141" s="1">
        <f t="shared" si="10"/>
        <v>185</v>
      </c>
      <c r="H141" s="1">
        <f t="shared" si="11"/>
        <v>0.064516129032258104</v>
      </c>
      <c r="I141" s="1">
        <f>VLOOKUP($A141,temporalBoundaries!$A$1:$E$470,4,FALSE())</f>
        <v>12990224</v>
      </c>
      <c r="J141" s="1">
        <f>VLOOKUP($A141,temporalBoundaries!$A$1:$E$470,5,FALSE())</f>
        <v>14840927</v>
      </c>
    </row>
    <row r="142" ht="15" hidden="1">
      <c r="A142" s="1" t="s">
        <v>1479</v>
      </c>
      <c r="B142" s="1">
        <v>12</v>
      </c>
      <c r="C142" s="1">
        <v>0</v>
      </c>
      <c r="D142" s="5">
        <f t="shared" si="9"/>
        <v>0</v>
      </c>
      <c r="E142" s="1">
        <f>VLOOKUP(A142,temporalBoundaries!$A$2:$G$500,2,FALSE())</f>
        <v>1307</v>
      </c>
      <c r="F142" s="1">
        <f>VLOOKUP(A142,temporalBoundaries!$A$2:$G$500,3,FALSE())</f>
        <v>1398</v>
      </c>
      <c r="G142" s="1">
        <f t="shared" si="10"/>
        <v>91</v>
      </c>
      <c r="H142" s="1">
        <f t="shared" si="11"/>
        <v>0.13043478260869601</v>
      </c>
      <c r="I142" s="1">
        <f>VLOOKUP($A142,temporalBoundaries!$A$1:$E$470,4,FALSE())</f>
        <v>13070202</v>
      </c>
      <c r="J142" s="1">
        <f>VLOOKUP($A142,temporalBoundaries!$A$1:$E$470,5,FALSE())</f>
        <v>13980724</v>
      </c>
    </row>
    <row r="143" ht="15" hidden="1">
      <c r="A143" s="1" t="s">
        <v>1811</v>
      </c>
      <c r="B143" s="1">
        <v>12</v>
      </c>
      <c r="C143" s="1">
        <v>0</v>
      </c>
      <c r="D143" s="5">
        <f t="shared" si="9"/>
        <v>0</v>
      </c>
      <c r="E143" s="1">
        <f>VLOOKUP(A143,temporalBoundaries!$A$2:$G$500,2,FALSE())</f>
        <v>1330</v>
      </c>
      <c r="F143" s="1">
        <f>VLOOKUP(A143,temporalBoundaries!$A$2:$G$500,3,FALSE())</f>
        <v>1396</v>
      </c>
      <c r="G143" s="1">
        <f t="shared" si="10"/>
        <v>66</v>
      </c>
      <c r="H143" s="1">
        <f t="shared" si="11"/>
        <v>0.17910447761194001</v>
      </c>
      <c r="I143" s="1">
        <f>VLOOKUP($A143,temporalBoundaries!$A$1:$E$470,4,FALSE())</f>
        <v>13300423</v>
      </c>
      <c r="J143" s="1">
        <f>VLOOKUP($A143,temporalBoundaries!$A$1:$E$470,5,FALSE())</f>
        <v>13960920</v>
      </c>
    </row>
    <row r="144" ht="15" hidden="1">
      <c r="A144" s="1" t="s">
        <v>763</v>
      </c>
      <c r="B144" s="1">
        <v>12</v>
      </c>
      <c r="C144" s="1">
        <v>12</v>
      </c>
      <c r="D144" s="5">
        <f t="shared" si="9"/>
        <v>100</v>
      </c>
      <c r="E144" s="1">
        <f>VLOOKUP(A144,temporalBoundaries!$A$2:$G$500,2,FALSE())</f>
        <v>1710</v>
      </c>
      <c r="F144" s="1">
        <f>VLOOKUP(A144,temporalBoundaries!$A$2:$G$500,3,FALSE())</f>
        <v>1753</v>
      </c>
      <c r="G144" s="1">
        <f t="shared" si="10"/>
        <v>43</v>
      </c>
      <c r="H144" s="1">
        <f t="shared" si="11"/>
        <v>0.27272727272727298</v>
      </c>
      <c r="I144" s="1">
        <f>VLOOKUP($A144,temporalBoundaries!$A$1:$E$470,4,FALSE())</f>
        <v>17100403</v>
      </c>
      <c r="J144" s="1">
        <f>VLOOKUP($A144,temporalBoundaries!$A$1:$E$470,5,FALSE())</f>
        <v>17531115</v>
      </c>
    </row>
    <row r="145" ht="15" hidden="1">
      <c r="A145" s="1" t="s">
        <v>1355</v>
      </c>
      <c r="B145" s="1">
        <v>13</v>
      </c>
      <c r="C145" s="1">
        <v>13</v>
      </c>
      <c r="D145" s="5">
        <f t="shared" si="9"/>
        <v>100</v>
      </c>
      <c r="E145" s="1">
        <f>VLOOKUP(A145,temporalBoundaries!$A$2:$G$500,2,FALSE())</f>
        <v>1093</v>
      </c>
      <c r="F145" s="1">
        <f>VLOOKUP(A145,temporalBoundaries!$A$2:$G$500,3,FALSE())</f>
        <v>1400</v>
      </c>
      <c r="G145" s="1">
        <f t="shared" si="10"/>
        <v>307</v>
      </c>
      <c r="H145" s="1">
        <f t="shared" si="11"/>
        <v>0.042207792207792201</v>
      </c>
      <c r="I145" s="1">
        <f>VLOOKUP($A145,temporalBoundaries!$A$1:$E$470,4,FALSE())</f>
        <v>10930606</v>
      </c>
      <c r="J145" s="1">
        <f>VLOOKUP($A145,temporalBoundaries!$A$1:$E$470,5,FALSE())</f>
        <v>14000414</v>
      </c>
    </row>
    <row r="146" ht="15" hidden="1">
      <c r="A146" s="1" t="s">
        <v>1039</v>
      </c>
      <c r="B146" s="1">
        <v>13</v>
      </c>
      <c r="C146" s="1">
        <v>13</v>
      </c>
      <c r="D146" s="5">
        <f t="shared" si="9"/>
        <v>100</v>
      </c>
      <c r="E146" s="1">
        <f>VLOOKUP(A146,temporalBoundaries!$A$2:$G$500,2,FALSE())</f>
        <v>1350</v>
      </c>
      <c r="F146" s="1">
        <f>VLOOKUP(A146,temporalBoundaries!$A$2:$G$500,3,FALSE())</f>
        <v>1574</v>
      </c>
      <c r="G146" s="1">
        <f t="shared" si="10"/>
        <v>224</v>
      </c>
      <c r="H146" s="1">
        <f t="shared" si="11"/>
        <v>0.057777777777777803</v>
      </c>
      <c r="I146" s="1">
        <f>VLOOKUP($A146,temporalBoundaries!$A$1:$E$470,4,FALSE())</f>
        <v>13500202</v>
      </c>
      <c r="J146" s="1">
        <f>VLOOKUP($A146,temporalBoundaries!$A$1:$E$470,5,FALSE())</f>
        <v>15740412</v>
      </c>
    </row>
    <row r="147" ht="15" hidden="1">
      <c r="A147" s="1" t="s">
        <v>887</v>
      </c>
      <c r="B147" s="1">
        <v>13</v>
      </c>
      <c r="C147" s="1">
        <v>13</v>
      </c>
      <c r="D147" s="5">
        <f t="shared" si="9"/>
        <v>100</v>
      </c>
      <c r="E147" s="1">
        <f>VLOOKUP(A147,temporalBoundaries!$A$2:$G$500,2,FALSE())</f>
        <v>1339</v>
      </c>
      <c r="F147" s="1">
        <f>VLOOKUP(A147,temporalBoundaries!$A$2:$G$500,3,FALSE())</f>
        <v>1508</v>
      </c>
      <c r="G147" s="1">
        <f t="shared" si="10"/>
        <v>169</v>
      </c>
      <c r="H147" s="1">
        <f t="shared" si="11"/>
        <v>0.076470588235294096</v>
      </c>
      <c r="I147" s="1">
        <f>VLOOKUP($A147,temporalBoundaries!$A$1:$E$470,4,FALSE())</f>
        <v>13390304</v>
      </c>
      <c r="J147" s="1">
        <f>VLOOKUP($A147,temporalBoundaries!$A$1:$E$470,5,FALSE())</f>
        <v>15080626</v>
      </c>
    </row>
    <row r="148" ht="15" hidden="1">
      <c r="A148" s="1" t="s">
        <v>1787</v>
      </c>
      <c r="B148" s="1">
        <v>13</v>
      </c>
      <c r="C148" s="1">
        <v>0</v>
      </c>
      <c r="D148" s="5">
        <f t="shared" si="9"/>
        <v>0</v>
      </c>
      <c r="E148" s="1">
        <f>VLOOKUP(A148,temporalBoundaries!$A$2:$G$500,2,FALSE())</f>
        <v>1357</v>
      </c>
      <c r="F148" s="1">
        <f>VLOOKUP(A148,temporalBoundaries!$A$2:$G$500,3,FALSE())</f>
        <v>1394</v>
      </c>
      <c r="G148" s="1">
        <f t="shared" si="10"/>
        <v>37</v>
      </c>
      <c r="H148" s="1">
        <f t="shared" si="11"/>
        <v>0.34210526315789502</v>
      </c>
      <c r="I148" s="1">
        <f>VLOOKUP($A148,temporalBoundaries!$A$1:$E$470,4,FALSE())</f>
        <v>13570518</v>
      </c>
      <c r="J148" s="1">
        <f>VLOOKUP($A148,temporalBoundaries!$A$1:$E$470,5,FALSE())</f>
        <v>13940807</v>
      </c>
    </row>
    <row r="149" ht="15" hidden="1">
      <c r="A149" s="1" t="s">
        <v>1275</v>
      </c>
      <c r="B149" s="1">
        <v>14</v>
      </c>
      <c r="C149" s="1">
        <v>0</v>
      </c>
      <c r="D149" s="5">
        <f t="shared" si="9"/>
        <v>0</v>
      </c>
      <c r="E149" s="1">
        <f>VLOOKUP(A149,temporalBoundaries!$A$2:$G$500,2,FALSE())</f>
        <v>1298</v>
      </c>
      <c r="F149" s="1">
        <f>VLOOKUP(A149,temporalBoundaries!$A$2:$G$500,3,FALSE())</f>
        <v>1779</v>
      </c>
      <c r="G149" s="1">
        <f t="shared" si="10"/>
        <v>481</v>
      </c>
      <c r="H149" s="1">
        <f t="shared" si="11"/>
        <v>0.029045643153527</v>
      </c>
      <c r="I149" s="1">
        <f>VLOOKUP($A149,temporalBoundaries!$A$1:$E$470,4,FALSE())</f>
        <v>12980110</v>
      </c>
      <c r="J149" s="1">
        <f>VLOOKUP($A149,temporalBoundaries!$A$1:$E$470,5,FALSE())</f>
        <v>17790507</v>
      </c>
    </row>
    <row r="150" ht="15" hidden="1">
      <c r="A150" s="1" t="s">
        <v>591</v>
      </c>
      <c r="B150" s="1">
        <v>14</v>
      </c>
      <c r="C150" s="1">
        <v>14</v>
      </c>
      <c r="D150" s="5">
        <f t="shared" si="9"/>
        <v>100</v>
      </c>
      <c r="E150" s="1">
        <f>VLOOKUP(A150,temporalBoundaries!$A$2:$G$500,2,FALSE())</f>
        <v>1156</v>
      </c>
      <c r="F150" s="1">
        <f>VLOOKUP(A150,temporalBoundaries!$A$2:$G$500,3,FALSE())</f>
        <v>1488</v>
      </c>
      <c r="G150" s="1">
        <f t="shared" si="10"/>
        <v>332</v>
      </c>
      <c r="H150" s="1">
        <f t="shared" si="11"/>
        <v>0.042042042042041997</v>
      </c>
      <c r="I150" s="1">
        <f>VLOOKUP($A150,temporalBoundaries!$A$1:$E$470,4,FALSE())</f>
        <v>11560108</v>
      </c>
      <c r="J150" s="1">
        <f>VLOOKUP($A150,temporalBoundaries!$A$1:$E$470,5,FALSE())</f>
        <v>14881202</v>
      </c>
    </row>
    <row r="151" ht="15" hidden="1">
      <c r="A151" s="1" t="s">
        <v>1011</v>
      </c>
      <c r="B151" s="1">
        <v>14</v>
      </c>
      <c r="C151" s="1">
        <v>14</v>
      </c>
      <c r="D151" s="5">
        <f t="shared" si="9"/>
        <v>100</v>
      </c>
      <c r="E151" s="1">
        <f>VLOOKUP(A151,temporalBoundaries!$A$2:$G$500,2,FALSE())</f>
        <v>1649</v>
      </c>
      <c r="F151" s="1">
        <f>VLOOKUP(A151,temporalBoundaries!$A$2:$G$500,3,FALSE())</f>
        <v>1873</v>
      </c>
      <c r="G151" s="1">
        <f t="shared" si="10"/>
        <v>224</v>
      </c>
      <c r="H151" s="1">
        <f t="shared" si="11"/>
        <v>0.0622222222222222</v>
      </c>
      <c r="I151" s="1">
        <f>VLOOKUP($A151,temporalBoundaries!$A$1:$E$470,4,FALSE())</f>
        <v>16490302</v>
      </c>
      <c r="J151" s="1">
        <f>VLOOKUP($A151,temporalBoundaries!$A$1:$E$470,5,FALSE())</f>
        <v>18731111</v>
      </c>
    </row>
    <row r="152" ht="15" hidden="1">
      <c r="A152" s="1" t="s">
        <v>53</v>
      </c>
      <c r="B152" s="1">
        <v>14</v>
      </c>
      <c r="C152" s="1">
        <v>14</v>
      </c>
      <c r="D152" s="5">
        <f t="shared" si="9"/>
        <v>100</v>
      </c>
      <c r="E152" s="1">
        <f>VLOOKUP(A152,temporalBoundaries!$A$2:$G$500,2,FALSE())</f>
        <v>1456</v>
      </c>
      <c r="F152" s="1">
        <f>VLOOKUP(A152,temporalBoundaries!$A$2:$G$500,3,FALSE())</f>
        <v>1624</v>
      </c>
      <c r="G152" s="1">
        <f t="shared" si="10"/>
        <v>168</v>
      </c>
      <c r="H152" s="1">
        <f t="shared" si="11"/>
        <v>0.082840236686390498</v>
      </c>
      <c r="I152" s="1">
        <f>VLOOKUP($A152,temporalBoundaries!$A$1:$E$470,4,FALSE())</f>
        <v>14560305</v>
      </c>
      <c r="J152" s="1">
        <f>VLOOKUP($A152,temporalBoundaries!$A$1:$E$470,5,FALSE())</f>
        <v>16240121</v>
      </c>
    </row>
    <row r="153" ht="15" hidden="1">
      <c r="A153" s="1" t="s">
        <v>1903</v>
      </c>
      <c r="B153" s="1">
        <v>14</v>
      </c>
      <c r="C153" s="1">
        <v>0</v>
      </c>
      <c r="D153" s="5">
        <f t="shared" si="9"/>
        <v>0</v>
      </c>
      <c r="E153" s="1">
        <f>VLOOKUP(A153,temporalBoundaries!$A$2:$G$500,2,FALSE())</f>
        <v>1261</v>
      </c>
      <c r="F153" s="1">
        <f>VLOOKUP(A153,temporalBoundaries!$A$2:$G$500,3,FALSE())</f>
        <v>1398</v>
      </c>
      <c r="G153" s="1">
        <f t="shared" si="10"/>
        <v>137</v>
      </c>
      <c r="H153" s="1">
        <f t="shared" si="11"/>
        <v>0.101449275362319</v>
      </c>
      <c r="I153" s="1">
        <f>VLOOKUP($A153,temporalBoundaries!$A$1:$E$470,4,FALSE())</f>
        <v>12611020</v>
      </c>
      <c r="J153" s="1">
        <f>VLOOKUP($A153,temporalBoundaries!$A$1:$E$470,5,FALSE())</f>
        <v>13980409</v>
      </c>
    </row>
    <row r="154" ht="15" hidden="1">
      <c r="A154" s="1" t="s">
        <v>795</v>
      </c>
      <c r="B154" s="1">
        <v>15</v>
      </c>
      <c r="C154" s="1">
        <v>15</v>
      </c>
      <c r="D154" s="5">
        <f t="shared" si="9"/>
        <v>100</v>
      </c>
      <c r="E154" s="1">
        <f>VLOOKUP(A154,temporalBoundaries!$A$2:$G$500,2,FALSE())</f>
        <v>1379</v>
      </c>
      <c r="F154" s="1">
        <f>VLOOKUP(A154,temporalBoundaries!$A$2:$G$500,3,FALSE())</f>
        <v>1756</v>
      </c>
      <c r="G154" s="1">
        <f t="shared" si="10"/>
        <v>377</v>
      </c>
      <c r="H154" s="1">
        <f t="shared" si="11"/>
        <v>0.039682539682539701</v>
      </c>
      <c r="I154" s="1">
        <f>VLOOKUP($A154,temporalBoundaries!$A$1:$E$470,4,FALSE())</f>
        <v>13790107</v>
      </c>
      <c r="J154" s="1">
        <f>VLOOKUP($A154,temporalBoundaries!$A$1:$E$470,5,FALSE())</f>
        <v>17560221</v>
      </c>
    </row>
    <row r="155" ht="15" hidden="1">
      <c r="A155" s="1" t="s">
        <v>1327</v>
      </c>
      <c r="B155" s="1">
        <v>15</v>
      </c>
      <c r="C155" s="1">
        <v>15</v>
      </c>
      <c r="D155" s="5">
        <f t="shared" si="9"/>
        <v>100</v>
      </c>
      <c r="E155" s="1">
        <f>VLOOKUP(A155,temporalBoundaries!$A$2:$G$500,2,FALSE())</f>
        <v>1139</v>
      </c>
      <c r="F155" s="1">
        <f>VLOOKUP(A155,temporalBoundaries!$A$2:$G$500,3,FALSE())</f>
        <v>1389</v>
      </c>
      <c r="G155" s="1">
        <f t="shared" si="10"/>
        <v>250</v>
      </c>
      <c r="H155" s="1">
        <f t="shared" si="11"/>
        <v>0.0597609561752988</v>
      </c>
      <c r="I155" s="1">
        <f>VLOOKUP($A155,temporalBoundaries!$A$1:$E$470,4,FALSE())</f>
        <v>11390109</v>
      </c>
      <c r="J155" s="1">
        <f>VLOOKUP($A155,temporalBoundaries!$A$1:$E$470,5,FALSE())</f>
        <v>13890721</v>
      </c>
    </row>
    <row r="156" ht="15" hidden="1">
      <c r="A156" s="1" t="s">
        <v>1447</v>
      </c>
      <c r="B156" s="1">
        <v>15</v>
      </c>
      <c r="C156" s="1">
        <v>0</v>
      </c>
      <c r="D156" s="5">
        <f t="shared" si="9"/>
        <v>0</v>
      </c>
      <c r="E156" s="1">
        <f>VLOOKUP(A156,temporalBoundaries!$A$2:$G$500,2,FALSE())</f>
        <v>1211</v>
      </c>
      <c r="F156" s="1">
        <f>VLOOKUP(A156,temporalBoundaries!$A$2:$G$500,3,FALSE())</f>
        <v>1393</v>
      </c>
      <c r="G156" s="1">
        <f t="shared" si="10"/>
        <v>182</v>
      </c>
      <c r="H156" s="1">
        <f t="shared" si="11"/>
        <v>0.081967213114754106</v>
      </c>
      <c r="I156" s="1">
        <f>VLOOKUP($A156,temporalBoundaries!$A$1:$E$470,4,FALSE())</f>
        <v>12110413</v>
      </c>
      <c r="J156" s="1">
        <f>VLOOKUP($A156,temporalBoundaries!$A$1:$E$470,5,FALSE())</f>
        <v>13931119</v>
      </c>
    </row>
    <row r="157" ht="15" hidden="1">
      <c r="A157" s="1" t="s">
        <v>1651</v>
      </c>
      <c r="B157" s="1">
        <v>15</v>
      </c>
      <c r="C157" s="1">
        <v>0</v>
      </c>
      <c r="D157" s="5">
        <f t="shared" si="9"/>
        <v>0</v>
      </c>
      <c r="E157" s="1">
        <f>VLOOKUP(A157,temporalBoundaries!$A$2:$G$500,2,FALSE())</f>
        <v>1334</v>
      </c>
      <c r="F157" s="1">
        <f>VLOOKUP(A157,temporalBoundaries!$A$2:$G$500,3,FALSE())</f>
        <v>1388</v>
      </c>
      <c r="G157" s="1">
        <f t="shared" si="10"/>
        <v>54</v>
      </c>
      <c r="H157" s="1">
        <f t="shared" si="11"/>
        <v>0.27272727272727298</v>
      </c>
      <c r="I157" s="1">
        <f>VLOOKUP($A157,temporalBoundaries!$A$1:$E$470,4,FALSE())</f>
        <v>13340205</v>
      </c>
      <c r="J157" s="1">
        <f>VLOOKUP($A157,temporalBoundaries!$A$1:$E$470,5,FALSE())</f>
        <v>13880920</v>
      </c>
    </row>
    <row r="158" ht="15" hidden="1">
      <c r="A158" s="1" t="s">
        <v>1847</v>
      </c>
      <c r="B158" s="1">
        <v>15</v>
      </c>
      <c r="C158" s="1">
        <v>0</v>
      </c>
      <c r="D158" s="5">
        <f t="shared" si="9"/>
        <v>0</v>
      </c>
      <c r="E158" s="1">
        <f>VLOOKUP(A158,temporalBoundaries!$A$2:$G$500,2,FALSE())</f>
        <v>1348</v>
      </c>
      <c r="F158" s="1">
        <f>VLOOKUP(A158,temporalBoundaries!$A$2:$G$500,3,FALSE())</f>
        <v>1397</v>
      </c>
      <c r="G158" s="1">
        <f t="shared" si="10"/>
        <v>49</v>
      </c>
      <c r="H158" s="1">
        <f t="shared" si="11"/>
        <v>0.29999999999999999</v>
      </c>
      <c r="I158" s="1">
        <f>VLOOKUP($A158,temporalBoundaries!$A$1:$E$470,4,FALSE())</f>
        <v>13480107</v>
      </c>
      <c r="J158" s="1">
        <f>VLOOKUP($A158,temporalBoundaries!$A$1:$E$470,5,FALSE())</f>
        <v>13971229</v>
      </c>
    </row>
    <row r="159" ht="15" hidden="1">
      <c r="A159" s="1" t="s">
        <v>1379</v>
      </c>
      <c r="B159" s="1">
        <v>16</v>
      </c>
      <c r="C159" s="1">
        <v>16</v>
      </c>
      <c r="D159" s="5">
        <f t="shared" si="9"/>
        <v>100</v>
      </c>
      <c r="E159" s="1">
        <f>VLOOKUP(A159,temporalBoundaries!$A$2:$G$500,2,FALSE())</f>
        <v>986</v>
      </c>
      <c r="F159" s="1">
        <f>VLOOKUP(A159,temporalBoundaries!$A$2:$G$500,3,FALSE())</f>
        <v>1377</v>
      </c>
      <c r="G159" s="1">
        <f t="shared" si="10"/>
        <v>391</v>
      </c>
      <c r="H159" s="1">
        <f t="shared" si="11"/>
        <v>0.0408163265306122</v>
      </c>
      <c r="I159" s="1">
        <f>VLOOKUP($A159,temporalBoundaries!$A$1:$E$470,4,FALSE())</f>
        <v>9861219</v>
      </c>
      <c r="J159" s="1">
        <f>VLOOKUP($A159,temporalBoundaries!$A$1:$E$470,5,FALSE())</f>
        <v>13770510</v>
      </c>
    </row>
    <row r="160" ht="15" hidden="1">
      <c r="A160" s="1" t="s">
        <v>1993</v>
      </c>
      <c r="B160" s="1">
        <v>16</v>
      </c>
      <c r="C160" s="1">
        <v>16</v>
      </c>
      <c r="D160" s="5">
        <f t="shared" si="9"/>
        <v>100</v>
      </c>
      <c r="E160" s="1">
        <f>VLOOKUP(A160,temporalBoundaries!$A$2:$G$500,2,FALSE())</f>
        <v>1364</v>
      </c>
      <c r="F160" s="1">
        <f>VLOOKUP(A160,temporalBoundaries!$A$2:$G$500,3,FALSE())</f>
        <v>1671</v>
      </c>
      <c r="G160" s="1">
        <f t="shared" si="10"/>
        <v>307</v>
      </c>
      <c r="H160" s="1">
        <f t="shared" si="11"/>
        <v>0.051948051948052</v>
      </c>
      <c r="I160" s="1" t="e">
        <f>VLOOKUP($A160,temporalBoundaries!$A$1:$E$470,4,FALSE())</f>
        <v>#N/A</v>
      </c>
      <c r="J160" s="1" t="e">
        <f>VLOOKUP($A160,temporalBoundaries!$A$1:$E$470,5,FALSE())</f>
        <v>#N/A</v>
      </c>
    </row>
    <row r="161" ht="15" hidden="1">
      <c r="A161" s="1" t="s">
        <v>647</v>
      </c>
      <c r="B161" s="1">
        <v>16</v>
      </c>
      <c r="C161" s="1">
        <v>16</v>
      </c>
      <c r="D161" s="5">
        <f t="shared" si="9"/>
        <v>100</v>
      </c>
      <c r="E161" s="1">
        <f>VLOOKUP(A161,temporalBoundaries!$A$2:$G$500,2,FALSE())</f>
        <v>1383</v>
      </c>
      <c r="F161" s="1">
        <f>VLOOKUP(A161,temporalBoundaries!$A$2:$G$500,3,FALSE())</f>
        <v>1639</v>
      </c>
      <c r="G161" s="1">
        <f t="shared" si="10"/>
        <v>256</v>
      </c>
      <c r="H161" s="1">
        <f t="shared" si="11"/>
        <v>0.062256809338521402</v>
      </c>
      <c r="I161" s="1">
        <f>VLOOKUP($A161,temporalBoundaries!$A$1:$E$470,4,FALSE())</f>
        <v>13830913</v>
      </c>
      <c r="J161" s="1">
        <f>VLOOKUP($A161,temporalBoundaries!$A$1:$E$470,5,FALSE())</f>
        <v>16391218</v>
      </c>
    </row>
    <row r="162" ht="15" hidden="1">
      <c r="A162" s="1" t="s">
        <v>1671</v>
      </c>
      <c r="B162" s="1">
        <v>16</v>
      </c>
      <c r="C162" s="1">
        <v>0</v>
      </c>
      <c r="D162" s="5">
        <f t="shared" si="9"/>
        <v>0</v>
      </c>
      <c r="E162" s="1">
        <f>VLOOKUP(A162,temporalBoundaries!$A$2:$G$500,2,FALSE())</f>
        <v>1344</v>
      </c>
      <c r="F162" s="1">
        <f>VLOOKUP(A162,temporalBoundaries!$A$2:$G$500,3,FALSE())</f>
        <v>1397</v>
      </c>
      <c r="G162" s="1">
        <f t="shared" si="10"/>
        <v>53</v>
      </c>
      <c r="H162" s="1">
        <f t="shared" si="11"/>
        <v>0.296296296296296</v>
      </c>
      <c r="I162" s="1">
        <f>VLOOKUP($A162,temporalBoundaries!$A$1:$E$470,4,FALSE())</f>
        <v>13441009</v>
      </c>
      <c r="J162" s="1">
        <f>VLOOKUP($A162,temporalBoundaries!$A$1:$E$470,5,FALSE())</f>
        <v>13970511</v>
      </c>
    </row>
    <row r="163" ht="15" hidden="1">
      <c r="A163" s="1" t="s">
        <v>1979</v>
      </c>
      <c r="B163" s="1">
        <v>17</v>
      </c>
      <c r="C163" s="1">
        <v>17</v>
      </c>
      <c r="D163" s="5">
        <f t="shared" si="9"/>
        <v>100</v>
      </c>
      <c r="E163" s="1">
        <f>VLOOKUP(A163,temporalBoundaries!$A$2:$G$500,2,FALSE())</f>
        <v>1255</v>
      </c>
      <c r="F163" s="1">
        <f>VLOOKUP(A163,temporalBoundaries!$A$2:$G$500,3,FALSE())</f>
        <v>1735</v>
      </c>
      <c r="G163" s="1">
        <f t="shared" si="10"/>
        <v>480</v>
      </c>
      <c r="H163" s="1">
        <f t="shared" si="11"/>
        <v>0.035343035343035303</v>
      </c>
      <c r="I163" s="1">
        <f>VLOOKUP($A163,temporalBoundaries!$A$1:$E$470,4,FALSE())</f>
        <v>12559999</v>
      </c>
      <c r="J163" s="1">
        <f>VLOOKUP($A163,temporalBoundaries!$A$1:$E$470,5,FALSE())</f>
        <v>17350814</v>
      </c>
    </row>
    <row r="164" ht="15" hidden="1">
      <c r="A164" s="1" t="s">
        <v>93</v>
      </c>
      <c r="B164" s="1">
        <v>17</v>
      </c>
      <c r="C164" s="1">
        <v>10</v>
      </c>
      <c r="D164" s="5">
        <f t="shared" ref="D164:D227" si="12">100/B164*C164</f>
        <v>58.823529411764703</v>
      </c>
      <c r="E164" s="1">
        <f>VLOOKUP(A164,temporalBoundaries!$A$2:$G$500,2,FALSE())</f>
        <v>1349</v>
      </c>
      <c r="F164" s="1">
        <f>VLOOKUP(A164,temporalBoundaries!$A$2:$G$500,3,FALSE())</f>
        <v>1572</v>
      </c>
      <c r="G164" s="1">
        <f t="shared" ref="G164:G227" si="13">F164-E164</f>
        <v>223</v>
      </c>
      <c r="H164" s="1">
        <f t="shared" ref="H164:H227" si="14">B164/(G164+1)</f>
        <v>0.075892857142857095</v>
      </c>
      <c r="I164" s="1">
        <f>VLOOKUP($A164,temporalBoundaries!$A$1:$E$470,4,FALSE())</f>
        <v>13490312</v>
      </c>
      <c r="J164" s="1">
        <f>VLOOKUP($A164,temporalBoundaries!$A$1:$E$470,5,FALSE())</f>
        <v>15720815</v>
      </c>
    </row>
    <row r="165" ht="15" hidden="1">
      <c r="A165" s="1" t="s">
        <v>1331</v>
      </c>
      <c r="B165" s="1">
        <v>18</v>
      </c>
      <c r="C165" s="1">
        <v>18</v>
      </c>
      <c r="D165" s="5">
        <f t="shared" si="12"/>
        <v>100</v>
      </c>
      <c r="E165" s="1">
        <f>VLOOKUP(A165,temporalBoundaries!$A$2:$G$500,2,FALSE())</f>
        <v>1227</v>
      </c>
      <c r="F165" s="1">
        <f>VLOOKUP(A165,temporalBoundaries!$A$2:$G$500,3,FALSE())</f>
        <v>1526</v>
      </c>
      <c r="G165" s="1">
        <f t="shared" si="13"/>
        <v>299</v>
      </c>
      <c r="H165" s="1">
        <f t="shared" si="14"/>
        <v>0.059999999999999998</v>
      </c>
      <c r="I165" s="1">
        <f>VLOOKUP($A165,temporalBoundaries!$A$1:$E$470,4,FALSE())</f>
        <v>12270430</v>
      </c>
      <c r="J165" s="1">
        <f>VLOOKUP($A165,temporalBoundaries!$A$1:$E$470,5,FALSE())</f>
        <v>15260626</v>
      </c>
    </row>
    <row r="166" ht="15" hidden="1">
      <c r="A166" s="1" t="s">
        <v>1499</v>
      </c>
      <c r="B166" s="1">
        <v>18</v>
      </c>
      <c r="C166" s="1">
        <v>0</v>
      </c>
      <c r="D166" s="5">
        <f t="shared" si="12"/>
        <v>0</v>
      </c>
      <c r="E166" s="1">
        <f>VLOOKUP(A166,temporalBoundaries!$A$2:$G$500,2,FALSE())</f>
        <v>1238</v>
      </c>
      <c r="F166" s="1">
        <f>VLOOKUP(A166,temporalBoundaries!$A$2:$G$500,3,FALSE())</f>
        <v>1392</v>
      </c>
      <c r="G166" s="1">
        <f t="shared" si="13"/>
        <v>154</v>
      </c>
      <c r="H166" s="1">
        <f t="shared" si="14"/>
        <v>0.11612903225806499</v>
      </c>
      <c r="I166" s="1">
        <f>VLOOKUP($A166,temporalBoundaries!$A$1:$E$470,4,FALSE())</f>
        <v>12380725</v>
      </c>
      <c r="J166" s="1">
        <f>VLOOKUP($A166,temporalBoundaries!$A$1:$E$470,5,FALSE())</f>
        <v>13920222</v>
      </c>
    </row>
    <row r="167" ht="15" hidden="1">
      <c r="A167" s="1" t="s">
        <v>575</v>
      </c>
      <c r="B167" s="1">
        <v>19</v>
      </c>
      <c r="C167" s="1">
        <v>17</v>
      </c>
      <c r="D167" s="5">
        <f t="shared" si="12"/>
        <v>89.473684210526301</v>
      </c>
      <c r="E167" s="1">
        <f>VLOOKUP(A167,temporalBoundaries!$A$2:$G$500,2,FALSE())</f>
        <v>1099</v>
      </c>
      <c r="F167" s="1">
        <f>VLOOKUP(A167,temporalBoundaries!$A$2:$G$500,3,FALSE())</f>
        <v>1658</v>
      </c>
      <c r="G167" s="1">
        <f t="shared" si="13"/>
        <v>559</v>
      </c>
      <c r="H167" s="1">
        <f t="shared" si="14"/>
        <v>0.033928571428571398</v>
      </c>
      <c r="I167" s="1">
        <f>VLOOKUP($A167,temporalBoundaries!$A$1:$E$470,4,FALSE())</f>
        <v>10990125</v>
      </c>
      <c r="J167" s="1">
        <f>VLOOKUP($A167,temporalBoundaries!$A$1:$E$470,5,FALSE())</f>
        <v>16580920</v>
      </c>
    </row>
    <row r="168" ht="15" hidden="1">
      <c r="A168" s="1" t="s">
        <v>715</v>
      </c>
      <c r="B168" s="1">
        <v>19</v>
      </c>
      <c r="C168" s="1">
        <v>19</v>
      </c>
      <c r="D168" s="5">
        <f t="shared" si="12"/>
        <v>100</v>
      </c>
      <c r="E168" s="1">
        <f>VLOOKUP(A168,temporalBoundaries!$A$2:$G$500,2,FALSE())</f>
        <v>1300</v>
      </c>
      <c r="F168" s="1">
        <f>VLOOKUP(A168,temporalBoundaries!$A$2:$G$500,3,FALSE())</f>
        <v>1755</v>
      </c>
      <c r="G168" s="1">
        <f t="shared" si="13"/>
        <v>455</v>
      </c>
      <c r="H168" s="1">
        <f t="shared" si="14"/>
        <v>0.041666666666666699</v>
      </c>
      <c r="I168" s="1">
        <f>VLOOKUP($A168,temporalBoundaries!$A$1:$E$470,4,FALSE())</f>
        <v>13000312</v>
      </c>
      <c r="J168" s="1">
        <f>VLOOKUP($A168,temporalBoundaries!$A$1:$E$470,5,FALSE())</f>
        <v>17550503</v>
      </c>
    </row>
    <row r="169" ht="15" hidden="1">
      <c r="A169" s="1" t="s">
        <v>37</v>
      </c>
      <c r="B169" s="1">
        <v>19</v>
      </c>
      <c r="C169" s="1">
        <v>8</v>
      </c>
      <c r="D169" s="5">
        <f t="shared" si="12"/>
        <v>42.105263157894697</v>
      </c>
      <c r="E169" s="1">
        <f>VLOOKUP(A169,temporalBoundaries!$A$2:$G$500,2,FALSE())</f>
        <v>1247</v>
      </c>
      <c r="F169" s="1">
        <f>VLOOKUP(A169,temporalBoundaries!$A$2:$G$500,3,FALSE())</f>
        <v>1418</v>
      </c>
      <c r="G169" s="1">
        <f t="shared" si="13"/>
        <v>171</v>
      </c>
      <c r="H169" s="1">
        <f t="shared" si="14"/>
        <v>0.11046511627907001</v>
      </c>
      <c r="I169" s="1">
        <f>VLOOKUP($A169,temporalBoundaries!$A$1:$E$470,4,FALSE())</f>
        <v>12479999</v>
      </c>
      <c r="J169" s="1">
        <f>VLOOKUP($A169,temporalBoundaries!$A$1:$E$470,5,FALSE())</f>
        <v>14181011</v>
      </c>
    </row>
    <row r="170" ht="15" hidden="1">
      <c r="A170" s="1" t="s">
        <v>767</v>
      </c>
      <c r="B170" s="1">
        <v>20</v>
      </c>
      <c r="C170" s="1">
        <v>20</v>
      </c>
      <c r="D170" s="5">
        <f t="shared" si="12"/>
        <v>100</v>
      </c>
      <c r="E170" s="1">
        <f>VLOOKUP(A170,temporalBoundaries!$A$2:$G$500,2,FALSE())</f>
        <v>1338</v>
      </c>
      <c r="F170" s="1">
        <f>VLOOKUP(A170,temporalBoundaries!$A$2:$G$500,3,FALSE())</f>
        <v>1772</v>
      </c>
      <c r="G170" s="1">
        <f t="shared" si="13"/>
        <v>434</v>
      </c>
      <c r="H170" s="1">
        <f t="shared" si="14"/>
        <v>0.045977011494252901</v>
      </c>
      <c r="I170" s="1">
        <f>VLOOKUP($A170,temporalBoundaries!$A$1:$E$470,4,FALSE())</f>
        <v>13380325</v>
      </c>
      <c r="J170" s="1">
        <f>VLOOKUP($A170,temporalBoundaries!$A$1:$E$470,5,FALSE())</f>
        <v>17720309</v>
      </c>
    </row>
    <row r="171" ht="15" hidden="1">
      <c r="A171" s="1" t="s">
        <v>1387</v>
      </c>
      <c r="B171" s="1">
        <v>20</v>
      </c>
      <c r="C171" s="1">
        <v>20</v>
      </c>
      <c r="D171" s="5">
        <f t="shared" si="12"/>
        <v>100</v>
      </c>
      <c r="E171" s="1">
        <f>VLOOKUP(A171,temporalBoundaries!$A$2:$G$500,2,FALSE())</f>
        <v>1390</v>
      </c>
      <c r="F171" s="1">
        <f>VLOOKUP(A171,temporalBoundaries!$A$2:$G$500,3,FALSE())</f>
        <v>1701</v>
      </c>
      <c r="G171" s="1">
        <f t="shared" si="13"/>
        <v>311</v>
      </c>
      <c r="H171" s="1">
        <f t="shared" si="14"/>
        <v>0.064102564102564097</v>
      </c>
      <c r="I171" s="1">
        <f>VLOOKUP($A171,temporalBoundaries!$A$1:$E$470,4,FALSE())</f>
        <v>13900110</v>
      </c>
      <c r="J171" s="1">
        <f>VLOOKUP($A171,temporalBoundaries!$A$1:$E$470,5,FALSE())</f>
        <v>17019999</v>
      </c>
    </row>
    <row r="172" ht="15" hidden="1">
      <c r="A172" s="1" t="s">
        <v>61</v>
      </c>
      <c r="B172" s="1">
        <v>20</v>
      </c>
      <c r="C172" s="1">
        <v>20</v>
      </c>
      <c r="D172" s="5">
        <f t="shared" si="12"/>
        <v>100</v>
      </c>
      <c r="E172" s="1">
        <f>VLOOKUP(A172,temporalBoundaries!$A$2:$G$500,2,FALSE())</f>
        <v>1479</v>
      </c>
      <c r="F172" s="1">
        <f>VLOOKUP(A172,temporalBoundaries!$A$2:$G$500,3,FALSE())</f>
        <v>1780</v>
      </c>
      <c r="G172" s="1">
        <f t="shared" si="13"/>
        <v>301</v>
      </c>
      <c r="H172" s="1">
        <f t="shared" si="14"/>
        <v>0.066225165562913899</v>
      </c>
      <c r="I172" s="1">
        <f>VLOOKUP($A172,temporalBoundaries!$A$1:$E$470,4,FALSE())</f>
        <v>14790124</v>
      </c>
      <c r="J172" s="1">
        <f>VLOOKUP($A172,temporalBoundaries!$A$1:$E$470,5,FALSE())</f>
        <v>17800115</v>
      </c>
    </row>
    <row r="173" ht="15" hidden="1">
      <c r="A173" s="1" t="s">
        <v>1371</v>
      </c>
      <c r="B173" s="1">
        <v>20</v>
      </c>
      <c r="C173" s="1">
        <v>20</v>
      </c>
      <c r="D173" s="5">
        <f t="shared" si="12"/>
        <v>100</v>
      </c>
      <c r="E173" s="1">
        <f>VLOOKUP(A173,temporalBoundaries!$A$2:$G$500,2,FALSE())</f>
        <v>1075</v>
      </c>
      <c r="F173" s="1">
        <f>VLOOKUP(A173,temporalBoundaries!$A$2:$G$500,3,FALSE())</f>
        <v>1298</v>
      </c>
      <c r="G173" s="1">
        <f t="shared" si="13"/>
        <v>223</v>
      </c>
      <c r="H173" s="1">
        <f t="shared" si="14"/>
        <v>0.089285714285714302</v>
      </c>
      <c r="I173" s="1">
        <f>VLOOKUP($A173,temporalBoundaries!$A$1:$E$470,4,FALSE())</f>
        <v>10750212</v>
      </c>
      <c r="J173" s="1">
        <f>VLOOKUP($A173,temporalBoundaries!$A$1:$E$470,5,FALSE())</f>
        <v>12980810</v>
      </c>
    </row>
    <row r="174" ht="15" hidden="1">
      <c r="A174" s="1" t="s">
        <v>907</v>
      </c>
      <c r="B174" s="1">
        <v>20</v>
      </c>
      <c r="C174" s="1">
        <v>20</v>
      </c>
      <c r="D174" s="5">
        <f t="shared" si="12"/>
        <v>100</v>
      </c>
      <c r="E174" s="1">
        <f>VLOOKUP(A174,temporalBoundaries!$A$2:$G$500,2,FALSE())</f>
        <v>1342</v>
      </c>
      <c r="F174" s="1">
        <f>VLOOKUP(A174,temporalBoundaries!$A$2:$G$500,3,FALSE())</f>
        <v>1455</v>
      </c>
      <c r="G174" s="1">
        <f t="shared" si="13"/>
        <v>113</v>
      </c>
      <c r="H174" s="1">
        <f t="shared" si="14"/>
        <v>0.175438596491228</v>
      </c>
      <c r="I174" s="1">
        <f>VLOOKUP($A174,temporalBoundaries!$A$1:$E$470,4,FALSE())</f>
        <v>13420207</v>
      </c>
      <c r="J174" s="1">
        <f>VLOOKUP($A174,temporalBoundaries!$A$1:$E$470,5,FALSE())</f>
        <v>14550827</v>
      </c>
    </row>
    <row r="175" ht="15" hidden="1">
      <c r="A175" s="1" t="s">
        <v>631</v>
      </c>
      <c r="B175" s="1">
        <v>21</v>
      </c>
      <c r="C175" s="1">
        <v>20</v>
      </c>
      <c r="D175" s="5">
        <f t="shared" si="12"/>
        <v>95.238095238095198</v>
      </c>
      <c r="E175" s="1">
        <f>VLOOKUP(A175,temporalBoundaries!$A$2:$G$500,2,FALSE())</f>
        <v>1422</v>
      </c>
      <c r="F175" s="1">
        <f>VLOOKUP(A175,temporalBoundaries!$A$2:$G$500,3,FALSE())</f>
        <v>1761</v>
      </c>
      <c r="G175" s="1">
        <f t="shared" si="13"/>
        <v>339</v>
      </c>
      <c r="H175" s="1">
        <f t="shared" si="14"/>
        <v>0.061764705882352902</v>
      </c>
      <c r="I175" s="1">
        <f>VLOOKUP($A175,temporalBoundaries!$A$1:$E$470,4,FALSE())</f>
        <v>14220503</v>
      </c>
      <c r="J175" s="1">
        <f>VLOOKUP($A175,temporalBoundaries!$A$1:$E$470,5,FALSE())</f>
        <v>17610922</v>
      </c>
    </row>
    <row r="176" ht="15" hidden="1">
      <c r="A176" s="1" t="s">
        <v>1007</v>
      </c>
      <c r="B176" s="1">
        <v>21</v>
      </c>
      <c r="C176" s="1">
        <v>21</v>
      </c>
      <c r="D176" s="5">
        <f t="shared" si="12"/>
        <v>100</v>
      </c>
      <c r="E176" s="1">
        <f>VLOOKUP(A176,temporalBoundaries!$A$2:$G$500,2,FALSE())</f>
        <v>1430</v>
      </c>
      <c r="F176" s="1">
        <f>VLOOKUP(A176,temporalBoundaries!$A$2:$G$500,3,FALSE())</f>
        <v>1635</v>
      </c>
      <c r="G176" s="1">
        <f t="shared" si="13"/>
        <v>205</v>
      </c>
      <c r="H176" s="1">
        <f t="shared" si="14"/>
        <v>0.101941747572816</v>
      </c>
      <c r="I176" s="1">
        <f>VLOOKUP($A176,temporalBoundaries!$A$1:$E$470,4,FALSE())</f>
        <v>14301130</v>
      </c>
      <c r="J176" s="1">
        <f>VLOOKUP($A176,temporalBoundaries!$A$1:$E$470,5,FALSE())</f>
        <v>16350928</v>
      </c>
    </row>
    <row r="177" ht="15" hidden="1">
      <c r="A177" s="1" t="s">
        <v>1551</v>
      </c>
      <c r="B177" s="1">
        <v>22</v>
      </c>
      <c r="C177" s="1">
        <v>0</v>
      </c>
      <c r="D177" s="5">
        <f t="shared" si="12"/>
        <v>0</v>
      </c>
      <c r="E177" s="1">
        <f>VLOOKUP(A177,temporalBoundaries!$A$2:$G$500,2,FALSE())</f>
        <v>1078</v>
      </c>
      <c r="F177" s="1">
        <f>VLOOKUP(A177,temporalBoundaries!$A$2:$G$500,3,FALSE())</f>
        <v>1396</v>
      </c>
      <c r="G177" s="1">
        <f t="shared" si="13"/>
        <v>318</v>
      </c>
      <c r="H177" s="1">
        <f t="shared" si="14"/>
        <v>0.068965517241379296</v>
      </c>
      <c r="I177" s="1">
        <f>VLOOKUP($A177,temporalBoundaries!$A$1:$E$470,4,FALSE())</f>
        <v>10780827</v>
      </c>
      <c r="J177" s="1">
        <f>VLOOKUP($A177,temporalBoundaries!$A$1:$E$470,5,FALSE())</f>
        <v>13960221</v>
      </c>
    </row>
    <row r="178" ht="15" hidden="1">
      <c r="A178" s="1" t="s">
        <v>429</v>
      </c>
      <c r="B178" s="1">
        <v>22</v>
      </c>
      <c r="C178" s="1">
        <v>1</v>
      </c>
      <c r="D178" s="5">
        <f t="shared" si="12"/>
        <v>4.5454545454545503</v>
      </c>
      <c r="E178" s="1">
        <f>VLOOKUP(A178,temporalBoundaries!$A$2:$G$500,2,FALSE())</f>
        <v>1142</v>
      </c>
      <c r="F178" s="1">
        <f>VLOOKUP(A178,temporalBoundaries!$A$2:$G$500,3,FALSE())</f>
        <v>1397</v>
      </c>
      <c r="G178" s="1">
        <f t="shared" si="13"/>
        <v>255</v>
      </c>
      <c r="H178" s="1">
        <f t="shared" si="14"/>
        <v>0.0859375</v>
      </c>
      <c r="I178" s="1">
        <f>VLOOKUP($A178,temporalBoundaries!$A$1:$E$470,4,FALSE())</f>
        <v>11421231</v>
      </c>
      <c r="J178" s="1">
        <f>VLOOKUP($A178,temporalBoundaries!$A$1:$E$470,5,FALSE())</f>
        <v>13970627</v>
      </c>
    </row>
    <row r="179" ht="15" hidden="1">
      <c r="A179" s="1" t="s">
        <v>1027</v>
      </c>
      <c r="B179" s="1">
        <v>22</v>
      </c>
      <c r="C179" s="1">
        <v>22</v>
      </c>
      <c r="D179" s="5">
        <f t="shared" si="12"/>
        <v>100</v>
      </c>
      <c r="E179" s="1">
        <f>VLOOKUP(A179,temporalBoundaries!$A$2:$G$500,2,FALSE())</f>
        <v>1272</v>
      </c>
      <c r="F179" s="1">
        <f>VLOOKUP(A179,temporalBoundaries!$A$2:$G$500,3,FALSE())</f>
        <v>1424</v>
      </c>
      <c r="G179" s="1">
        <f t="shared" si="13"/>
        <v>152</v>
      </c>
      <c r="H179" s="1">
        <f t="shared" si="14"/>
        <v>0.14379084967320299</v>
      </c>
      <c r="I179" s="1">
        <f>VLOOKUP($A179,temporalBoundaries!$A$1:$E$470,4,FALSE())</f>
        <v>12720521</v>
      </c>
      <c r="J179" s="1">
        <f>VLOOKUP($A179,temporalBoundaries!$A$1:$E$470,5,FALSE())</f>
        <v>14240214</v>
      </c>
    </row>
    <row r="180" ht="15" hidden="1">
      <c r="A180" s="1" t="s">
        <v>397</v>
      </c>
      <c r="B180" s="1">
        <v>23</v>
      </c>
      <c r="C180" s="1">
        <v>0</v>
      </c>
      <c r="D180" s="5">
        <f t="shared" si="12"/>
        <v>0</v>
      </c>
      <c r="E180" s="1">
        <f>VLOOKUP(A180,temporalBoundaries!$A$2:$G$500,2,FALSE())</f>
        <v>1253</v>
      </c>
      <c r="F180" s="1">
        <f>VLOOKUP(A180,temporalBoundaries!$A$2:$G$500,3,FALSE())</f>
        <v>1568</v>
      </c>
      <c r="G180" s="1">
        <f t="shared" si="13"/>
        <v>315</v>
      </c>
      <c r="H180" s="1">
        <f t="shared" si="14"/>
        <v>0.072784810126582306</v>
      </c>
      <c r="I180" s="1">
        <f>VLOOKUP($A180,temporalBoundaries!$A$1:$E$470,4,FALSE())</f>
        <v>12530602</v>
      </c>
      <c r="J180" s="1">
        <f>VLOOKUP($A180,temporalBoundaries!$A$1:$E$470,5,FALSE())</f>
        <v>15680225</v>
      </c>
    </row>
    <row r="181" ht="15" hidden="1">
      <c r="A181" s="1" t="s">
        <v>1411</v>
      </c>
      <c r="B181" s="1">
        <v>23</v>
      </c>
      <c r="C181" s="1">
        <v>22</v>
      </c>
      <c r="D181" s="5">
        <f t="shared" si="12"/>
        <v>95.652173913043498</v>
      </c>
      <c r="E181" s="1">
        <f>VLOOKUP(A181,temporalBoundaries!$A$2:$G$500,2,FALSE())</f>
        <v>1207</v>
      </c>
      <c r="F181" s="1">
        <f>VLOOKUP(A181,temporalBoundaries!$A$2:$G$500,3,FALSE())</f>
        <v>1486</v>
      </c>
      <c r="G181" s="1">
        <f t="shared" si="13"/>
        <v>279</v>
      </c>
      <c r="H181" s="1">
        <f t="shared" si="14"/>
        <v>0.082142857142857101</v>
      </c>
      <c r="I181" s="1">
        <f>VLOOKUP($A181,temporalBoundaries!$A$1:$E$470,4,FALSE())</f>
        <v>12070226</v>
      </c>
      <c r="J181" s="1">
        <f>VLOOKUP($A181,temporalBoundaries!$A$1:$E$470,5,FALSE())</f>
        <v>14861017</v>
      </c>
    </row>
    <row r="182" ht="15" hidden="1">
      <c r="A182" s="1" t="s">
        <v>835</v>
      </c>
      <c r="B182" s="1">
        <v>23</v>
      </c>
      <c r="C182" s="1">
        <v>23</v>
      </c>
      <c r="D182" s="5">
        <f t="shared" si="12"/>
        <v>100</v>
      </c>
      <c r="E182" s="1">
        <f>VLOOKUP(A182,temporalBoundaries!$A$2:$G$500,2,FALSE())</f>
        <v>1660</v>
      </c>
      <c r="F182" s="1">
        <f>VLOOKUP(A182,temporalBoundaries!$A$2:$G$500,3,FALSE())</f>
        <v>1781</v>
      </c>
      <c r="G182" s="1">
        <f t="shared" si="13"/>
        <v>121</v>
      </c>
      <c r="H182" s="1">
        <f t="shared" si="14"/>
        <v>0.188524590163934</v>
      </c>
      <c r="I182" s="1">
        <f>VLOOKUP($A182,temporalBoundaries!$A$1:$E$470,4,FALSE())</f>
        <v>16600417</v>
      </c>
      <c r="J182" s="1">
        <f>VLOOKUP($A182,temporalBoundaries!$A$1:$E$470,5,FALSE())</f>
        <v>17811016</v>
      </c>
    </row>
    <row r="183" ht="15" hidden="1">
      <c r="A183" s="1" t="s">
        <v>1767</v>
      </c>
      <c r="B183" s="1">
        <v>23</v>
      </c>
      <c r="C183" s="1">
        <v>0</v>
      </c>
      <c r="D183" s="5">
        <f t="shared" si="12"/>
        <v>0</v>
      </c>
      <c r="E183" s="1">
        <f>VLOOKUP(A183,temporalBoundaries!$A$2:$G$500,2,FALSE())</f>
        <v>1313</v>
      </c>
      <c r="F183" s="1">
        <f>VLOOKUP(A183,temporalBoundaries!$A$2:$G$500,3,FALSE())</f>
        <v>1394</v>
      </c>
      <c r="G183" s="1">
        <f t="shared" si="13"/>
        <v>81</v>
      </c>
      <c r="H183" s="1">
        <f t="shared" si="14"/>
        <v>0.28048780487804897</v>
      </c>
      <c r="I183" s="1">
        <f>VLOOKUP($A183,temporalBoundaries!$A$1:$E$470,4,FALSE())</f>
        <v>13131201</v>
      </c>
      <c r="J183" s="1">
        <f>VLOOKUP($A183,temporalBoundaries!$A$1:$E$470,5,FALSE())</f>
        <v>13941220</v>
      </c>
    </row>
    <row r="184" ht="15" hidden="1">
      <c r="A184" s="1" t="s">
        <v>1859</v>
      </c>
      <c r="B184" s="1">
        <v>23</v>
      </c>
      <c r="C184" s="1">
        <v>0</v>
      </c>
      <c r="D184" s="5">
        <f t="shared" si="12"/>
        <v>0</v>
      </c>
      <c r="E184" s="1">
        <f>VLOOKUP(A184,temporalBoundaries!$A$2:$G$500,2,FALSE())</f>
        <v>1310</v>
      </c>
      <c r="F184" s="1">
        <f>VLOOKUP(A184,temporalBoundaries!$A$2:$G$500,3,FALSE())</f>
        <v>1383</v>
      </c>
      <c r="G184" s="1">
        <f t="shared" si="13"/>
        <v>73</v>
      </c>
      <c r="H184" s="1">
        <f t="shared" si="14"/>
        <v>0.31081081081081102</v>
      </c>
      <c r="I184" s="1">
        <f>VLOOKUP($A184,temporalBoundaries!$A$1:$E$470,4,FALSE())</f>
        <v>13100927</v>
      </c>
      <c r="J184" s="1">
        <f>VLOOKUP($A184,temporalBoundaries!$A$1:$E$470,5,FALSE())</f>
        <v>13830806</v>
      </c>
    </row>
    <row r="185" ht="15" hidden="1">
      <c r="A185" s="1" t="s">
        <v>903</v>
      </c>
      <c r="B185" s="1">
        <v>23</v>
      </c>
      <c r="C185" s="1">
        <v>23</v>
      </c>
      <c r="D185" s="5">
        <f t="shared" si="12"/>
        <v>100</v>
      </c>
      <c r="E185" s="1">
        <f>VLOOKUP(A185,temporalBoundaries!$A$2:$G$500,2,FALSE())</f>
        <v>1349</v>
      </c>
      <c r="F185" s="1">
        <f>VLOOKUP(A185,temporalBoundaries!$A$2:$G$500,3,FALSE())</f>
        <v>1406</v>
      </c>
      <c r="G185" s="1">
        <f t="shared" si="13"/>
        <v>57</v>
      </c>
      <c r="H185" s="1">
        <f t="shared" si="14"/>
        <v>0.39655172413793099</v>
      </c>
      <c r="I185" s="1">
        <f>VLOOKUP($A185,temporalBoundaries!$A$1:$E$470,4,FALSE())</f>
        <v>13490829</v>
      </c>
      <c r="J185" s="1">
        <f>VLOOKUP($A185,temporalBoundaries!$A$1:$E$470,5,FALSE())</f>
        <v>14060211</v>
      </c>
    </row>
    <row r="186" ht="15" hidden="1">
      <c r="A186" s="1" t="s">
        <v>743</v>
      </c>
      <c r="B186" s="1">
        <v>24</v>
      </c>
      <c r="C186" s="1">
        <v>24</v>
      </c>
      <c r="D186" s="5">
        <f t="shared" si="12"/>
        <v>100</v>
      </c>
      <c r="E186" s="1">
        <f>VLOOKUP(A186,temporalBoundaries!$A$2:$G$500,2,FALSE())</f>
        <v>1289</v>
      </c>
      <c r="F186" s="1">
        <f>VLOOKUP(A186,temporalBoundaries!$A$2:$G$500,3,FALSE())</f>
        <v>1754</v>
      </c>
      <c r="G186" s="1">
        <f t="shared" si="13"/>
        <v>465</v>
      </c>
      <c r="H186" s="1">
        <f t="shared" si="14"/>
        <v>0.051502145922746802</v>
      </c>
      <c r="I186" s="1">
        <f>VLOOKUP($A186,temporalBoundaries!$A$1:$E$470,4,FALSE())</f>
        <v>12890503</v>
      </c>
      <c r="J186" s="1">
        <f>VLOOKUP($A186,temporalBoundaries!$A$1:$E$470,5,FALSE())</f>
        <v>17541101</v>
      </c>
    </row>
    <row r="187" ht="15" hidden="1">
      <c r="A187" s="1" t="s">
        <v>1679</v>
      </c>
      <c r="B187" s="1">
        <v>25</v>
      </c>
      <c r="C187" s="1">
        <v>0</v>
      </c>
      <c r="D187" s="5">
        <f t="shared" si="12"/>
        <v>0</v>
      </c>
      <c r="E187" s="1">
        <f>VLOOKUP(A187,temporalBoundaries!$A$2:$G$500,2,FALSE())</f>
        <v>1075</v>
      </c>
      <c r="F187" s="1">
        <f>VLOOKUP(A187,temporalBoundaries!$A$2:$G$500,3,FALSE())</f>
        <v>1390</v>
      </c>
      <c r="G187" s="1">
        <f t="shared" si="13"/>
        <v>315</v>
      </c>
      <c r="H187" s="1">
        <f t="shared" si="14"/>
        <v>0.079113924050632903</v>
      </c>
      <c r="I187" s="1">
        <f>VLOOKUP($A187,temporalBoundaries!$A$1:$E$470,4,FALSE())</f>
        <v>10751001</v>
      </c>
      <c r="J187" s="1">
        <f>VLOOKUP($A187,temporalBoundaries!$A$1:$E$470,5,FALSE())</f>
        <v>13900412</v>
      </c>
    </row>
    <row r="188" ht="15" hidden="1">
      <c r="A188" s="1" t="s">
        <v>1563</v>
      </c>
      <c r="B188" s="1">
        <v>25</v>
      </c>
      <c r="C188" s="1">
        <v>0</v>
      </c>
      <c r="D188" s="5">
        <f t="shared" si="12"/>
        <v>0</v>
      </c>
      <c r="E188" s="1">
        <f>VLOOKUP(A188,temporalBoundaries!$A$2:$G$500,2,FALSE())</f>
        <v>1292</v>
      </c>
      <c r="F188" s="1">
        <f>VLOOKUP(A188,temporalBoundaries!$A$2:$G$500,3,FALSE())</f>
        <v>1392</v>
      </c>
      <c r="G188" s="1">
        <f t="shared" si="13"/>
        <v>100</v>
      </c>
      <c r="H188" s="1">
        <f t="shared" si="14"/>
        <v>0.24752475247524799</v>
      </c>
      <c r="I188" s="1">
        <f>VLOOKUP($A188,temporalBoundaries!$A$1:$E$470,4,FALSE())</f>
        <v>12921124</v>
      </c>
      <c r="J188" s="1">
        <f>VLOOKUP($A188,temporalBoundaries!$A$1:$E$470,5,FALSE())</f>
        <v>13921026</v>
      </c>
    </row>
    <row r="189" ht="15" hidden="1">
      <c r="A189" s="1" t="s">
        <v>1915</v>
      </c>
      <c r="B189" s="1">
        <v>25</v>
      </c>
      <c r="C189" s="1">
        <v>0</v>
      </c>
      <c r="D189" s="5">
        <f t="shared" si="12"/>
        <v>0</v>
      </c>
      <c r="E189" s="1">
        <f>VLOOKUP(A189,temporalBoundaries!$A$2:$G$500,2,FALSE())</f>
        <v>1309</v>
      </c>
      <c r="F189" s="1">
        <f>VLOOKUP(A189,temporalBoundaries!$A$2:$G$500,3,FALSE())</f>
        <v>1398</v>
      </c>
      <c r="G189" s="1">
        <f t="shared" si="13"/>
        <v>89</v>
      </c>
      <c r="H189" s="1">
        <f t="shared" si="14"/>
        <v>0.27777777777777801</v>
      </c>
      <c r="I189" s="1">
        <f>VLOOKUP($A189,temporalBoundaries!$A$1:$E$470,4,FALSE())</f>
        <v>13090105</v>
      </c>
      <c r="J189" s="1">
        <f>VLOOKUP($A189,temporalBoundaries!$A$1:$E$470,5,FALSE())</f>
        <v>13980406</v>
      </c>
    </row>
    <row r="190" ht="15" hidden="1">
      <c r="A190" s="1" t="s">
        <v>1967</v>
      </c>
      <c r="B190" s="1">
        <v>25</v>
      </c>
      <c r="C190" s="1">
        <v>25</v>
      </c>
      <c r="D190" s="5">
        <f t="shared" si="12"/>
        <v>100</v>
      </c>
      <c r="E190" s="1">
        <f>VLOOKUP(A190,temporalBoundaries!$A$2:$G$500,2,FALSE())</f>
        <v>1452</v>
      </c>
      <c r="F190" s="1">
        <f>VLOOKUP(A190,temporalBoundaries!$A$2:$G$500,3,FALSE())</f>
        <v>1521</v>
      </c>
      <c r="G190" s="1">
        <f t="shared" si="13"/>
        <v>69</v>
      </c>
      <c r="H190" s="1">
        <f t="shared" si="14"/>
        <v>0.35714285714285698</v>
      </c>
      <c r="I190" s="1">
        <f>VLOOKUP($A190,temporalBoundaries!$A$1:$E$470,4,FALSE())</f>
        <v>14520720</v>
      </c>
      <c r="J190" s="1">
        <f>VLOOKUP($A190,temporalBoundaries!$A$1:$E$470,5,FALSE())</f>
        <v>15211226</v>
      </c>
    </row>
    <row r="191" ht="15" hidden="1">
      <c r="A191" s="1" t="s">
        <v>1363</v>
      </c>
      <c r="B191" s="1">
        <v>26</v>
      </c>
      <c r="C191" s="1">
        <v>26</v>
      </c>
      <c r="D191" s="5">
        <f t="shared" si="12"/>
        <v>100</v>
      </c>
      <c r="E191" s="1">
        <f>VLOOKUP(A191,temporalBoundaries!$A$2:$G$500,2,FALSE())</f>
        <v>1007</v>
      </c>
      <c r="F191" s="1">
        <f>VLOOKUP(A191,temporalBoundaries!$A$2:$G$500,3,FALSE())</f>
        <v>1486</v>
      </c>
      <c r="G191" s="1">
        <f t="shared" si="13"/>
        <v>479</v>
      </c>
      <c r="H191" s="1">
        <f t="shared" si="14"/>
        <v>0.054166666666666703</v>
      </c>
      <c r="I191" s="1">
        <f>VLOOKUP($A191,temporalBoundaries!$A$1:$E$470,4,FALSE())</f>
        <v>10070423</v>
      </c>
      <c r="J191" s="1">
        <f>VLOOKUP($A191,temporalBoundaries!$A$1:$E$470,5,FALSE())</f>
        <v>14860109</v>
      </c>
    </row>
    <row r="192" ht="15" hidden="1">
      <c r="A192" s="1" t="s">
        <v>707</v>
      </c>
      <c r="B192" s="1">
        <v>26</v>
      </c>
      <c r="C192" s="1">
        <v>26</v>
      </c>
      <c r="D192" s="5">
        <f t="shared" si="12"/>
        <v>100</v>
      </c>
      <c r="E192" s="1">
        <f>VLOOKUP(A192,temporalBoundaries!$A$2:$G$500,2,FALSE())</f>
        <v>1312</v>
      </c>
      <c r="F192" s="1">
        <f>VLOOKUP(A192,temporalBoundaries!$A$2:$G$500,3,FALSE())</f>
        <v>1747</v>
      </c>
      <c r="G192" s="1">
        <f t="shared" si="13"/>
        <v>435</v>
      </c>
      <c r="H192" s="1">
        <f t="shared" si="14"/>
        <v>0.059633027522935797</v>
      </c>
      <c r="I192" s="1">
        <f>VLOOKUP($A192,temporalBoundaries!$A$1:$E$470,4,FALSE())</f>
        <v>13120617</v>
      </c>
      <c r="J192" s="1">
        <f>VLOOKUP($A192,temporalBoundaries!$A$1:$E$470,5,FALSE())</f>
        <v>17471107</v>
      </c>
    </row>
    <row r="193" ht="15" hidden="1">
      <c r="A193" s="1" t="s">
        <v>651</v>
      </c>
      <c r="B193" s="1">
        <v>26</v>
      </c>
      <c r="C193" s="1">
        <v>25</v>
      </c>
      <c r="D193" s="5">
        <f t="shared" si="12"/>
        <v>96.153846153846203</v>
      </c>
      <c r="E193" s="1">
        <f>VLOOKUP(A193,temporalBoundaries!$A$2:$G$500,2,FALSE())</f>
        <v>1381</v>
      </c>
      <c r="F193" s="1">
        <f>VLOOKUP(A193,temporalBoundaries!$A$2:$G$500,3,FALSE())</f>
        <v>1777</v>
      </c>
      <c r="G193" s="1">
        <f t="shared" si="13"/>
        <v>396</v>
      </c>
      <c r="H193" s="1">
        <f t="shared" si="14"/>
        <v>0.065491183879093195</v>
      </c>
      <c r="I193" s="1">
        <f>VLOOKUP($A193,temporalBoundaries!$A$1:$E$470,4,FALSE())</f>
        <v>13810827</v>
      </c>
      <c r="J193" s="1">
        <f>VLOOKUP($A193,temporalBoundaries!$A$1:$E$470,5,FALSE())</f>
        <v>17770808</v>
      </c>
    </row>
    <row r="194" ht="15" hidden="1">
      <c r="A194" s="1" t="s">
        <v>1595</v>
      </c>
      <c r="B194" s="1">
        <v>26</v>
      </c>
      <c r="C194" s="1">
        <v>0</v>
      </c>
      <c r="D194" s="5">
        <f t="shared" si="12"/>
        <v>0</v>
      </c>
      <c r="E194" s="1">
        <f>VLOOKUP(A194,temporalBoundaries!$A$2:$G$500,2,FALSE())</f>
        <v>1207</v>
      </c>
      <c r="F194" s="1">
        <f>VLOOKUP(A194,temporalBoundaries!$A$2:$G$500,3,FALSE())</f>
        <v>1393</v>
      </c>
      <c r="G194" s="1">
        <f t="shared" si="13"/>
        <v>186</v>
      </c>
      <c r="H194" s="1">
        <f t="shared" si="14"/>
        <v>0.13903743315507999</v>
      </c>
      <c r="I194" s="1">
        <f>VLOOKUP($A194,temporalBoundaries!$A$1:$E$470,4,FALSE())</f>
        <v>12070403</v>
      </c>
      <c r="J194" s="1">
        <f>VLOOKUP($A194,temporalBoundaries!$A$1:$E$470,5,FALSE())</f>
        <v>13930727</v>
      </c>
    </row>
    <row r="195" ht="15" hidden="1">
      <c r="A195" s="1" t="s">
        <v>1423</v>
      </c>
      <c r="B195" s="1">
        <v>26</v>
      </c>
      <c r="C195" s="1">
        <v>26</v>
      </c>
      <c r="D195" s="5">
        <f t="shared" si="12"/>
        <v>100</v>
      </c>
      <c r="E195" s="1">
        <f>VLOOKUP(A195,temporalBoundaries!$A$2:$G$500,2,FALSE())</f>
        <v>1668</v>
      </c>
      <c r="F195" s="1">
        <f>VLOOKUP(A195,temporalBoundaries!$A$2:$G$500,3,FALSE())</f>
        <v>1834</v>
      </c>
      <c r="G195" s="1">
        <f t="shared" si="13"/>
        <v>166</v>
      </c>
      <c r="H195" s="1">
        <f t="shared" si="14"/>
        <v>0.155688622754491</v>
      </c>
      <c r="I195" s="1">
        <f>VLOOKUP($A195,temporalBoundaries!$A$1:$E$470,4,FALSE())</f>
        <v>16680415</v>
      </c>
      <c r="J195" s="1">
        <f>VLOOKUP($A195,temporalBoundaries!$A$1:$E$470,5,FALSE())</f>
        <v>18340525</v>
      </c>
    </row>
    <row r="196" ht="15" hidden="1">
      <c r="A196" s="1" t="s">
        <v>417</v>
      </c>
      <c r="B196" s="1">
        <v>27</v>
      </c>
      <c r="C196" s="1">
        <v>0</v>
      </c>
      <c r="D196" s="5">
        <f t="shared" si="12"/>
        <v>0</v>
      </c>
      <c r="E196" s="1">
        <f>VLOOKUP(A196,temporalBoundaries!$A$2:$G$500,2,FALSE())</f>
        <v>1181</v>
      </c>
      <c r="F196" s="1">
        <f>VLOOKUP(A196,temporalBoundaries!$A$2:$G$500,3,FALSE())</f>
        <v>1453</v>
      </c>
      <c r="G196" s="1">
        <f t="shared" si="13"/>
        <v>272</v>
      </c>
      <c r="H196" s="1">
        <f t="shared" si="14"/>
        <v>0.098901098901098897</v>
      </c>
      <c r="I196" s="1">
        <f>VLOOKUP($A196,temporalBoundaries!$A$1:$E$470,4,FALSE())</f>
        <v>11811231</v>
      </c>
      <c r="J196" s="1">
        <f>VLOOKUP($A196,temporalBoundaries!$A$1:$E$470,5,FALSE())</f>
        <v>14530117</v>
      </c>
    </row>
    <row r="197" ht="15" hidden="1">
      <c r="A197" s="1" t="s">
        <v>1587</v>
      </c>
      <c r="B197" s="1">
        <v>27</v>
      </c>
      <c r="C197" s="1">
        <v>0</v>
      </c>
      <c r="D197" s="5">
        <f t="shared" si="12"/>
        <v>0</v>
      </c>
      <c r="E197" s="1">
        <f>VLOOKUP(A197,temporalBoundaries!$A$2:$G$500,2,FALSE())</f>
        <v>1132</v>
      </c>
      <c r="F197" s="1">
        <f>VLOOKUP(A197,temporalBoundaries!$A$2:$G$500,3,FALSE())</f>
        <v>1378</v>
      </c>
      <c r="G197" s="1">
        <f t="shared" si="13"/>
        <v>246</v>
      </c>
      <c r="H197" s="1">
        <f t="shared" si="14"/>
        <v>0.109311740890688</v>
      </c>
      <c r="I197" s="1">
        <f>VLOOKUP($A197,temporalBoundaries!$A$1:$E$470,4,FALSE())</f>
        <v>11320626</v>
      </c>
      <c r="J197" s="1">
        <f>VLOOKUP($A197,temporalBoundaries!$A$1:$E$470,5,FALSE())</f>
        <v>13781114</v>
      </c>
    </row>
    <row r="198" ht="15" hidden="1">
      <c r="A198" s="1" t="s">
        <v>927</v>
      </c>
      <c r="B198" s="1">
        <v>27</v>
      </c>
      <c r="C198" s="1">
        <v>27</v>
      </c>
      <c r="D198" s="5">
        <f t="shared" si="12"/>
        <v>100</v>
      </c>
      <c r="E198" s="1">
        <f>VLOOKUP(A198,temporalBoundaries!$A$2:$G$500,2,FALSE())</f>
        <v>1293</v>
      </c>
      <c r="F198" s="1">
        <f>VLOOKUP(A198,temporalBoundaries!$A$2:$G$500,3,FALSE())</f>
        <v>1522</v>
      </c>
      <c r="G198" s="1">
        <f t="shared" si="13"/>
        <v>229</v>
      </c>
      <c r="H198" s="1">
        <f t="shared" si="14"/>
        <v>0.11739130434782601</v>
      </c>
      <c r="I198" s="1">
        <f>VLOOKUP($A198,temporalBoundaries!$A$1:$E$470,4,FALSE())</f>
        <v>12931229</v>
      </c>
      <c r="J198" s="1">
        <f>VLOOKUP($A198,temporalBoundaries!$A$1:$E$470,5,FALSE())</f>
        <v>15221104</v>
      </c>
    </row>
    <row r="199" ht="15" hidden="1">
      <c r="A199" s="1" t="s">
        <v>129</v>
      </c>
      <c r="B199" s="1">
        <v>27</v>
      </c>
      <c r="C199" s="1">
        <v>0</v>
      </c>
      <c r="D199" s="5">
        <f t="shared" si="12"/>
        <v>0</v>
      </c>
      <c r="E199" s="1">
        <f>VLOOKUP(A199,temporalBoundaries!$A$2:$G$500,2,FALSE())</f>
        <v>1249</v>
      </c>
      <c r="F199" s="1">
        <f>VLOOKUP(A199,temporalBoundaries!$A$2:$G$500,3,FALSE())</f>
        <v>1297</v>
      </c>
      <c r="G199" s="1">
        <f t="shared" si="13"/>
        <v>48</v>
      </c>
      <c r="H199" s="1">
        <f t="shared" si="14"/>
        <v>0.55102040816326503</v>
      </c>
      <c r="I199" s="1">
        <f>VLOOKUP($A199,temporalBoundaries!$A$1:$E$470,4,FALSE())</f>
        <v>12491231</v>
      </c>
      <c r="J199" s="1">
        <f>VLOOKUP($A199,temporalBoundaries!$A$1:$E$470,5,FALSE())</f>
        <v>12971231</v>
      </c>
    </row>
    <row r="200" ht="15" hidden="1">
      <c r="A200" s="1" t="s">
        <v>161</v>
      </c>
      <c r="B200" s="1">
        <v>28</v>
      </c>
      <c r="C200" s="1">
        <v>0</v>
      </c>
      <c r="D200" s="5">
        <f t="shared" si="12"/>
        <v>0</v>
      </c>
      <c r="E200" s="1">
        <f>VLOOKUP(A200,temporalBoundaries!$A$2:$G$500,2,FALSE())</f>
        <v>1305</v>
      </c>
      <c r="F200" s="1">
        <f>VLOOKUP(A200,temporalBoundaries!$A$2:$G$500,3,FALSE())</f>
        <v>1771</v>
      </c>
      <c r="G200" s="1">
        <f t="shared" si="13"/>
        <v>466</v>
      </c>
      <c r="H200" s="1">
        <f t="shared" si="14"/>
        <v>0.059957173447537503</v>
      </c>
      <c r="I200" s="1">
        <f>VLOOKUP($A200,temporalBoundaries!$A$1:$E$470,4,FALSE())</f>
        <v>13051217</v>
      </c>
      <c r="J200" s="1">
        <f>VLOOKUP($A200,temporalBoundaries!$A$1:$E$470,5,FALSE())</f>
        <v>17710828</v>
      </c>
    </row>
    <row r="201" ht="15" hidden="1">
      <c r="A201" s="1" t="s">
        <v>1003</v>
      </c>
      <c r="B201" s="1">
        <v>28</v>
      </c>
      <c r="C201" s="1">
        <v>28</v>
      </c>
      <c r="D201" s="5">
        <f t="shared" si="12"/>
        <v>100</v>
      </c>
      <c r="E201" s="1">
        <f>VLOOKUP(A201,temporalBoundaries!$A$2:$G$500,2,FALSE())</f>
        <v>1293</v>
      </c>
      <c r="F201" s="1">
        <f>VLOOKUP(A201,temporalBoundaries!$A$2:$G$500,3,FALSE())</f>
        <v>1697</v>
      </c>
      <c r="G201" s="1">
        <f t="shared" si="13"/>
        <v>404</v>
      </c>
      <c r="H201" s="1">
        <f t="shared" si="14"/>
        <v>0.069135802469135796</v>
      </c>
      <c r="I201" s="1">
        <f>VLOOKUP($A201,temporalBoundaries!$A$1:$E$470,4,FALSE())</f>
        <v>12930226</v>
      </c>
      <c r="J201" s="1">
        <f>VLOOKUP($A201,temporalBoundaries!$A$1:$E$470,5,FALSE())</f>
        <v>16970705</v>
      </c>
    </row>
    <row r="202" ht="15" hidden="1">
      <c r="A202" s="1" t="s">
        <v>45</v>
      </c>
      <c r="B202" s="1">
        <v>28</v>
      </c>
      <c r="C202" s="1">
        <v>8</v>
      </c>
      <c r="D202" s="5">
        <f t="shared" si="12"/>
        <v>28.571428571428601</v>
      </c>
      <c r="E202" s="1">
        <f>VLOOKUP(A202,temporalBoundaries!$A$2:$G$500,2,FALSE())</f>
        <v>1205</v>
      </c>
      <c r="F202" s="1">
        <f>VLOOKUP(A202,temporalBoundaries!$A$2:$G$500,3,FALSE())</f>
        <v>1580</v>
      </c>
      <c r="G202" s="1">
        <f t="shared" si="13"/>
        <v>375</v>
      </c>
      <c r="H202" s="1">
        <f t="shared" si="14"/>
        <v>0.074468085106383003</v>
      </c>
      <c r="I202" s="1">
        <f>VLOOKUP($A202,temporalBoundaries!$A$1:$E$470,4,FALSE())</f>
        <v>12051110</v>
      </c>
      <c r="J202" s="1">
        <f>VLOOKUP($A202,temporalBoundaries!$A$1:$E$470,5,FALSE())</f>
        <v>15800128</v>
      </c>
    </row>
    <row r="203" ht="15" hidden="1">
      <c r="A203" s="1" t="s">
        <v>325</v>
      </c>
      <c r="B203" s="1">
        <v>28</v>
      </c>
      <c r="C203" s="1">
        <v>2</v>
      </c>
      <c r="D203" s="5">
        <f t="shared" si="12"/>
        <v>7.1428571428571397</v>
      </c>
      <c r="E203" s="1">
        <f>VLOOKUP(A203,temporalBoundaries!$A$2:$G$500,2,FALSE())</f>
        <v>1143</v>
      </c>
      <c r="F203" s="1">
        <f>VLOOKUP(A203,temporalBoundaries!$A$2:$G$500,3,FALSE())</f>
        <v>1484</v>
      </c>
      <c r="G203" s="1">
        <f t="shared" si="13"/>
        <v>341</v>
      </c>
      <c r="H203" s="1">
        <f t="shared" si="14"/>
        <v>0.081871345029239803</v>
      </c>
      <c r="I203" s="1">
        <f>VLOOKUP($A203,temporalBoundaries!$A$1:$E$470,4,FALSE())</f>
        <v>11439999</v>
      </c>
      <c r="J203" s="1">
        <f>VLOOKUP($A203,temporalBoundaries!$A$1:$E$470,5,FALSE())</f>
        <v>14840914</v>
      </c>
    </row>
    <row r="204" ht="15" hidden="1">
      <c r="A204" s="1" t="s">
        <v>81</v>
      </c>
      <c r="B204" s="1">
        <v>28</v>
      </c>
      <c r="C204" s="1">
        <v>15</v>
      </c>
      <c r="D204" s="5">
        <f t="shared" si="12"/>
        <v>53.571428571428598</v>
      </c>
      <c r="E204" s="1">
        <f>VLOOKUP(A204,temporalBoundaries!$A$2:$G$500,2,FALSE())</f>
        <v>1436</v>
      </c>
      <c r="F204" s="1">
        <f>VLOOKUP(A204,temporalBoundaries!$A$2:$G$500,3,FALSE())</f>
        <v>1685</v>
      </c>
      <c r="G204" s="1">
        <f t="shared" si="13"/>
        <v>249</v>
      </c>
      <c r="H204" s="1">
        <f t="shared" si="14"/>
        <v>0.112</v>
      </c>
      <c r="I204" s="1">
        <f>VLOOKUP($A204,temporalBoundaries!$A$1:$E$470,4,FALSE())</f>
        <v>14360801</v>
      </c>
      <c r="J204" s="1">
        <f>VLOOKUP($A204,temporalBoundaries!$A$1:$E$470,5,FALSE())</f>
        <v>16851218</v>
      </c>
    </row>
    <row r="205" ht="15" hidden="1">
      <c r="A205" s="1" t="s">
        <v>101</v>
      </c>
      <c r="B205" s="1">
        <v>29</v>
      </c>
      <c r="C205" s="1">
        <v>0</v>
      </c>
      <c r="D205" s="5">
        <f t="shared" si="12"/>
        <v>0</v>
      </c>
      <c r="E205" s="1">
        <f>VLOOKUP(A205,temporalBoundaries!$A$2:$G$500,2,FALSE())</f>
        <v>1268</v>
      </c>
      <c r="F205" s="1">
        <f>VLOOKUP(A205,temporalBoundaries!$A$2:$G$500,3,FALSE())</f>
        <v>1461</v>
      </c>
      <c r="G205" s="1">
        <f t="shared" si="13"/>
        <v>193</v>
      </c>
      <c r="H205" s="1">
        <f t="shared" si="14"/>
        <v>0.149484536082474</v>
      </c>
      <c r="I205" s="1">
        <f>VLOOKUP($A205,temporalBoundaries!$A$1:$E$470,4,FALSE())</f>
        <v>12681231</v>
      </c>
      <c r="J205" s="1">
        <f>VLOOKUP($A205,temporalBoundaries!$A$1:$E$470,5,FALSE())</f>
        <v>14610527</v>
      </c>
    </row>
    <row r="206" ht="15" hidden="1">
      <c r="A206" s="1" t="s">
        <v>1523</v>
      </c>
      <c r="B206" s="1">
        <v>29</v>
      </c>
      <c r="C206" s="1">
        <v>0</v>
      </c>
      <c r="D206" s="5">
        <f t="shared" si="12"/>
        <v>0</v>
      </c>
      <c r="E206" s="1">
        <f>VLOOKUP(A206,temporalBoundaries!$A$2:$G$500,2,FALSE())</f>
        <v>1275</v>
      </c>
      <c r="F206" s="1">
        <f>VLOOKUP(A206,temporalBoundaries!$A$2:$G$500,3,FALSE())</f>
        <v>1398</v>
      </c>
      <c r="G206" s="1">
        <f t="shared" si="13"/>
        <v>123</v>
      </c>
      <c r="H206" s="1">
        <f t="shared" si="14"/>
        <v>0.233870967741935</v>
      </c>
      <c r="I206" s="1">
        <f>VLOOKUP($A206,temporalBoundaries!$A$1:$E$470,4,FALSE())</f>
        <v>12750120</v>
      </c>
      <c r="J206" s="1">
        <f>VLOOKUP($A206,temporalBoundaries!$A$1:$E$470,5,FALSE())</f>
        <v>13980205</v>
      </c>
    </row>
    <row r="207" ht="15" hidden="1">
      <c r="A207" s="1" t="s">
        <v>1639</v>
      </c>
      <c r="B207" s="1">
        <v>29</v>
      </c>
      <c r="C207" s="1">
        <v>0</v>
      </c>
      <c r="D207" s="5">
        <f t="shared" si="12"/>
        <v>0</v>
      </c>
      <c r="E207" s="1">
        <f>VLOOKUP(A207,temporalBoundaries!$A$2:$G$500,2,FALSE())</f>
        <v>1285</v>
      </c>
      <c r="F207" s="1">
        <f>VLOOKUP(A207,temporalBoundaries!$A$2:$G$500,3,FALSE())</f>
        <v>1390</v>
      </c>
      <c r="G207" s="1">
        <f t="shared" si="13"/>
        <v>105</v>
      </c>
      <c r="H207" s="1">
        <f t="shared" si="14"/>
        <v>0.27358490566037702</v>
      </c>
      <c r="I207" s="1">
        <f>VLOOKUP($A207,temporalBoundaries!$A$1:$E$470,4,FALSE())</f>
        <v>12851208</v>
      </c>
      <c r="J207" s="1">
        <f>VLOOKUP($A207,temporalBoundaries!$A$1:$E$470,5,FALSE())</f>
        <v>13900326</v>
      </c>
    </row>
    <row r="208" ht="15" hidden="1">
      <c r="A208" s="1" t="s">
        <v>1347</v>
      </c>
      <c r="B208" s="1">
        <v>30</v>
      </c>
      <c r="C208" s="1">
        <v>30</v>
      </c>
      <c r="D208" s="5">
        <f t="shared" si="12"/>
        <v>100</v>
      </c>
      <c r="E208" s="1">
        <f>VLOOKUP(A208,temporalBoundaries!$A$2:$G$500,2,FALSE())</f>
        <v>1155</v>
      </c>
      <c r="F208" s="1">
        <f>VLOOKUP(A208,temporalBoundaries!$A$2:$G$500,3,FALSE())</f>
        <v>1436</v>
      </c>
      <c r="G208" s="1">
        <f t="shared" si="13"/>
        <v>281</v>
      </c>
      <c r="H208" s="1">
        <f t="shared" si="14"/>
        <v>0.10638297872340401</v>
      </c>
      <c r="I208" s="1">
        <f>VLOOKUP($A208,temporalBoundaries!$A$1:$E$470,4,FALSE())</f>
        <v>11550204</v>
      </c>
      <c r="J208" s="1">
        <f>VLOOKUP($A208,temporalBoundaries!$A$1:$E$470,5,FALSE())</f>
        <v>14360901</v>
      </c>
    </row>
    <row r="209" ht="15" hidden="1">
      <c r="A209" s="1" t="s">
        <v>595</v>
      </c>
      <c r="B209" s="1">
        <v>31</v>
      </c>
      <c r="C209" s="1">
        <v>31</v>
      </c>
      <c r="D209" s="5">
        <f t="shared" si="12"/>
        <v>100</v>
      </c>
      <c r="E209" s="1">
        <f>VLOOKUP(A209,temporalBoundaries!$A$2:$G$500,2,FALSE())</f>
        <v>1250</v>
      </c>
      <c r="F209" s="1">
        <f>VLOOKUP(A209,temporalBoundaries!$A$2:$G$500,3,FALSE())</f>
        <v>1670</v>
      </c>
      <c r="G209" s="1">
        <f t="shared" si="13"/>
        <v>420</v>
      </c>
      <c r="H209" s="1">
        <f t="shared" si="14"/>
        <v>0.073634204275534396</v>
      </c>
      <c r="I209" s="1">
        <f>VLOOKUP($A209,temporalBoundaries!$A$1:$E$470,4,FALSE())</f>
        <v>12501006</v>
      </c>
      <c r="J209" s="1">
        <f>VLOOKUP($A209,temporalBoundaries!$A$1:$E$470,5,FALSE())</f>
        <v>16700711</v>
      </c>
    </row>
    <row r="210" ht="15" hidden="1">
      <c r="A210" s="1" t="s">
        <v>181</v>
      </c>
      <c r="B210" s="1">
        <v>31</v>
      </c>
      <c r="C210" s="1">
        <v>20</v>
      </c>
      <c r="D210" s="5">
        <f t="shared" si="12"/>
        <v>64.516129032258107</v>
      </c>
      <c r="E210" s="1">
        <f>VLOOKUP(A210,temporalBoundaries!$A$2:$G$500,2,FALSE())</f>
        <v>1234</v>
      </c>
      <c r="F210" s="1">
        <f>VLOOKUP(A210,temporalBoundaries!$A$2:$G$500,3,FALSE())</f>
        <v>1528</v>
      </c>
      <c r="G210" s="1">
        <f t="shared" si="13"/>
        <v>294</v>
      </c>
      <c r="H210" s="1">
        <f t="shared" si="14"/>
        <v>0.105084745762712</v>
      </c>
      <c r="I210" s="1">
        <f>VLOOKUP($A210,temporalBoundaries!$A$1:$E$470,4,FALSE())</f>
        <v>12340219</v>
      </c>
      <c r="J210" s="1">
        <f>VLOOKUP($A210,temporalBoundaries!$A$1:$E$470,5,FALSE())</f>
        <v>15280303</v>
      </c>
    </row>
    <row r="211" ht="15" hidden="1">
      <c r="A211" s="1" t="s">
        <v>1799</v>
      </c>
      <c r="B211" s="1">
        <v>31</v>
      </c>
      <c r="C211" s="1">
        <v>0</v>
      </c>
      <c r="D211" s="5">
        <f t="shared" si="12"/>
        <v>0</v>
      </c>
      <c r="E211" s="1">
        <f>VLOOKUP(A211,temporalBoundaries!$A$2:$G$500,2,FALSE())</f>
        <v>1200</v>
      </c>
      <c r="F211" s="1">
        <f>VLOOKUP(A211,temporalBoundaries!$A$2:$G$500,3,FALSE())</f>
        <v>1398</v>
      </c>
      <c r="G211" s="1">
        <f t="shared" si="13"/>
        <v>198</v>
      </c>
      <c r="H211" s="1">
        <f t="shared" si="14"/>
        <v>0.15577889447236201</v>
      </c>
      <c r="I211" s="1">
        <f>VLOOKUP($A211,temporalBoundaries!$A$1:$E$470,4,FALSE())</f>
        <v>12001231</v>
      </c>
      <c r="J211" s="1">
        <f>VLOOKUP($A211,temporalBoundaries!$A$1:$E$470,5,FALSE())</f>
        <v>13980128</v>
      </c>
    </row>
    <row r="212" ht="15" hidden="1">
      <c r="A212" s="1" t="s">
        <v>393</v>
      </c>
      <c r="B212" s="1">
        <v>32</v>
      </c>
      <c r="C212" s="1">
        <v>0</v>
      </c>
      <c r="D212" s="5">
        <f t="shared" si="12"/>
        <v>0</v>
      </c>
      <c r="E212" s="1">
        <f>VLOOKUP(A212,temporalBoundaries!$A$2:$G$500,2,FALSE())</f>
        <v>1255</v>
      </c>
      <c r="F212" s="1">
        <f>VLOOKUP(A212,temporalBoundaries!$A$2:$G$500,3,FALSE())</f>
        <v>1480</v>
      </c>
      <c r="G212" s="1">
        <f t="shared" si="13"/>
        <v>225</v>
      </c>
      <c r="H212" s="1">
        <f t="shared" si="14"/>
        <v>0.14159292035398199</v>
      </c>
      <c r="I212" s="1">
        <f>VLOOKUP($A212,temporalBoundaries!$A$1:$E$470,4,FALSE())</f>
        <v>12550330</v>
      </c>
      <c r="J212" s="1">
        <f>VLOOKUP($A212,temporalBoundaries!$A$1:$E$470,5,FALSE())</f>
        <v>14801231</v>
      </c>
    </row>
    <row r="213" ht="15" hidden="1">
      <c r="A213" s="1" t="s">
        <v>563</v>
      </c>
      <c r="B213" s="1">
        <v>33</v>
      </c>
      <c r="C213" s="1">
        <v>33</v>
      </c>
      <c r="D213" s="5">
        <f t="shared" si="12"/>
        <v>100</v>
      </c>
      <c r="E213" s="1">
        <f>VLOOKUP(A213,temporalBoundaries!$A$2:$G$500,2,FALSE())</f>
        <v>1122</v>
      </c>
      <c r="F213" s="1">
        <f>VLOOKUP(A213,temporalBoundaries!$A$2:$G$500,3,FALSE())</f>
        <v>1650</v>
      </c>
      <c r="G213" s="1">
        <f t="shared" si="13"/>
        <v>528</v>
      </c>
      <c r="H213" s="1">
        <f t="shared" si="14"/>
        <v>0.062381852551984897</v>
      </c>
      <c r="I213" s="1">
        <f>VLOOKUP($A213,temporalBoundaries!$A$1:$E$470,4,FALSE())</f>
        <v>11220123</v>
      </c>
      <c r="J213" s="1">
        <f>VLOOKUP($A213,temporalBoundaries!$A$1:$E$470,5,FALSE())</f>
        <v>16500601</v>
      </c>
    </row>
    <row r="214" ht="15" hidden="1">
      <c r="A214" s="1" t="s">
        <v>269</v>
      </c>
      <c r="B214" s="1">
        <v>33</v>
      </c>
      <c r="C214" s="1">
        <v>0</v>
      </c>
      <c r="D214" s="5">
        <f t="shared" si="12"/>
        <v>0</v>
      </c>
      <c r="E214" s="1">
        <f>VLOOKUP(A214,temporalBoundaries!$A$2:$G$500,2,FALSE())</f>
        <v>1187</v>
      </c>
      <c r="F214" s="1">
        <f>VLOOKUP(A214,temporalBoundaries!$A$2:$G$500,3,FALSE())</f>
        <v>1496</v>
      </c>
      <c r="G214" s="1">
        <f t="shared" si="13"/>
        <v>309</v>
      </c>
      <c r="H214" s="1">
        <f t="shared" si="14"/>
        <v>0.106451612903226</v>
      </c>
      <c r="I214" s="1">
        <f>VLOOKUP($A214,temporalBoundaries!$A$1:$E$470,4,FALSE())</f>
        <v>11871001</v>
      </c>
      <c r="J214" s="1">
        <f>VLOOKUP($A214,temporalBoundaries!$A$1:$E$470,5,FALSE())</f>
        <v>14961125</v>
      </c>
    </row>
    <row r="215" ht="15" hidden="1">
      <c r="A215" s="1" t="s">
        <v>1383</v>
      </c>
      <c r="B215" s="1">
        <v>33</v>
      </c>
      <c r="C215" s="1">
        <v>33</v>
      </c>
      <c r="D215" s="5">
        <f t="shared" si="12"/>
        <v>100</v>
      </c>
      <c r="E215" s="1">
        <f>VLOOKUP(A215,temporalBoundaries!$A$2:$G$500,2,FALSE())</f>
        <v>1422</v>
      </c>
      <c r="F215" s="1">
        <f>VLOOKUP(A215,temporalBoundaries!$A$2:$G$500,3,FALSE())</f>
        <v>1704</v>
      </c>
      <c r="G215" s="1">
        <f t="shared" si="13"/>
        <v>282</v>
      </c>
      <c r="H215" s="1">
        <f t="shared" si="14"/>
        <v>0.11660777385159</v>
      </c>
      <c r="I215" s="1">
        <f>VLOOKUP($A215,temporalBoundaries!$A$1:$E$470,4,FALSE())</f>
        <v>14221126</v>
      </c>
      <c r="J215" s="1">
        <f>VLOOKUP($A215,temporalBoundaries!$A$1:$E$470,5,FALSE())</f>
        <v>17040505</v>
      </c>
    </row>
    <row r="216" ht="15" hidden="1">
      <c r="A216" s="1" t="s">
        <v>1439</v>
      </c>
      <c r="B216" s="1">
        <v>33</v>
      </c>
      <c r="C216" s="1">
        <v>0</v>
      </c>
      <c r="D216" s="5">
        <f t="shared" si="12"/>
        <v>0</v>
      </c>
      <c r="E216" s="1">
        <f>VLOOKUP(A216,temporalBoundaries!$A$2:$G$500,2,FALSE())</f>
        <v>1242</v>
      </c>
      <c r="F216" s="1">
        <f>VLOOKUP(A216,temporalBoundaries!$A$2:$G$500,3,FALSE())</f>
        <v>1394</v>
      </c>
      <c r="G216" s="1">
        <f t="shared" si="13"/>
        <v>152</v>
      </c>
      <c r="H216" s="1">
        <f t="shared" si="14"/>
        <v>0.21568627450980399</v>
      </c>
      <c r="I216" s="1">
        <f>VLOOKUP($A216,temporalBoundaries!$A$1:$E$470,4,FALSE())</f>
        <v>12420430</v>
      </c>
      <c r="J216" s="1">
        <f>VLOOKUP($A216,temporalBoundaries!$A$1:$E$470,5,FALSE())</f>
        <v>13940825</v>
      </c>
    </row>
    <row r="217" ht="15" hidden="1">
      <c r="A217" s="1" t="s">
        <v>847</v>
      </c>
      <c r="B217" s="1">
        <v>34</v>
      </c>
      <c r="C217" s="1">
        <v>34</v>
      </c>
      <c r="D217" s="5">
        <f t="shared" si="12"/>
        <v>100</v>
      </c>
      <c r="E217" s="1">
        <f>VLOOKUP(A217,temporalBoundaries!$A$2:$G$500,2,FALSE())</f>
        <v>1342</v>
      </c>
      <c r="F217" s="1">
        <f>VLOOKUP(A217,temporalBoundaries!$A$2:$G$500,3,FALSE())</f>
        <v>1412</v>
      </c>
      <c r="G217" s="1">
        <f t="shared" si="13"/>
        <v>70</v>
      </c>
      <c r="H217" s="1">
        <f t="shared" si="14"/>
        <v>0.47887323943662002</v>
      </c>
      <c r="I217" s="1">
        <f>VLOOKUP($A217,temporalBoundaries!$A$1:$E$470,4,FALSE())</f>
        <v>13420805</v>
      </c>
      <c r="J217" s="1">
        <f>VLOOKUP($A217,temporalBoundaries!$A$1:$E$470,5,FALSE())</f>
        <v>14121118</v>
      </c>
    </row>
    <row r="218" ht="15" hidden="1">
      <c r="A218" s="1" t="s">
        <v>1703</v>
      </c>
      <c r="B218" s="1">
        <v>35</v>
      </c>
      <c r="C218" s="1">
        <v>0</v>
      </c>
      <c r="D218" s="5">
        <f t="shared" si="12"/>
        <v>0</v>
      </c>
      <c r="E218" s="1">
        <f>VLOOKUP(A218,temporalBoundaries!$A$2:$G$500,2,FALSE())</f>
        <v>1263</v>
      </c>
      <c r="F218" s="1">
        <f>VLOOKUP(A218,temporalBoundaries!$A$2:$G$500,3,FALSE())</f>
        <v>1397</v>
      </c>
      <c r="G218" s="1">
        <f t="shared" si="13"/>
        <v>134</v>
      </c>
      <c r="H218" s="1">
        <f t="shared" si="14"/>
        <v>0.25925925925925902</v>
      </c>
      <c r="I218" s="1">
        <f>VLOOKUP($A218,temporalBoundaries!$A$1:$E$470,4,FALSE())</f>
        <v>12630324</v>
      </c>
      <c r="J218" s="1">
        <f>VLOOKUP($A218,temporalBoundaries!$A$1:$E$470,5,FALSE())</f>
        <v>13970729</v>
      </c>
    </row>
    <row r="219" ht="15" hidden="1">
      <c r="A219" s="1" t="s">
        <v>1655</v>
      </c>
      <c r="B219" s="1">
        <v>36</v>
      </c>
      <c r="C219" s="1">
        <v>0</v>
      </c>
      <c r="D219" s="5">
        <f t="shared" si="12"/>
        <v>0</v>
      </c>
      <c r="E219" s="1">
        <f>VLOOKUP(A219,temporalBoundaries!$A$2:$G$500,2,FALSE())</f>
        <v>1278</v>
      </c>
      <c r="F219" s="1">
        <f>VLOOKUP(A219,temporalBoundaries!$A$2:$G$500,3,FALSE())</f>
        <v>1398</v>
      </c>
      <c r="G219" s="1">
        <f t="shared" si="13"/>
        <v>120</v>
      </c>
      <c r="H219" s="1">
        <f t="shared" si="14"/>
        <v>0.29752066115702502</v>
      </c>
      <c r="I219" s="1">
        <f>VLOOKUP($A219,temporalBoundaries!$A$1:$E$470,4,FALSE())</f>
        <v>12781228</v>
      </c>
      <c r="J219" s="1">
        <f>VLOOKUP($A219,temporalBoundaries!$A$1:$E$470,5,FALSE())</f>
        <v>13980815</v>
      </c>
    </row>
    <row r="220" ht="15" hidden="1">
      <c r="A220" s="1" t="s">
        <v>975</v>
      </c>
      <c r="B220" s="1">
        <v>37</v>
      </c>
      <c r="C220" s="1">
        <v>37</v>
      </c>
      <c r="D220" s="5">
        <f t="shared" si="12"/>
        <v>100</v>
      </c>
      <c r="E220" s="1">
        <f>VLOOKUP(A220,temporalBoundaries!$A$2:$G$500,2,FALSE())</f>
        <v>1346</v>
      </c>
      <c r="F220" s="1">
        <f>VLOOKUP(A220,temporalBoundaries!$A$2:$G$500,3,FALSE())</f>
        <v>1506</v>
      </c>
      <c r="G220" s="1">
        <f t="shared" si="13"/>
        <v>160</v>
      </c>
      <c r="H220" s="1">
        <f t="shared" si="14"/>
        <v>0.229813664596273</v>
      </c>
      <c r="I220" s="1">
        <f>VLOOKUP($A220,temporalBoundaries!$A$1:$E$470,4,FALSE())</f>
        <v>13460509</v>
      </c>
      <c r="J220" s="1">
        <f>VLOOKUP($A220,temporalBoundaries!$A$1:$E$470,5,FALSE())</f>
        <v>15061104</v>
      </c>
    </row>
    <row r="221" ht="15" hidden="1">
      <c r="A221" s="1" t="s">
        <v>1107</v>
      </c>
      <c r="B221" s="1">
        <v>38</v>
      </c>
      <c r="C221" s="1">
        <v>36</v>
      </c>
      <c r="D221" s="5">
        <f t="shared" si="12"/>
        <v>94.736842105263193</v>
      </c>
      <c r="E221" s="1">
        <f>VLOOKUP(A221,temporalBoundaries!$A$2:$G$500,2,FALSE())</f>
        <v>1168</v>
      </c>
      <c r="F221" s="1">
        <f>VLOOKUP(A221,temporalBoundaries!$A$2:$G$500,3,FALSE())</f>
        <v>1783</v>
      </c>
      <c r="G221" s="1">
        <f t="shared" si="13"/>
        <v>615</v>
      </c>
      <c r="H221" s="1">
        <f t="shared" si="14"/>
        <v>0.061688311688311702</v>
      </c>
      <c r="I221" s="1">
        <f>VLOOKUP($A221,temporalBoundaries!$A$1:$E$470,4,FALSE())</f>
        <v>11681221</v>
      </c>
      <c r="J221" s="1">
        <f>VLOOKUP($A221,temporalBoundaries!$A$1:$E$470,5,FALSE())</f>
        <v>17831129</v>
      </c>
    </row>
    <row r="222" ht="15" hidden="1">
      <c r="A222" s="1" t="s">
        <v>221</v>
      </c>
      <c r="B222" s="1">
        <v>38</v>
      </c>
      <c r="C222" s="1">
        <v>22</v>
      </c>
      <c r="D222" s="5">
        <f t="shared" si="12"/>
        <v>57.894736842105303</v>
      </c>
      <c r="E222" s="1">
        <f>VLOOKUP(A222,temporalBoundaries!$A$2:$G$500,2,FALSE())</f>
        <v>1326</v>
      </c>
      <c r="F222" s="1">
        <f>VLOOKUP(A222,temporalBoundaries!$A$2:$G$500,3,FALSE())</f>
        <v>1751</v>
      </c>
      <c r="G222" s="1">
        <f t="shared" si="13"/>
        <v>425</v>
      </c>
      <c r="H222" s="1">
        <f t="shared" si="14"/>
        <v>0.089201877934272297</v>
      </c>
      <c r="I222" s="1">
        <f>VLOOKUP($A222,temporalBoundaries!$A$1:$E$470,4,FALSE())</f>
        <v>13260929</v>
      </c>
      <c r="J222" s="1">
        <f>VLOOKUP($A222,temporalBoundaries!$A$1:$E$470,5,FALSE())</f>
        <v>17511001</v>
      </c>
    </row>
    <row r="223" ht="15" hidden="1">
      <c r="A223" s="1" t="s">
        <v>389</v>
      </c>
      <c r="B223" s="1">
        <v>38</v>
      </c>
      <c r="C223" s="1">
        <v>23</v>
      </c>
      <c r="D223" s="5">
        <f t="shared" si="12"/>
        <v>60.526315789473699</v>
      </c>
      <c r="E223" s="1">
        <f>VLOOKUP(A223,temporalBoundaries!$A$2:$G$500,2,FALSE())</f>
        <v>1344</v>
      </c>
      <c r="F223" s="1">
        <f>VLOOKUP(A223,temporalBoundaries!$A$2:$G$500,3,FALSE())</f>
        <v>1529</v>
      </c>
      <c r="G223" s="1">
        <f t="shared" si="13"/>
        <v>185</v>
      </c>
      <c r="H223" s="1">
        <f t="shared" si="14"/>
        <v>0.204301075268817</v>
      </c>
      <c r="I223" s="1">
        <f>VLOOKUP($A223,temporalBoundaries!$A$1:$E$470,4,FALSE())</f>
        <v>13440912</v>
      </c>
      <c r="J223" s="1">
        <f>VLOOKUP($A223,temporalBoundaries!$A$1:$E$470,5,FALSE())</f>
        <v>15290706</v>
      </c>
    </row>
    <row r="224" ht="15" hidden="1">
      <c r="A224" s="1" t="s">
        <v>1935</v>
      </c>
      <c r="B224" s="1">
        <v>39</v>
      </c>
      <c r="C224" s="1">
        <v>39</v>
      </c>
      <c r="D224" s="5">
        <f t="shared" si="12"/>
        <v>100</v>
      </c>
      <c r="E224" s="1">
        <f>VLOOKUP(A224,temporalBoundaries!$A$2:$G$500,2,FALSE())</f>
        <v>1404</v>
      </c>
      <c r="F224" s="1">
        <f>VLOOKUP(A224,temporalBoundaries!$A$2:$G$500,3,FALSE())</f>
        <v>1635</v>
      </c>
      <c r="G224" s="1">
        <f t="shared" si="13"/>
        <v>231</v>
      </c>
      <c r="H224" s="1">
        <f t="shared" si="14"/>
        <v>0.16810344827586199</v>
      </c>
      <c r="I224" s="1">
        <f>VLOOKUP($A224,temporalBoundaries!$A$1:$E$470,4,FALSE())</f>
        <v>14040217</v>
      </c>
      <c r="J224" s="1">
        <f>VLOOKUP($A224,temporalBoundaries!$A$1:$E$470,5,FALSE())</f>
        <v>16350817</v>
      </c>
    </row>
    <row r="225" ht="15" hidden="1">
      <c r="A225" s="1" t="s">
        <v>1527</v>
      </c>
      <c r="B225" s="1">
        <v>39</v>
      </c>
      <c r="C225" s="1">
        <v>0</v>
      </c>
      <c r="D225" s="5">
        <f t="shared" si="12"/>
        <v>0</v>
      </c>
      <c r="E225" s="1">
        <f>VLOOKUP(A225,temporalBoundaries!$A$2:$G$500,2,FALSE())</f>
        <v>1276</v>
      </c>
      <c r="F225" s="1">
        <f>VLOOKUP(A225,temporalBoundaries!$A$2:$G$500,3,FALSE())</f>
        <v>1399</v>
      </c>
      <c r="G225" s="1">
        <f t="shared" si="13"/>
        <v>123</v>
      </c>
      <c r="H225" s="1">
        <f t="shared" si="14"/>
        <v>0.31451612903225801</v>
      </c>
      <c r="I225" s="1">
        <f>VLOOKUP($A225,temporalBoundaries!$A$1:$E$470,4,FALSE())</f>
        <v>12760828</v>
      </c>
      <c r="J225" s="1">
        <f>VLOOKUP($A225,temporalBoundaries!$A$1:$E$470,5,FALSE())</f>
        <v>13990127</v>
      </c>
    </row>
    <row r="226" ht="15" hidden="1">
      <c r="A226" s="1" t="s">
        <v>1951</v>
      </c>
      <c r="B226" s="1">
        <v>40</v>
      </c>
      <c r="C226" s="1">
        <v>40</v>
      </c>
      <c r="D226" s="5">
        <f t="shared" si="12"/>
        <v>100</v>
      </c>
      <c r="E226" s="1">
        <f>VLOOKUP(A226,temporalBoundaries!$A$2:$G$500,2,FALSE())</f>
        <v>997</v>
      </c>
      <c r="F226" s="1">
        <f>VLOOKUP(A226,temporalBoundaries!$A$2:$G$500,3,FALSE())</f>
        <v>1717</v>
      </c>
      <c r="G226" s="1">
        <f t="shared" si="13"/>
        <v>720</v>
      </c>
      <c r="H226" s="1">
        <f t="shared" si="14"/>
        <v>0.055478502080443803</v>
      </c>
      <c r="I226" s="1">
        <f>VLOOKUP($A226,temporalBoundaries!$A$1:$E$470,4,FALSE())</f>
        <v>9970112</v>
      </c>
      <c r="J226" s="1">
        <f>VLOOKUP($A226,temporalBoundaries!$A$1:$E$470,5,FALSE())</f>
        <v>17170507</v>
      </c>
    </row>
    <row r="227" ht="15" hidden="1">
      <c r="A227" s="1" t="s">
        <v>209</v>
      </c>
      <c r="B227" s="1">
        <v>40</v>
      </c>
      <c r="C227" s="1">
        <v>40</v>
      </c>
      <c r="D227" s="5">
        <f t="shared" si="12"/>
        <v>100</v>
      </c>
      <c r="E227" s="1">
        <f>VLOOKUP(A227,temporalBoundaries!$A$2:$G$500,2,FALSE())</f>
        <v>1106</v>
      </c>
      <c r="F227" s="1">
        <f>VLOOKUP(A227,temporalBoundaries!$A$2:$G$500,3,FALSE())</f>
        <v>1601</v>
      </c>
      <c r="G227" s="1">
        <f t="shared" si="13"/>
        <v>495</v>
      </c>
      <c r="H227" s="1">
        <f t="shared" si="14"/>
        <v>0.080645161290322606</v>
      </c>
      <c r="I227" s="1">
        <f>VLOOKUP($A227,temporalBoundaries!$A$1:$E$470,4,FALSE())</f>
        <v>11069999</v>
      </c>
      <c r="J227" s="1">
        <f>VLOOKUP($A227,temporalBoundaries!$A$1:$E$470,5,FALSE())</f>
        <v>16010102</v>
      </c>
    </row>
    <row r="228" ht="15" hidden="1">
      <c r="A228" s="1" t="s">
        <v>1735</v>
      </c>
      <c r="B228" s="1">
        <v>40</v>
      </c>
      <c r="C228" s="1">
        <v>0</v>
      </c>
      <c r="D228" s="5">
        <f t="shared" ref="D228:D291" si="15">100/B228*C228</f>
        <v>0</v>
      </c>
      <c r="E228" s="1">
        <f>VLOOKUP(A228,temporalBoundaries!$A$2:$G$500,2,FALSE())</f>
        <v>1142</v>
      </c>
      <c r="F228" s="1">
        <f>VLOOKUP(A228,temporalBoundaries!$A$2:$G$500,3,FALSE())</f>
        <v>1398</v>
      </c>
      <c r="G228" s="1">
        <f t="shared" ref="G228:G291" si="16">F228-E228</f>
        <v>256</v>
      </c>
      <c r="H228" s="1">
        <f t="shared" ref="H228:H291" si="17">B228/(G228+1)</f>
        <v>0.155642023346304</v>
      </c>
      <c r="I228" s="1">
        <f>VLOOKUP($A228,temporalBoundaries!$A$1:$E$470,4,FALSE())</f>
        <v>11420131</v>
      </c>
      <c r="J228" s="1">
        <f>VLOOKUP($A228,temporalBoundaries!$A$1:$E$470,5,FALSE())</f>
        <v>13980319</v>
      </c>
    </row>
    <row r="229" ht="15" hidden="1">
      <c r="A229" s="1" t="s">
        <v>735</v>
      </c>
      <c r="B229" s="1">
        <v>41</v>
      </c>
      <c r="C229" s="1">
        <v>41</v>
      </c>
      <c r="D229" s="5">
        <f t="shared" si="15"/>
        <v>100</v>
      </c>
      <c r="E229" s="1">
        <f>VLOOKUP(A229,temporalBoundaries!$A$2:$G$500,2,FALSE())</f>
        <v>1287</v>
      </c>
      <c r="F229" s="1">
        <f>VLOOKUP(A229,temporalBoundaries!$A$2:$G$500,3,FALSE())</f>
        <v>1754</v>
      </c>
      <c r="G229" s="1">
        <f t="shared" si="16"/>
        <v>467</v>
      </c>
      <c r="H229" s="1">
        <f t="shared" si="17"/>
        <v>0.087606837606837601</v>
      </c>
      <c r="I229" s="1">
        <f>VLOOKUP($A229,temporalBoundaries!$A$1:$E$470,4,FALSE())</f>
        <v>12870226</v>
      </c>
      <c r="J229" s="1">
        <f>VLOOKUP($A229,temporalBoundaries!$A$1:$E$470,5,FALSE())</f>
        <v>17540220</v>
      </c>
    </row>
    <row r="230" ht="15" hidden="1">
      <c r="A230" s="1" t="s">
        <v>779</v>
      </c>
      <c r="B230" s="1">
        <v>42</v>
      </c>
      <c r="C230" s="1">
        <v>41</v>
      </c>
      <c r="D230" s="5">
        <f t="shared" si="15"/>
        <v>97.619047619047606</v>
      </c>
      <c r="E230" s="1">
        <f>VLOOKUP(A230,temporalBoundaries!$A$2:$G$500,2,FALSE())</f>
        <v>1405</v>
      </c>
      <c r="F230" s="1">
        <f>VLOOKUP(A230,temporalBoundaries!$A$2:$G$500,3,FALSE())</f>
        <v>1735</v>
      </c>
      <c r="G230" s="1">
        <f t="shared" si="16"/>
        <v>330</v>
      </c>
      <c r="H230" s="1">
        <f t="shared" si="17"/>
        <v>0.126888217522659</v>
      </c>
      <c r="I230" s="1">
        <f>VLOOKUP($A230,temporalBoundaries!$A$1:$E$470,4,FALSE())</f>
        <v>14050807</v>
      </c>
      <c r="J230" s="1">
        <f>VLOOKUP($A230,temporalBoundaries!$A$1:$E$470,5,FALSE())</f>
        <v>17350307</v>
      </c>
    </row>
    <row r="231" ht="15" hidden="1">
      <c r="A231" s="1" t="s">
        <v>1959</v>
      </c>
      <c r="B231" s="1">
        <v>43</v>
      </c>
      <c r="C231" s="1">
        <v>43</v>
      </c>
      <c r="D231" s="5">
        <f t="shared" si="15"/>
        <v>100</v>
      </c>
      <c r="E231" s="1">
        <f>VLOOKUP(A231,temporalBoundaries!$A$2:$G$500,2,FALSE())</f>
        <v>1015</v>
      </c>
      <c r="F231" s="1">
        <f>VLOOKUP(A231,temporalBoundaries!$A$2:$G$500,3,FALSE())</f>
        <v>1717</v>
      </c>
      <c r="G231" s="1">
        <f t="shared" si="16"/>
        <v>702</v>
      </c>
      <c r="H231" s="1">
        <f t="shared" si="17"/>
        <v>0.061166429587482203</v>
      </c>
      <c r="I231" s="1">
        <f>VLOOKUP($A231,temporalBoundaries!$A$1:$E$470,4,FALSE())</f>
        <v>10150601</v>
      </c>
      <c r="J231" s="1">
        <f>VLOOKUP($A231,temporalBoundaries!$A$1:$E$470,5,FALSE())</f>
        <v>17170320</v>
      </c>
    </row>
    <row r="232" ht="15" hidden="1">
      <c r="A232" s="1" t="s">
        <v>464</v>
      </c>
      <c r="B232" s="1">
        <v>44</v>
      </c>
      <c r="C232" s="1">
        <v>40</v>
      </c>
      <c r="D232" s="5">
        <f t="shared" si="15"/>
        <v>90.909090909090907</v>
      </c>
      <c r="E232" s="1">
        <f>VLOOKUP(A232,temporalBoundaries!$A$2:$G$500,2,FALSE())</f>
        <v>1276</v>
      </c>
      <c r="F232" s="1">
        <f>VLOOKUP(A232,temporalBoundaries!$A$2:$G$500,3,FALSE())</f>
        <v>1729</v>
      </c>
      <c r="G232" s="1">
        <f t="shared" si="16"/>
        <v>453</v>
      </c>
      <c r="H232" s="1">
        <f t="shared" si="17"/>
        <v>0.096916299559471397</v>
      </c>
      <c r="I232" s="1">
        <f>VLOOKUP($A232,temporalBoundaries!$A$1:$E$470,4,FALSE())</f>
        <v>12761231</v>
      </c>
      <c r="J232" s="1">
        <f>VLOOKUP($A232,temporalBoundaries!$A$1:$E$470,5,FALSE())</f>
        <v>17290712</v>
      </c>
    </row>
    <row r="233" ht="15" hidden="1">
      <c r="A233" s="1" t="s">
        <v>201</v>
      </c>
      <c r="B233" s="1">
        <v>44</v>
      </c>
      <c r="C233" s="1">
        <v>30</v>
      </c>
      <c r="D233" s="5">
        <f t="shared" si="15"/>
        <v>68.181818181818201</v>
      </c>
      <c r="E233" s="1">
        <f>VLOOKUP(A233,temporalBoundaries!$A$2:$G$500,2,FALSE())</f>
        <v>1342</v>
      </c>
      <c r="F233" s="1">
        <f>VLOOKUP(A233,temporalBoundaries!$A$2:$G$500,3,FALSE())</f>
        <v>1742</v>
      </c>
      <c r="G233" s="1">
        <f t="shared" si="16"/>
        <v>400</v>
      </c>
      <c r="H233" s="1">
        <f t="shared" si="17"/>
        <v>0.109725685785536</v>
      </c>
      <c r="I233" s="1">
        <f>VLOOKUP($A233,temporalBoundaries!$A$1:$E$470,4,FALSE())</f>
        <v>13420509</v>
      </c>
      <c r="J233" s="1">
        <f>VLOOKUP($A233,temporalBoundaries!$A$1:$E$470,5,FALSE())</f>
        <v>17420601</v>
      </c>
    </row>
    <row r="234" ht="15" hidden="1">
      <c r="A234" s="1" t="s">
        <v>891</v>
      </c>
      <c r="B234" s="1">
        <v>44</v>
      </c>
      <c r="C234" s="1">
        <v>44</v>
      </c>
      <c r="D234" s="5">
        <f t="shared" si="15"/>
        <v>100</v>
      </c>
      <c r="E234" s="1">
        <f>VLOOKUP(A234,temporalBoundaries!$A$2:$G$500,2,FALSE())</f>
        <v>1358</v>
      </c>
      <c r="F234" s="1">
        <f>VLOOKUP(A234,temporalBoundaries!$A$2:$G$500,3,FALSE())</f>
        <v>1521</v>
      </c>
      <c r="G234" s="1">
        <f t="shared" si="16"/>
        <v>163</v>
      </c>
      <c r="H234" s="1">
        <f t="shared" si="17"/>
        <v>0.26829268292682901</v>
      </c>
      <c r="I234" s="1">
        <f>VLOOKUP($A234,temporalBoundaries!$A$1:$E$470,4,FALSE())</f>
        <v>13580406</v>
      </c>
      <c r="J234" s="1">
        <f>VLOOKUP($A234,temporalBoundaries!$A$1:$E$470,5,FALSE())</f>
        <v>15210617</v>
      </c>
    </row>
    <row r="235" ht="15" hidden="1">
      <c r="A235" s="1" t="s">
        <v>205</v>
      </c>
      <c r="B235" s="1">
        <v>45</v>
      </c>
      <c r="C235" s="1">
        <v>19</v>
      </c>
      <c r="D235" s="5">
        <f t="shared" si="15"/>
        <v>42.2222222222222</v>
      </c>
      <c r="E235" s="1">
        <f>VLOOKUP(A235,temporalBoundaries!$A$2:$G$500,2,FALSE())</f>
        <v>1265</v>
      </c>
      <c r="F235" s="1">
        <f>VLOOKUP(A235,temporalBoundaries!$A$2:$G$500,3,FALSE())</f>
        <v>1640</v>
      </c>
      <c r="G235" s="1">
        <f t="shared" si="16"/>
        <v>375</v>
      </c>
      <c r="H235" s="1">
        <f t="shared" si="17"/>
        <v>0.11968085106383</v>
      </c>
      <c r="I235" s="1">
        <f>VLOOKUP($A235,temporalBoundaries!$A$1:$E$470,4,FALSE())</f>
        <v>12650504</v>
      </c>
      <c r="J235" s="1">
        <f>VLOOKUP($A235,temporalBoundaries!$A$1:$E$470,5,FALSE())</f>
        <v>16400409</v>
      </c>
    </row>
    <row r="236" ht="15" hidden="1">
      <c r="A236" s="1" t="s">
        <v>683</v>
      </c>
      <c r="B236" s="1">
        <v>45</v>
      </c>
      <c r="C236" s="1">
        <v>27</v>
      </c>
      <c r="D236" s="5">
        <f t="shared" si="15"/>
        <v>60</v>
      </c>
      <c r="E236" s="1">
        <f>VLOOKUP(A236,temporalBoundaries!$A$2:$G$500,2,FALSE())</f>
        <v>1669</v>
      </c>
      <c r="F236" s="1">
        <f>VLOOKUP(A236,temporalBoundaries!$A$2:$G$500,3,FALSE())</f>
        <v>1741</v>
      </c>
      <c r="G236" s="1">
        <f t="shared" si="16"/>
        <v>72</v>
      </c>
      <c r="H236" s="1">
        <f t="shared" si="17"/>
        <v>0.61643835616438403</v>
      </c>
      <c r="I236" s="1">
        <f>VLOOKUP($A236,temporalBoundaries!$A$1:$E$470,4,FALSE())</f>
        <v>16690327</v>
      </c>
      <c r="J236" s="1">
        <f>VLOOKUP($A236,temporalBoundaries!$A$1:$E$470,5,FALSE())</f>
        <v>17410217</v>
      </c>
    </row>
    <row r="237" ht="15" hidden="1">
      <c r="A237" s="1" t="s">
        <v>385</v>
      </c>
      <c r="B237" s="1">
        <v>45</v>
      </c>
      <c r="C237" s="1">
        <v>0</v>
      </c>
      <c r="D237" s="5">
        <f t="shared" si="15"/>
        <v>0</v>
      </c>
      <c r="E237" s="1">
        <f>VLOOKUP(A237,temporalBoundaries!$A$2:$G$500,2,FALSE())</f>
        <v>1240</v>
      </c>
      <c r="F237" s="1">
        <f>VLOOKUP(A237,temporalBoundaries!$A$2:$G$500,3,FALSE())</f>
        <v>1240</v>
      </c>
      <c r="G237" s="1">
        <f t="shared" si="16"/>
        <v>0</v>
      </c>
      <c r="H237" s="1">
        <f t="shared" si="17"/>
        <v>45</v>
      </c>
      <c r="I237" s="1">
        <f>VLOOKUP($A237,temporalBoundaries!$A$1:$E$470,4,FALSE())</f>
        <v>12409999</v>
      </c>
      <c r="J237" s="1">
        <f>VLOOKUP($A237,temporalBoundaries!$A$1:$E$470,5,FALSE())</f>
        <v>12409999</v>
      </c>
      <c r="K237" s="1" t="s">
        <v>1989</v>
      </c>
    </row>
    <row r="238" ht="15" hidden="1">
      <c r="A238" s="1" t="s">
        <v>1547</v>
      </c>
      <c r="B238" s="1">
        <v>46</v>
      </c>
      <c r="C238" s="1">
        <v>0</v>
      </c>
      <c r="D238" s="5">
        <f t="shared" si="15"/>
        <v>0</v>
      </c>
      <c r="E238" s="1">
        <f>VLOOKUP(A238,temporalBoundaries!$A$2:$G$500,2,FALSE())</f>
        <v>1328</v>
      </c>
      <c r="F238" s="1">
        <f>VLOOKUP(A238,temporalBoundaries!$A$2:$G$500,3,FALSE())</f>
        <v>1398</v>
      </c>
      <c r="G238" s="1">
        <f t="shared" si="16"/>
        <v>70</v>
      </c>
      <c r="H238" s="1">
        <f t="shared" si="17"/>
        <v>0.647887323943662</v>
      </c>
      <c r="I238" s="1">
        <f>VLOOKUP($A238,temporalBoundaries!$A$1:$E$470,4,FALSE())</f>
        <v>13280201</v>
      </c>
      <c r="J238" s="1">
        <f>VLOOKUP($A238,temporalBoundaries!$A$1:$E$470,5,FALSE())</f>
        <v>13981215</v>
      </c>
    </row>
    <row r="239" ht="15" hidden="1">
      <c r="A239" s="1" t="s">
        <v>1855</v>
      </c>
      <c r="B239" s="1">
        <v>47</v>
      </c>
      <c r="C239" s="1">
        <v>0</v>
      </c>
      <c r="D239" s="5">
        <f t="shared" si="15"/>
        <v>0</v>
      </c>
      <c r="E239" s="1">
        <f>VLOOKUP(A239,temporalBoundaries!$A$2:$G$500,2,FALSE())</f>
        <v>1255</v>
      </c>
      <c r="F239" s="1">
        <f>VLOOKUP(A239,temporalBoundaries!$A$2:$G$500,3,FALSE())</f>
        <v>1398</v>
      </c>
      <c r="G239" s="1">
        <f t="shared" si="16"/>
        <v>143</v>
      </c>
      <c r="H239" s="1">
        <f t="shared" si="17"/>
        <v>0.32638888888888901</v>
      </c>
      <c r="I239" s="1">
        <f>VLOOKUP($A239,temporalBoundaries!$A$1:$E$470,4,FALSE())</f>
        <v>12551212</v>
      </c>
      <c r="J239" s="1">
        <f>VLOOKUP($A239,temporalBoundaries!$A$1:$E$470,5,FALSE())</f>
        <v>13981219</v>
      </c>
    </row>
    <row r="240" ht="15" hidden="1">
      <c r="A240" s="1" t="s">
        <v>21</v>
      </c>
      <c r="B240" s="1">
        <v>48</v>
      </c>
      <c r="C240" s="1">
        <v>48</v>
      </c>
      <c r="D240" s="5">
        <f t="shared" si="15"/>
        <v>100</v>
      </c>
      <c r="E240" s="1">
        <f>VLOOKUP(A240,temporalBoundaries!$A$2:$G$500,2,FALSE())</f>
        <v>1471</v>
      </c>
      <c r="F240" s="1">
        <f>VLOOKUP(A240,temporalBoundaries!$A$2:$G$500,3,FALSE())</f>
        <v>1767</v>
      </c>
      <c r="G240" s="1">
        <f t="shared" si="16"/>
        <v>296</v>
      </c>
      <c r="H240" s="1">
        <f t="shared" si="17"/>
        <v>0.16161616161616199</v>
      </c>
      <c r="I240" s="1">
        <f>VLOOKUP($A240,temporalBoundaries!$A$1:$E$470,4,FALSE())</f>
        <v>14711127</v>
      </c>
      <c r="J240" s="1">
        <f>VLOOKUP($A240,temporalBoundaries!$A$1:$E$470,5,FALSE())</f>
        <v>17670520</v>
      </c>
    </row>
    <row r="241" ht="15" hidden="1">
      <c r="A241" s="1" t="s">
        <v>1911</v>
      </c>
      <c r="B241" s="1">
        <v>49</v>
      </c>
      <c r="C241" s="1">
        <v>0</v>
      </c>
      <c r="D241" s="5">
        <f t="shared" si="15"/>
        <v>0</v>
      </c>
      <c r="E241" s="1">
        <f>VLOOKUP(A241,temporalBoundaries!$A$2:$G$500,2,FALSE())</f>
        <v>1282</v>
      </c>
      <c r="F241" s="1">
        <f>VLOOKUP(A241,temporalBoundaries!$A$2:$G$500,3,FALSE())</f>
        <v>1385</v>
      </c>
      <c r="G241" s="1">
        <f t="shared" si="16"/>
        <v>103</v>
      </c>
      <c r="H241" s="1">
        <f t="shared" si="17"/>
        <v>0.47115384615384598</v>
      </c>
      <c r="I241" s="1">
        <f>VLOOKUP($A241,temporalBoundaries!$A$1:$E$470,4,FALSE())</f>
        <v>12820926</v>
      </c>
      <c r="J241" s="1">
        <f>VLOOKUP($A241,temporalBoundaries!$A$1:$E$470,5,FALSE())</f>
        <v>13850429</v>
      </c>
    </row>
    <row r="242" ht="15" hidden="1">
      <c r="A242" s="1" t="s">
        <v>1427</v>
      </c>
      <c r="B242" s="1">
        <v>50</v>
      </c>
      <c r="C242" s="1">
        <v>50</v>
      </c>
      <c r="D242" s="5">
        <f t="shared" si="15"/>
        <v>100</v>
      </c>
      <c r="E242" s="1">
        <f>VLOOKUP(A242,temporalBoundaries!$A$2:$G$500,2,FALSE())</f>
        <v>1550</v>
      </c>
      <c r="F242" s="1">
        <f>VLOOKUP(A242,temporalBoundaries!$A$2:$G$500,3,FALSE())</f>
        <v>1680</v>
      </c>
      <c r="G242" s="1">
        <f t="shared" si="16"/>
        <v>130</v>
      </c>
      <c r="H242" s="1">
        <f t="shared" si="17"/>
        <v>0.38167938931297701</v>
      </c>
      <c r="I242" s="1">
        <f>VLOOKUP($A242,temporalBoundaries!$A$1:$E$470,4,FALSE())</f>
        <v>15500922</v>
      </c>
      <c r="J242" s="1">
        <f>VLOOKUP($A242,temporalBoundaries!$A$1:$E$470,5,FALSE())</f>
        <v>16800301</v>
      </c>
    </row>
    <row r="243" ht="15" hidden="1">
      <c r="A243" s="1" t="s">
        <v>1535</v>
      </c>
      <c r="B243" s="1">
        <v>51</v>
      </c>
      <c r="C243" s="1">
        <v>0</v>
      </c>
      <c r="D243" s="5">
        <f t="shared" si="15"/>
        <v>0</v>
      </c>
      <c r="E243" s="1">
        <f>VLOOKUP(A243,temporalBoundaries!$A$2:$G$500,2,FALSE())</f>
        <v>1216</v>
      </c>
      <c r="F243" s="1">
        <f>VLOOKUP(A243,temporalBoundaries!$A$2:$G$500,3,FALSE())</f>
        <v>1394</v>
      </c>
      <c r="G243" s="1">
        <f t="shared" si="16"/>
        <v>178</v>
      </c>
      <c r="H243" s="1">
        <f t="shared" si="17"/>
        <v>0.28491620111731802</v>
      </c>
      <c r="I243" s="1">
        <f>VLOOKUP($A243,temporalBoundaries!$A$1:$E$470,4,FALSE())</f>
        <v>12160419</v>
      </c>
      <c r="J243" s="1">
        <f>VLOOKUP($A243,temporalBoundaries!$A$1:$E$470,5,FALSE())</f>
        <v>13940625</v>
      </c>
    </row>
    <row r="244" ht="15" hidden="1">
      <c r="A244" s="1" t="s">
        <v>1403</v>
      </c>
      <c r="B244" s="1">
        <v>53</v>
      </c>
      <c r="C244" s="1">
        <v>42</v>
      </c>
      <c r="D244" s="5">
        <f t="shared" si="15"/>
        <v>79.245283018867894</v>
      </c>
      <c r="E244" s="1">
        <f>VLOOKUP(A244,temporalBoundaries!$A$2:$G$500,2,FALSE())</f>
        <v>1055</v>
      </c>
      <c r="F244" s="1">
        <f>VLOOKUP(A244,temporalBoundaries!$A$2:$G$500,3,FALSE())</f>
        <v>1522</v>
      </c>
      <c r="G244" s="1">
        <f t="shared" si="16"/>
        <v>467</v>
      </c>
      <c r="H244" s="1">
        <f t="shared" si="17"/>
        <v>0.113247863247863</v>
      </c>
      <c r="I244" s="1">
        <f>VLOOKUP($A244,temporalBoundaries!$A$1:$E$470,4,FALSE())</f>
        <v>10551231</v>
      </c>
      <c r="J244" s="1">
        <f>VLOOKUP($A244,temporalBoundaries!$A$1:$E$470,5,FALSE())</f>
        <v>15220916</v>
      </c>
    </row>
    <row r="245" ht="15" hidden="1">
      <c r="A245" s="1" t="s">
        <v>831</v>
      </c>
      <c r="B245" s="1">
        <v>53</v>
      </c>
      <c r="C245" s="1">
        <v>53</v>
      </c>
      <c r="D245" s="5">
        <f t="shared" si="15"/>
        <v>100</v>
      </c>
      <c r="E245" s="1">
        <f>VLOOKUP(A245,temporalBoundaries!$A$2:$G$500,2,FALSE())</f>
        <v>1115</v>
      </c>
      <c r="F245" s="1">
        <f>VLOOKUP(A245,temporalBoundaries!$A$2:$G$500,3,FALSE())</f>
        <v>1526</v>
      </c>
      <c r="G245" s="1">
        <f t="shared" si="16"/>
        <v>411</v>
      </c>
      <c r="H245" s="1">
        <f t="shared" si="17"/>
        <v>0.12864077669902901</v>
      </c>
      <c r="I245" s="1">
        <f>VLOOKUP($A245,temporalBoundaries!$A$1:$E$470,4,FALSE())</f>
        <v>11151231</v>
      </c>
      <c r="J245" s="1">
        <f>VLOOKUP($A245,temporalBoundaries!$A$1:$E$470,5,FALSE())</f>
        <v>15261123</v>
      </c>
    </row>
    <row r="246" ht="15" hidden="1">
      <c r="A246" s="1" t="s">
        <v>1867</v>
      </c>
      <c r="B246" s="1">
        <v>54</v>
      </c>
      <c r="C246" s="1">
        <v>0</v>
      </c>
      <c r="D246" s="5">
        <f t="shared" si="15"/>
        <v>0</v>
      </c>
      <c r="E246" s="1">
        <f>VLOOKUP(A246,temporalBoundaries!$A$2:$G$500,2,FALSE())</f>
        <v>1100</v>
      </c>
      <c r="F246" s="1">
        <f>VLOOKUP(A246,temporalBoundaries!$A$2:$G$500,3,FALSE())</f>
        <v>1397</v>
      </c>
      <c r="G246" s="1">
        <f t="shared" si="16"/>
        <v>297</v>
      </c>
      <c r="H246" s="1">
        <f t="shared" si="17"/>
        <v>0.18120805369127499</v>
      </c>
      <c r="I246" s="1">
        <f>VLOOKUP($A246,temporalBoundaries!$A$1:$E$470,4,FALSE())</f>
        <v>11001130</v>
      </c>
      <c r="J246" s="1">
        <f>VLOOKUP($A246,temporalBoundaries!$A$1:$E$470,5,FALSE())</f>
        <v>13970925</v>
      </c>
    </row>
    <row r="247" ht="15" hidden="1">
      <c r="A247" s="1" t="s">
        <v>1015</v>
      </c>
      <c r="B247" s="1">
        <v>55</v>
      </c>
      <c r="C247" s="1">
        <v>55</v>
      </c>
      <c r="D247" s="5">
        <f t="shared" si="15"/>
        <v>100</v>
      </c>
      <c r="E247" s="1">
        <f>VLOOKUP(A247,temporalBoundaries!$A$2:$G$500,2,FALSE())</f>
        <v>1289</v>
      </c>
      <c r="F247" s="1">
        <f>VLOOKUP(A247,temporalBoundaries!$A$2:$G$500,3,FALSE())</f>
        <v>1704</v>
      </c>
      <c r="G247" s="1">
        <f t="shared" si="16"/>
        <v>415</v>
      </c>
      <c r="H247" s="1">
        <f t="shared" si="17"/>
        <v>0.13221153846153799</v>
      </c>
      <c r="I247" s="1">
        <f>VLOOKUP($A247,temporalBoundaries!$A$1:$E$470,4,FALSE())</f>
        <v>12899999</v>
      </c>
      <c r="J247" s="1">
        <f>VLOOKUP($A247,temporalBoundaries!$A$1:$E$470,5,FALSE())</f>
        <v>17040910</v>
      </c>
    </row>
    <row r="248" ht="15" hidden="1">
      <c r="A248" s="1" t="s">
        <v>827</v>
      </c>
      <c r="B248" s="1">
        <v>55</v>
      </c>
      <c r="C248" s="1">
        <v>55</v>
      </c>
      <c r="D248" s="5">
        <f t="shared" si="15"/>
        <v>100</v>
      </c>
      <c r="E248" s="1">
        <f>VLOOKUP(A248,temporalBoundaries!$A$2:$G$500,2,FALSE())</f>
        <v>1167</v>
      </c>
      <c r="F248" s="1">
        <f>VLOOKUP(A248,temporalBoundaries!$A$2:$G$500,3,FALSE())</f>
        <v>1501</v>
      </c>
      <c r="G248" s="1">
        <f t="shared" si="16"/>
        <v>334</v>
      </c>
      <c r="H248" s="1">
        <f t="shared" si="17"/>
        <v>0.164179104477612</v>
      </c>
      <c r="I248" s="1">
        <f>VLOOKUP($A248,temporalBoundaries!$A$1:$E$470,4,FALSE())</f>
        <v>11670120</v>
      </c>
      <c r="J248" s="1">
        <f>VLOOKUP($A248,temporalBoundaries!$A$1:$E$470,5,FALSE())</f>
        <v>15010710</v>
      </c>
    </row>
    <row r="249" ht="15" hidden="1">
      <c r="A249" s="1" t="s">
        <v>775</v>
      </c>
      <c r="B249" s="1">
        <v>56</v>
      </c>
      <c r="C249" s="1">
        <v>53</v>
      </c>
      <c r="D249" s="5">
        <f t="shared" si="15"/>
        <v>94.642857142857196</v>
      </c>
      <c r="E249" s="1">
        <f>VLOOKUP(A249,temporalBoundaries!$A$2:$G$500,2,FALSE())</f>
        <v>1258</v>
      </c>
      <c r="F249" s="1">
        <f>VLOOKUP(A249,temporalBoundaries!$A$2:$G$500,3,FALSE())</f>
        <v>1841</v>
      </c>
      <c r="G249" s="1">
        <f t="shared" si="16"/>
        <v>583</v>
      </c>
      <c r="H249" s="1">
        <f t="shared" si="17"/>
        <v>0.095890410958904104</v>
      </c>
      <c r="I249" s="1">
        <f>VLOOKUP($A249,temporalBoundaries!$A$1:$E$470,4,FALSE())</f>
        <v>12580223</v>
      </c>
      <c r="J249" s="1">
        <f>VLOOKUP($A249,temporalBoundaries!$A$1:$E$470,5,FALSE())</f>
        <v>18411228</v>
      </c>
    </row>
    <row r="250" ht="15" hidden="1">
      <c r="A250" s="1" t="s">
        <v>17</v>
      </c>
      <c r="B250" s="1">
        <v>56</v>
      </c>
      <c r="C250" s="1">
        <v>52</v>
      </c>
      <c r="D250" s="5">
        <f t="shared" si="15"/>
        <v>92.857142857142904</v>
      </c>
      <c r="E250" s="1">
        <f>VLOOKUP(A250,temporalBoundaries!$A$2:$G$500,2,FALSE())</f>
        <v>1368</v>
      </c>
      <c r="F250" s="1">
        <f>VLOOKUP(A250,temporalBoundaries!$A$2:$G$500,3,FALSE())</f>
        <v>1830</v>
      </c>
      <c r="G250" s="1">
        <f t="shared" si="16"/>
        <v>462</v>
      </c>
      <c r="H250" s="1">
        <f t="shared" si="17"/>
        <v>0.12095032397408199</v>
      </c>
      <c r="I250" s="1">
        <f>VLOOKUP($A250,temporalBoundaries!$A$1:$E$470,4,FALSE())</f>
        <v>13681213</v>
      </c>
      <c r="J250" s="1">
        <f>VLOOKUP($A250,temporalBoundaries!$A$1:$E$470,5,FALSE())</f>
        <v>18309999</v>
      </c>
    </row>
    <row r="251" ht="15" hidden="1">
      <c r="A251" s="1" t="s">
        <v>1791</v>
      </c>
      <c r="B251" s="1">
        <v>56</v>
      </c>
      <c r="C251" s="1">
        <v>0</v>
      </c>
      <c r="D251" s="5">
        <f t="shared" si="15"/>
        <v>0</v>
      </c>
      <c r="E251" s="1">
        <f>VLOOKUP(A251,temporalBoundaries!$A$2:$G$500,2,FALSE())</f>
        <v>1221</v>
      </c>
      <c r="F251" s="1">
        <f>VLOOKUP(A251,temporalBoundaries!$A$2:$G$500,3,FALSE())</f>
        <v>1396</v>
      </c>
      <c r="G251" s="1">
        <f t="shared" si="16"/>
        <v>175</v>
      </c>
      <c r="H251" s="1">
        <f t="shared" si="17"/>
        <v>0.31818181818181801</v>
      </c>
      <c r="I251" s="1">
        <f>VLOOKUP($A251,temporalBoundaries!$A$1:$E$470,4,FALSE())</f>
        <v>12211120</v>
      </c>
      <c r="J251" s="1">
        <f>VLOOKUP($A251,temporalBoundaries!$A$1:$E$470,5,FALSE())</f>
        <v>13960425</v>
      </c>
    </row>
    <row r="252" ht="15" hidden="1">
      <c r="A252" s="1" t="s">
        <v>33</v>
      </c>
      <c r="B252" s="1">
        <v>57</v>
      </c>
      <c r="C252" s="1">
        <v>0</v>
      </c>
      <c r="D252" s="5">
        <f t="shared" si="15"/>
        <v>0</v>
      </c>
      <c r="E252" s="1">
        <f>VLOOKUP(A252,temporalBoundaries!$A$2:$G$500,2,FALSE())</f>
        <v>1171</v>
      </c>
      <c r="F252" s="1">
        <f>VLOOKUP(A252,temporalBoundaries!$A$2:$G$500,3,FALSE())</f>
        <v>1489</v>
      </c>
      <c r="G252" s="1">
        <f t="shared" si="16"/>
        <v>318</v>
      </c>
      <c r="H252" s="1">
        <f t="shared" si="17"/>
        <v>0.17868338557993699</v>
      </c>
      <c r="I252" s="1">
        <f>VLOOKUP($A252,temporalBoundaries!$A$1:$E$470,4,FALSE())</f>
        <v>11711231</v>
      </c>
      <c r="J252" s="1">
        <f>VLOOKUP($A252,temporalBoundaries!$A$1:$E$470,5,FALSE())</f>
        <v>14890721</v>
      </c>
    </row>
    <row r="253" ht="15" hidden="1">
      <c r="A253" s="1" t="s">
        <v>1307</v>
      </c>
      <c r="B253" s="1">
        <v>58</v>
      </c>
      <c r="C253" s="1">
        <v>54</v>
      </c>
      <c r="D253" s="5">
        <f t="shared" si="15"/>
        <v>93.103448275862107</v>
      </c>
      <c r="E253" s="1">
        <f>VLOOKUP(A253,temporalBoundaries!$A$2:$G$500,2,FALSE())</f>
        <v>1326</v>
      </c>
      <c r="F253" s="1">
        <f>VLOOKUP(A253,temporalBoundaries!$A$2:$G$500,3,FALSE())</f>
        <v>1553</v>
      </c>
      <c r="G253" s="1">
        <f t="shared" si="16"/>
        <v>227</v>
      </c>
      <c r="H253" s="1">
        <f t="shared" si="17"/>
        <v>0.25438596491228099</v>
      </c>
      <c r="I253" s="1">
        <f>VLOOKUP($A253,temporalBoundaries!$A$1:$E$470,4,FALSE())</f>
        <v>13260215</v>
      </c>
      <c r="J253" s="1">
        <f>VLOOKUP($A253,temporalBoundaries!$A$1:$E$470,5,FALSE())</f>
        <v>15530501</v>
      </c>
    </row>
    <row r="254" ht="15" hidden="1">
      <c r="A254" s="1" t="s">
        <v>1431</v>
      </c>
      <c r="B254" s="1">
        <v>58</v>
      </c>
      <c r="C254" s="1">
        <v>0</v>
      </c>
      <c r="D254" s="5">
        <f t="shared" si="15"/>
        <v>0</v>
      </c>
      <c r="E254" s="1">
        <f>VLOOKUP(A254,temporalBoundaries!$A$2:$G$500,2,FALSE())</f>
        <v>1212</v>
      </c>
      <c r="F254" s="1">
        <f>VLOOKUP(A254,temporalBoundaries!$A$2:$G$500,3,FALSE())</f>
        <v>1392</v>
      </c>
      <c r="G254" s="1">
        <f t="shared" si="16"/>
        <v>180</v>
      </c>
      <c r="H254" s="1">
        <f t="shared" si="17"/>
        <v>0.32044198895027598</v>
      </c>
      <c r="I254" s="1">
        <f>VLOOKUP($A254,temporalBoundaries!$A$1:$E$470,4,FALSE())</f>
        <v>12121208</v>
      </c>
      <c r="J254" s="1">
        <f>VLOOKUP($A254,temporalBoundaries!$A$1:$E$470,5,FALSE())</f>
        <v>13921130</v>
      </c>
    </row>
    <row r="255" ht="15" hidden="1">
      <c r="A255" s="1" t="s">
        <v>1727</v>
      </c>
      <c r="B255" s="1">
        <v>58</v>
      </c>
      <c r="C255" s="1">
        <v>0</v>
      </c>
      <c r="D255" s="5">
        <f t="shared" si="15"/>
        <v>0</v>
      </c>
      <c r="E255" s="1">
        <f>VLOOKUP(A255,temporalBoundaries!$A$2:$G$500,2,FALSE())</f>
        <v>1251</v>
      </c>
      <c r="F255" s="1">
        <f>VLOOKUP(A255,temporalBoundaries!$A$2:$G$500,3,FALSE())</f>
        <v>1396</v>
      </c>
      <c r="G255" s="1">
        <f t="shared" si="16"/>
        <v>145</v>
      </c>
      <c r="H255" s="1">
        <f t="shared" si="17"/>
        <v>0.397260273972603</v>
      </c>
      <c r="I255" s="1">
        <f>VLOOKUP($A255,temporalBoundaries!$A$1:$E$470,4,FALSE())</f>
        <v>12510128</v>
      </c>
      <c r="J255" s="1">
        <f>VLOOKUP($A255,temporalBoundaries!$A$1:$E$470,5,FALSE())</f>
        <v>13960212</v>
      </c>
    </row>
    <row r="256" ht="15" hidden="1">
      <c r="A256" s="1" t="s">
        <v>1994</v>
      </c>
      <c r="B256" s="1">
        <v>60</v>
      </c>
      <c r="C256" s="1">
        <v>60</v>
      </c>
      <c r="D256" s="5">
        <f t="shared" si="15"/>
        <v>100</v>
      </c>
      <c r="E256" s="1">
        <f>VLOOKUP(A256,temporalBoundaries!$A$2:$G$500,2,FALSE())</f>
        <v>1542</v>
      </c>
      <c r="F256" s="1">
        <f>VLOOKUP(A256,temporalBoundaries!$A$2:$G$500,3,FALSE())</f>
        <v>1797</v>
      </c>
      <c r="G256" s="1">
        <f t="shared" si="16"/>
        <v>255</v>
      </c>
      <c r="H256" s="1">
        <f t="shared" si="17"/>
        <v>0.234375</v>
      </c>
      <c r="I256" s="1" t="e">
        <f>VLOOKUP($A256,temporalBoundaries!$A$1:$E$470,4,FALSE())</f>
        <v>#N/A</v>
      </c>
      <c r="J256" s="1" t="e">
        <f>VLOOKUP($A256,temporalBoundaries!$A$1:$E$470,5,FALSE())</f>
        <v>#N/A</v>
      </c>
    </row>
    <row r="257" ht="15" hidden="1">
      <c r="A257" s="1" t="s">
        <v>1531</v>
      </c>
      <c r="B257" s="1">
        <v>60</v>
      </c>
      <c r="C257" s="1">
        <v>0</v>
      </c>
      <c r="D257" s="5">
        <f t="shared" si="15"/>
        <v>0</v>
      </c>
      <c r="E257" s="1">
        <f>VLOOKUP(A257,temporalBoundaries!$A$2:$G$500,2,FALSE())</f>
        <v>1288</v>
      </c>
      <c r="F257" s="1">
        <f>VLOOKUP(A257,temporalBoundaries!$A$2:$G$500,3,FALSE())</f>
        <v>1390</v>
      </c>
      <c r="G257" s="1">
        <f t="shared" si="16"/>
        <v>102</v>
      </c>
      <c r="H257" s="1">
        <f t="shared" si="17"/>
        <v>0.58252427184466005</v>
      </c>
      <c r="I257" s="1">
        <f>VLOOKUP($A257,temporalBoundaries!$A$1:$E$470,4,FALSE())</f>
        <v>12880202</v>
      </c>
      <c r="J257" s="1">
        <f>VLOOKUP($A257,temporalBoundaries!$A$1:$E$470,5,FALSE())</f>
        <v>13900817</v>
      </c>
    </row>
    <row r="258" ht="15" hidden="1">
      <c r="A258" s="1" t="s">
        <v>1759</v>
      </c>
      <c r="B258" s="1">
        <v>60</v>
      </c>
      <c r="C258" s="1">
        <v>0</v>
      </c>
      <c r="D258" s="5">
        <f t="shared" si="15"/>
        <v>0</v>
      </c>
      <c r="E258" s="1">
        <f>VLOOKUP(A258,temporalBoundaries!$A$2:$G$500,2,FALSE())</f>
        <v>1315</v>
      </c>
      <c r="F258" s="1">
        <f>VLOOKUP(A258,temporalBoundaries!$A$2:$G$500,3,FALSE())</f>
        <v>1395</v>
      </c>
      <c r="G258" s="1">
        <f t="shared" si="16"/>
        <v>80</v>
      </c>
      <c r="H258" s="1">
        <f t="shared" si="17"/>
        <v>0.74074074074074103</v>
      </c>
      <c r="I258" s="1">
        <f>VLOOKUP($A258,temporalBoundaries!$A$1:$E$470,4,FALSE())</f>
        <v>13150228</v>
      </c>
      <c r="J258" s="1">
        <f>VLOOKUP($A258,temporalBoundaries!$A$1:$E$470,5,FALSE())</f>
        <v>13950606</v>
      </c>
    </row>
    <row r="259" ht="15" hidden="1">
      <c r="A259" s="1" t="s">
        <v>959</v>
      </c>
      <c r="B259" s="1">
        <v>61</v>
      </c>
      <c r="C259" s="1">
        <v>61</v>
      </c>
      <c r="D259" s="5">
        <f t="shared" si="15"/>
        <v>100</v>
      </c>
      <c r="E259" s="1">
        <f>VLOOKUP(A259,temporalBoundaries!$A$2:$G$500,2,FALSE())</f>
        <v>1226</v>
      </c>
      <c r="F259" s="1">
        <f>VLOOKUP(A259,temporalBoundaries!$A$2:$G$500,3,FALSE())</f>
        <v>1521</v>
      </c>
      <c r="G259" s="1">
        <f t="shared" si="16"/>
        <v>295</v>
      </c>
      <c r="H259" s="1">
        <f t="shared" si="17"/>
        <v>0.206081081081081</v>
      </c>
      <c r="I259" s="1">
        <f>VLOOKUP($A259,temporalBoundaries!$A$1:$E$470,4,FALSE())</f>
        <v>12261231</v>
      </c>
      <c r="J259" s="1">
        <f>VLOOKUP($A259,temporalBoundaries!$A$1:$E$470,5,FALSE())</f>
        <v>15210209</v>
      </c>
    </row>
    <row r="260" ht="15" hidden="1">
      <c r="A260" s="1" t="s">
        <v>1687</v>
      </c>
      <c r="B260" s="1">
        <v>61</v>
      </c>
      <c r="C260" s="1">
        <v>0</v>
      </c>
      <c r="D260" s="5">
        <f t="shared" si="15"/>
        <v>0</v>
      </c>
      <c r="E260" s="1">
        <f>VLOOKUP(A260,temporalBoundaries!$A$2:$G$500,2,FALSE())</f>
        <v>1141</v>
      </c>
      <c r="F260" s="1">
        <f>VLOOKUP(A260,temporalBoundaries!$A$2:$G$500,3,FALSE())</f>
        <v>1397</v>
      </c>
      <c r="G260" s="1">
        <f t="shared" si="16"/>
        <v>256</v>
      </c>
      <c r="H260" s="1">
        <f t="shared" si="17"/>
        <v>0.237354085603113</v>
      </c>
      <c r="I260" s="1">
        <f>VLOOKUP($A260,temporalBoundaries!$A$1:$E$470,4,FALSE())</f>
        <v>11410504</v>
      </c>
      <c r="J260" s="1">
        <f>VLOOKUP($A260,temporalBoundaries!$A$1:$E$470,5,FALSE())</f>
        <v>13970511</v>
      </c>
    </row>
    <row r="261" ht="15" hidden="1">
      <c r="A261" s="1" t="s">
        <v>899</v>
      </c>
      <c r="B261" s="1">
        <v>61</v>
      </c>
      <c r="C261" s="1">
        <v>61</v>
      </c>
      <c r="D261" s="5">
        <f t="shared" si="15"/>
        <v>100</v>
      </c>
      <c r="E261" s="1">
        <f>VLOOKUP(A261,temporalBoundaries!$A$2:$G$500,2,FALSE())</f>
        <v>1367</v>
      </c>
      <c r="F261" s="1">
        <f>VLOOKUP(A261,temporalBoundaries!$A$2:$G$500,3,FALSE())</f>
        <v>1524</v>
      </c>
      <c r="G261" s="1">
        <f t="shared" si="16"/>
        <v>157</v>
      </c>
      <c r="H261" s="1">
        <f t="shared" si="17"/>
        <v>0.386075949367089</v>
      </c>
      <c r="I261" s="1">
        <f>VLOOKUP($A261,temporalBoundaries!$A$1:$E$470,4,FALSE())</f>
        <v>13670512</v>
      </c>
      <c r="J261" s="1">
        <f>VLOOKUP($A261,temporalBoundaries!$A$1:$E$470,5,FALSE())</f>
        <v>15240826</v>
      </c>
    </row>
    <row r="262" ht="15" hidden="1">
      <c r="A262" s="1" t="s">
        <v>691</v>
      </c>
      <c r="B262" s="1">
        <v>65</v>
      </c>
      <c r="C262" s="1">
        <v>25</v>
      </c>
      <c r="D262" s="5">
        <f t="shared" si="15"/>
        <v>38.461538461538503</v>
      </c>
      <c r="E262" s="1">
        <f>VLOOKUP(A262,temporalBoundaries!$A$2:$G$500,2,FALSE())</f>
        <v>1392</v>
      </c>
      <c r="F262" s="1">
        <f>VLOOKUP(A262,temporalBoundaries!$A$2:$G$500,3,FALSE())</f>
        <v>1757</v>
      </c>
      <c r="G262" s="1">
        <f t="shared" si="16"/>
        <v>365</v>
      </c>
      <c r="H262" s="1">
        <f t="shared" si="17"/>
        <v>0.17759562841530099</v>
      </c>
      <c r="I262" s="1">
        <f>VLOOKUP($A262,temporalBoundaries!$A$1:$E$470,4,FALSE())</f>
        <v>13921114</v>
      </c>
      <c r="J262" s="1">
        <f>VLOOKUP($A262,temporalBoundaries!$A$1:$E$470,5,FALSE())</f>
        <v>17570209</v>
      </c>
    </row>
    <row r="263" ht="15" hidden="1">
      <c r="A263" s="1" t="s">
        <v>1555</v>
      </c>
      <c r="B263" s="1">
        <v>66</v>
      </c>
      <c r="C263" s="1">
        <v>0</v>
      </c>
      <c r="D263" s="5">
        <f t="shared" si="15"/>
        <v>0</v>
      </c>
      <c r="E263" s="1">
        <f>VLOOKUP(A263,temporalBoundaries!$A$2:$G$500,2,FALSE())</f>
        <v>1199</v>
      </c>
      <c r="F263" s="1">
        <f>VLOOKUP(A263,temporalBoundaries!$A$2:$G$500,3,FALSE())</f>
        <v>1393</v>
      </c>
      <c r="G263" s="1">
        <f t="shared" si="16"/>
        <v>194</v>
      </c>
      <c r="H263" s="1">
        <f t="shared" si="17"/>
        <v>0.33846153846153898</v>
      </c>
      <c r="I263" s="1">
        <f>VLOOKUP($A263,temporalBoundaries!$A$1:$E$470,4,FALSE())</f>
        <v>11990331</v>
      </c>
      <c r="J263" s="1">
        <f>VLOOKUP($A263,temporalBoundaries!$A$1:$E$470,5,FALSE())</f>
        <v>13930608</v>
      </c>
    </row>
    <row r="264" ht="15" hidden="1">
      <c r="A264" s="1" t="s">
        <v>1311</v>
      </c>
      <c r="B264" s="1">
        <v>66</v>
      </c>
      <c r="C264" s="1">
        <v>66</v>
      </c>
      <c r="D264" s="5">
        <f t="shared" si="15"/>
        <v>100</v>
      </c>
      <c r="E264" s="1">
        <f>VLOOKUP(A264,temporalBoundaries!$A$2:$G$500,2,FALSE())</f>
        <v>1393</v>
      </c>
      <c r="F264" s="1">
        <f>VLOOKUP(A264,temporalBoundaries!$A$2:$G$500,3,FALSE())</f>
        <v>1551</v>
      </c>
      <c r="G264" s="1">
        <f t="shared" si="16"/>
        <v>158</v>
      </c>
      <c r="H264" s="1">
        <f t="shared" si="17"/>
        <v>0.41509433962264197</v>
      </c>
      <c r="I264" s="1">
        <f>VLOOKUP($A264,temporalBoundaries!$A$1:$E$470,4,FALSE())</f>
        <v>13930615</v>
      </c>
      <c r="J264" s="1">
        <f>VLOOKUP($A264,temporalBoundaries!$A$1:$E$470,5,FALSE())</f>
        <v>15510218</v>
      </c>
    </row>
    <row r="265" ht="15" hidden="1">
      <c r="A265" s="1" t="s">
        <v>919</v>
      </c>
      <c r="B265" s="1">
        <v>66</v>
      </c>
      <c r="C265" s="1">
        <v>66</v>
      </c>
      <c r="D265" s="5">
        <f t="shared" si="15"/>
        <v>100</v>
      </c>
      <c r="E265" s="1">
        <f>VLOOKUP(A265,temporalBoundaries!$A$2:$G$500,2,FALSE())</f>
        <v>1336</v>
      </c>
      <c r="F265" s="1">
        <f>VLOOKUP(A265,temporalBoundaries!$A$2:$G$500,3,FALSE())</f>
        <v>1336</v>
      </c>
      <c r="G265" s="1">
        <f t="shared" si="16"/>
        <v>0</v>
      </c>
      <c r="H265" s="1">
        <f t="shared" si="17"/>
        <v>66</v>
      </c>
      <c r="I265" s="1">
        <f>VLOOKUP($A265,temporalBoundaries!$A$1:$E$470,4,FALSE())</f>
        <v>13360312</v>
      </c>
      <c r="J265" s="1">
        <f>VLOOKUP($A265,temporalBoundaries!$A$1:$E$470,5,FALSE())</f>
        <v>13360312</v>
      </c>
      <c r="K265" s="1" t="s">
        <v>1989</v>
      </c>
    </row>
    <row r="266" ht="15" hidden="1">
      <c r="A266" s="1" t="s">
        <v>1647</v>
      </c>
      <c r="B266" s="1">
        <v>68</v>
      </c>
      <c r="C266" s="1">
        <v>0</v>
      </c>
      <c r="D266" s="5">
        <f t="shared" si="15"/>
        <v>0</v>
      </c>
      <c r="E266" s="1">
        <f>VLOOKUP(A266,temporalBoundaries!$A$2:$G$500,2,FALSE())</f>
        <v>1295</v>
      </c>
      <c r="F266" s="1">
        <f>VLOOKUP(A266,temporalBoundaries!$A$2:$G$500,3,FALSE())</f>
        <v>1398</v>
      </c>
      <c r="G266" s="1">
        <f t="shared" si="16"/>
        <v>103</v>
      </c>
      <c r="H266" s="1">
        <f t="shared" si="17"/>
        <v>0.65384615384615397</v>
      </c>
      <c r="I266" s="1">
        <f>VLOOKUP($A266,temporalBoundaries!$A$1:$E$470,4,FALSE())</f>
        <v>12951006</v>
      </c>
      <c r="J266" s="1">
        <f>VLOOKUP($A266,temporalBoundaries!$A$1:$E$470,5,FALSE())</f>
        <v>13980114</v>
      </c>
    </row>
    <row r="267" ht="15" hidden="1">
      <c r="A267" s="1" t="s">
        <v>643</v>
      </c>
      <c r="B267" s="1">
        <v>69</v>
      </c>
      <c r="C267" s="1">
        <v>67</v>
      </c>
      <c r="D267" s="5">
        <f t="shared" si="15"/>
        <v>97.101449275362299</v>
      </c>
      <c r="E267" s="1">
        <f>VLOOKUP(A267,temporalBoundaries!$A$2:$G$500,2,FALSE())</f>
        <v>1395</v>
      </c>
      <c r="F267" s="1">
        <f>VLOOKUP(A267,temporalBoundaries!$A$2:$G$500,3,FALSE())</f>
        <v>1715</v>
      </c>
      <c r="G267" s="1">
        <f t="shared" si="16"/>
        <v>320</v>
      </c>
      <c r="H267" s="1">
        <f t="shared" si="17"/>
        <v>0.21495327102803699</v>
      </c>
      <c r="I267" s="1">
        <f>VLOOKUP($A267,temporalBoundaries!$A$1:$E$470,4,FALSE())</f>
        <v>13950529</v>
      </c>
      <c r="J267" s="1">
        <f>VLOOKUP($A267,temporalBoundaries!$A$1:$E$470,5,FALSE())</f>
        <v>17151101</v>
      </c>
    </row>
    <row r="268" ht="15" hidden="1">
      <c r="A268" s="1" t="s">
        <v>1351</v>
      </c>
      <c r="B268" s="1">
        <v>70</v>
      </c>
      <c r="C268" s="1">
        <v>70</v>
      </c>
      <c r="D268" s="5">
        <f t="shared" si="15"/>
        <v>100</v>
      </c>
      <c r="E268" s="1">
        <f>VLOOKUP(A268,temporalBoundaries!$A$2:$G$500,2,FALSE())</f>
        <v>921</v>
      </c>
      <c r="F268" s="1">
        <f>VLOOKUP(A268,temporalBoundaries!$A$2:$G$500,3,FALSE())</f>
        <v>1686</v>
      </c>
      <c r="G268" s="1">
        <f t="shared" si="16"/>
        <v>765</v>
      </c>
      <c r="H268" s="1">
        <f t="shared" si="17"/>
        <v>0.091383812010443904</v>
      </c>
      <c r="I268" s="1">
        <f>VLOOKUP($A268,temporalBoundaries!$A$1:$E$470,4,FALSE())</f>
        <v>9211012</v>
      </c>
      <c r="J268" s="1">
        <f>VLOOKUP($A268,temporalBoundaries!$A$1:$E$470,5,FALSE())</f>
        <v>16860820</v>
      </c>
    </row>
    <row r="269" ht="15" hidden="1">
      <c r="A269" s="1" t="s">
        <v>711</v>
      </c>
      <c r="B269" s="1">
        <v>70</v>
      </c>
      <c r="C269" s="1">
        <v>70</v>
      </c>
      <c r="D269" s="5">
        <f t="shared" si="15"/>
        <v>100</v>
      </c>
      <c r="E269" s="1">
        <f>VLOOKUP(A269,temporalBoundaries!$A$2:$G$500,2,FALSE())</f>
        <v>1209</v>
      </c>
      <c r="F269" s="1">
        <f>VLOOKUP(A269,temporalBoundaries!$A$2:$G$500,3,FALSE())</f>
        <v>1782</v>
      </c>
      <c r="G269" s="1">
        <f t="shared" si="16"/>
        <v>573</v>
      </c>
      <c r="H269" s="1">
        <f t="shared" si="17"/>
        <v>0.12195121951219499</v>
      </c>
      <c r="I269" s="1">
        <f>VLOOKUP($A269,temporalBoundaries!$A$1:$E$470,4,FALSE())</f>
        <v>12090403</v>
      </c>
      <c r="J269" s="1">
        <f>VLOOKUP($A269,temporalBoundaries!$A$1:$E$470,5,FALSE())</f>
        <v>17820426</v>
      </c>
    </row>
    <row r="270" ht="15" hidden="1">
      <c r="A270" s="1" t="s">
        <v>587</v>
      </c>
      <c r="B270" s="1">
        <v>70</v>
      </c>
      <c r="C270" s="1">
        <v>70</v>
      </c>
      <c r="D270" s="5">
        <f t="shared" si="15"/>
        <v>100</v>
      </c>
      <c r="E270" s="1">
        <f>VLOOKUP(A270,temporalBoundaries!$A$2:$G$500,2,FALSE())</f>
        <v>1252</v>
      </c>
      <c r="F270" s="1">
        <f>VLOOKUP(A270,temporalBoundaries!$A$2:$G$500,3,FALSE())</f>
        <v>1629</v>
      </c>
      <c r="G270" s="1">
        <f t="shared" si="16"/>
        <v>377</v>
      </c>
      <c r="H270" s="1">
        <f t="shared" si="17"/>
        <v>0.18518518518518501</v>
      </c>
      <c r="I270" s="1">
        <f>VLOOKUP($A270,temporalBoundaries!$A$1:$E$470,4,FALSE())</f>
        <v>12529999</v>
      </c>
      <c r="J270" s="1">
        <f>VLOOKUP($A270,temporalBoundaries!$A$1:$E$470,5,FALSE())</f>
        <v>16290917</v>
      </c>
    </row>
    <row r="271" ht="15" hidden="1">
      <c r="A271" s="1" t="s">
        <v>951</v>
      </c>
      <c r="B271" s="1">
        <v>71</v>
      </c>
      <c r="C271" s="1">
        <v>71</v>
      </c>
      <c r="D271" s="5">
        <f t="shared" si="15"/>
        <v>100</v>
      </c>
      <c r="E271" s="1">
        <f>VLOOKUP(A271,temporalBoundaries!$A$2:$G$500,2,FALSE())</f>
        <v>1255</v>
      </c>
      <c r="F271" s="1">
        <f>VLOOKUP(A271,temporalBoundaries!$A$2:$G$500,3,FALSE())</f>
        <v>1861</v>
      </c>
      <c r="G271" s="1">
        <f t="shared" si="16"/>
        <v>606</v>
      </c>
      <c r="H271" s="1">
        <f t="shared" si="17"/>
        <v>0.11696869851729801</v>
      </c>
      <c r="I271" s="1">
        <f>VLOOKUP($A271,temporalBoundaries!$A$1:$E$470,4,FALSE())</f>
        <v>12550409</v>
      </c>
      <c r="J271" s="1">
        <f>VLOOKUP($A271,temporalBoundaries!$A$1:$E$470,5,FALSE())</f>
        <v>18610322</v>
      </c>
    </row>
    <row r="272" ht="15" hidden="1">
      <c r="A272" s="1" t="s">
        <v>1963</v>
      </c>
      <c r="B272" s="1">
        <v>75</v>
      </c>
      <c r="C272" s="1">
        <v>75</v>
      </c>
      <c r="D272" s="5">
        <f t="shared" si="15"/>
        <v>100</v>
      </c>
      <c r="E272" s="1">
        <f>VLOOKUP(A272,temporalBoundaries!$A$2:$G$500,2,FALSE())</f>
        <v>1125</v>
      </c>
      <c r="F272" s="1">
        <f>VLOOKUP(A272,temporalBoundaries!$A$2:$G$500,3,FALSE())</f>
        <v>1641</v>
      </c>
      <c r="G272" s="1">
        <f t="shared" si="16"/>
        <v>516</v>
      </c>
      <c r="H272" s="1">
        <f t="shared" si="17"/>
        <v>0.145067698259188</v>
      </c>
      <c r="I272" s="1">
        <f>VLOOKUP($A272,temporalBoundaries!$A$1:$E$470,4,FALSE())</f>
        <v>11250799</v>
      </c>
      <c r="J272" s="1">
        <f>VLOOKUP($A272,temporalBoundaries!$A$1:$E$470,5,FALSE())</f>
        <v>16410703</v>
      </c>
    </row>
    <row r="273" ht="15" hidden="1">
      <c r="A273" s="1" t="s">
        <v>1415</v>
      </c>
      <c r="B273" s="1">
        <v>78</v>
      </c>
      <c r="C273" s="1">
        <v>53</v>
      </c>
      <c r="D273" s="5">
        <f t="shared" si="15"/>
        <v>67.948717948717999</v>
      </c>
      <c r="E273" s="1">
        <f>VLOOKUP(A273,temporalBoundaries!$A$2:$G$500,2,FALSE())</f>
        <v>1201</v>
      </c>
      <c r="F273" s="1">
        <f>VLOOKUP(A273,temporalBoundaries!$A$2:$G$500,3,FALSE())</f>
        <v>1523</v>
      </c>
      <c r="G273" s="1">
        <f t="shared" si="16"/>
        <v>322</v>
      </c>
      <c r="H273" s="1">
        <f t="shared" si="17"/>
        <v>0.24148606811145501</v>
      </c>
      <c r="I273" s="1">
        <f>VLOOKUP($A273,temporalBoundaries!$A$1:$E$470,4,FALSE())</f>
        <v>12010118</v>
      </c>
      <c r="J273" s="1">
        <f>VLOOKUP($A273,temporalBoundaries!$A$1:$E$470,5,FALSE())</f>
        <v>15230723</v>
      </c>
    </row>
    <row r="274" ht="15" hidden="1">
      <c r="A274" s="1" t="s">
        <v>217</v>
      </c>
      <c r="B274" s="1">
        <v>78</v>
      </c>
      <c r="C274" s="1">
        <v>48</v>
      </c>
      <c r="D274" s="5">
        <f t="shared" si="15"/>
        <v>61.538461538461597</v>
      </c>
      <c r="E274" s="1">
        <f>VLOOKUP(A274,temporalBoundaries!$A$2:$G$500,2,FALSE())</f>
        <v>1583</v>
      </c>
      <c r="F274" s="1">
        <f>VLOOKUP(A274,temporalBoundaries!$A$2:$G$500,3,FALSE())</f>
        <v>1779</v>
      </c>
      <c r="G274" s="1">
        <f t="shared" si="16"/>
        <v>196</v>
      </c>
      <c r="H274" s="1">
        <f t="shared" si="17"/>
        <v>0.39593908629441599</v>
      </c>
      <c r="I274" s="1">
        <f>VLOOKUP($A274,temporalBoundaries!$A$1:$E$470,4,FALSE())</f>
        <v>15830507</v>
      </c>
      <c r="J274" s="1">
        <f>VLOOKUP($A274,temporalBoundaries!$A$1:$E$470,5,FALSE())</f>
        <v>17790205</v>
      </c>
    </row>
    <row r="275" ht="15" hidden="1">
      <c r="A275" s="1" t="s">
        <v>1779</v>
      </c>
      <c r="B275" s="1">
        <v>79</v>
      </c>
      <c r="C275" s="1">
        <v>0</v>
      </c>
      <c r="D275" s="5">
        <f t="shared" si="15"/>
        <v>0</v>
      </c>
      <c r="E275" s="1">
        <f>VLOOKUP(A275,temporalBoundaries!$A$2:$G$500,2,FALSE())</f>
        <v>1255</v>
      </c>
      <c r="F275" s="1">
        <f>VLOOKUP(A275,temporalBoundaries!$A$2:$G$500,3,FALSE())</f>
        <v>1397</v>
      </c>
      <c r="G275" s="1">
        <f t="shared" si="16"/>
        <v>142</v>
      </c>
      <c r="H275" s="1">
        <f t="shared" si="17"/>
        <v>0.55244755244755195</v>
      </c>
      <c r="I275" s="1">
        <f>VLOOKUP($A275,temporalBoundaries!$A$1:$E$470,4,FALSE())</f>
        <v>12550323</v>
      </c>
      <c r="J275" s="1">
        <f>VLOOKUP($A275,temporalBoundaries!$A$1:$E$470,5,FALSE())</f>
        <v>13971104</v>
      </c>
    </row>
    <row r="276" ht="15" hidden="1">
      <c r="A276" s="1" t="s">
        <v>1487</v>
      </c>
      <c r="B276" s="1">
        <v>82</v>
      </c>
      <c r="C276" s="1">
        <v>0</v>
      </c>
      <c r="D276" s="5">
        <f t="shared" si="15"/>
        <v>0</v>
      </c>
      <c r="E276" s="1">
        <f>VLOOKUP(A276,temporalBoundaries!$A$2:$G$500,2,FALSE())</f>
        <v>1197</v>
      </c>
      <c r="F276" s="1">
        <f>VLOOKUP(A276,temporalBoundaries!$A$2:$G$500,3,FALSE())</f>
        <v>1394</v>
      </c>
      <c r="G276" s="1">
        <f t="shared" si="16"/>
        <v>197</v>
      </c>
      <c r="H276" s="1">
        <f t="shared" si="17"/>
        <v>0.41414141414141398</v>
      </c>
      <c r="I276" s="1">
        <f>VLOOKUP($A276,temporalBoundaries!$A$1:$E$470,4,FALSE())</f>
        <v>11970325</v>
      </c>
      <c r="J276" s="1">
        <f>VLOOKUP($A276,temporalBoundaries!$A$1:$E$470,5,FALSE())</f>
        <v>13940429</v>
      </c>
    </row>
    <row r="277" ht="15" hidden="1">
      <c r="A277" s="1" t="s">
        <v>1839</v>
      </c>
      <c r="B277" s="1">
        <v>82</v>
      </c>
      <c r="C277" s="1">
        <v>0</v>
      </c>
      <c r="D277" s="5">
        <f t="shared" si="15"/>
        <v>0</v>
      </c>
      <c r="E277" s="1">
        <f>VLOOKUP(A277,temporalBoundaries!$A$2:$G$500,2,FALSE())</f>
        <v>1295</v>
      </c>
      <c r="F277" s="1">
        <f>VLOOKUP(A277,temporalBoundaries!$A$2:$G$500,3,FALSE())</f>
        <v>1397</v>
      </c>
      <c r="G277" s="1">
        <f t="shared" si="16"/>
        <v>102</v>
      </c>
      <c r="H277" s="1">
        <f t="shared" si="17"/>
        <v>0.79611650485436902</v>
      </c>
      <c r="I277" s="1">
        <f>VLOOKUP($A277,temporalBoundaries!$A$1:$E$470,4,FALSE())</f>
        <v>12951006</v>
      </c>
      <c r="J277" s="1">
        <f>VLOOKUP($A277,temporalBoundaries!$A$1:$E$470,5,FALSE())</f>
        <v>13971212</v>
      </c>
    </row>
    <row r="278" ht="15" hidden="1">
      <c r="A278" s="1" t="s">
        <v>1627</v>
      </c>
      <c r="B278" s="1">
        <v>83</v>
      </c>
      <c r="C278" s="1">
        <v>0</v>
      </c>
      <c r="D278" s="5">
        <f t="shared" si="15"/>
        <v>0</v>
      </c>
      <c r="E278" s="1">
        <f>VLOOKUP(A278,temporalBoundaries!$A$2:$G$500,2,FALSE())</f>
        <v>1124</v>
      </c>
      <c r="F278" s="1">
        <f>VLOOKUP(A278,temporalBoundaries!$A$2:$G$500,3,FALSE())</f>
        <v>1398</v>
      </c>
      <c r="G278" s="1">
        <f t="shared" si="16"/>
        <v>274</v>
      </c>
      <c r="H278" s="1">
        <f t="shared" si="17"/>
        <v>0.30181818181818199</v>
      </c>
      <c r="I278" s="1">
        <f>VLOOKUP($A278,temporalBoundaries!$A$1:$E$470,4,FALSE())</f>
        <v>11241031</v>
      </c>
      <c r="J278" s="1">
        <f>VLOOKUP($A278,temporalBoundaries!$A$1:$E$470,5,FALSE())</f>
        <v>13981110</v>
      </c>
    </row>
    <row r="279" ht="15" hidden="1">
      <c r="A279" s="1" t="s">
        <v>1775</v>
      </c>
      <c r="B279" s="1">
        <v>84</v>
      </c>
      <c r="C279" s="1">
        <v>0</v>
      </c>
      <c r="D279" s="5">
        <f t="shared" si="15"/>
        <v>0</v>
      </c>
      <c r="E279" s="1">
        <f>VLOOKUP(A279,temporalBoundaries!$A$2:$G$500,2,FALSE())</f>
        <v>1298</v>
      </c>
      <c r="F279" s="1">
        <f>VLOOKUP(A279,temporalBoundaries!$A$2:$G$500,3,FALSE())</f>
        <v>1530</v>
      </c>
      <c r="G279" s="1">
        <f t="shared" si="16"/>
        <v>232</v>
      </c>
      <c r="H279" s="1">
        <f t="shared" si="17"/>
        <v>0.36051502145922798</v>
      </c>
      <c r="I279" s="1">
        <f>VLOOKUP($A279,temporalBoundaries!$A$1:$E$470,4,FALSE())</f>
        <v>12981211</v>
      </c>
      <c r="J279" s="1">
        <f>VLOOKUP($A279,temporalBoundaries!$A$1:$E$470,5,FALSE())</f>
        <v>15301002</v>
      </c>
    </row>
    <row r="280" ht="15" hidden="1">
      <c r="A280" s="1" t="s">
        <v>1463</v>
      </c>
      <c r="B280" s="1">
        <v>84</v>
      </c>
      <c r="C280" s="1">
        <v>0</v>
      </c>
      <c r="D280" s="5">
        <f t="shared" si="15"/>
        <v>0</v>
      </c>
      <c r="E280" s="1">
        <f>VLOOKUP(A280,temporalBoundaries!$A$2:$G$500,2,FALSE())</f>
        <v>1238</v>
      </c>
      <c r="F280" s="1">
        <f>VLOOKUP(A280,temporalBoundaries!$A$2:$G$500,3,FALSE())</f>
        <v>1393</v>
      </c>
      <c r="G280" s="1">
        <f t="shared" si="16"/>
        <v>155</v>
      </c>
      <c r="H280" s="1">
        <f t="shared" si="17"/>
        <v>0.53846153846153799</v>
      </c>
      <c r="I280" s="1">
        <f>VLOOKUP($A280,temporalBoundaries!$A$1:$E$470,4,FALSE())</f>
        <v>12380312</v>
      </c>
      <c r="J280" s="1">
        <f>VLOOKUP($A280,temporalBoundaries!$A$1:$E$470,5,FALSE())</f>
        <v>13931003</v>
      </c>
    </row>
    <row r="281" ht="15" hidden="1">
      <c r="A281" s="1" t="s">
        <v>1795</v>
      </c>
      <c r="B281" s="1">
        <v>85</v>
      </c>
      <c r="C281" s="1">
        <v>0</v>
      </c>
      <c r="D281" s="5">
        <f t="shared" si="15"/>
        <v>0</v>
      </c>
      <c r="E281" s="1">
        <f>VLOOKUP(A281,temporalBoundaries!$A$2:$G$500,2,FALSE())</f>
        <v>1194</v>
      </c>
      <c r="F281" s="1">
        <f>VLOOKUP(A281,temporalBoundaries!$A$2:$G$500,3,FALSE())</f>
        <v>1395</v>
      </c>
      <c r="G281" s="1">
        <f t="shared" si="16"/>
        <v>201</v>
      </c>
      <c r="H281" s="1">
        <f t="shared" si="17"/>
        <v>0.420792079207921</v>
      </c>
      <c r="I281" s="1">
        <f>VLOOKUP($A281,temporalBoundaries!$A$1:$E$470,4,FALSE())</f>
        <v>11940925</v>
      </c>
      <c r="J281" s="1">
        <f>VLOOKUP($A281,temporalBoundaries!$A$1:$E$470,5,FALSE())</f>
        <v>13950125</v>
      </c>
    </row>
    <row r="282" ht="15" hidden="1">
      <c r="A282" s="1" t="s">
        <v>947</v>
      </c>
      <c r="B282" s="1">
        <v>86</v>
      </c>
      <c r="C282" s="1">
        <v>86</v>
      </c>
      <c r="D282" s="5">
        <f t="shared" si="15"/>
        <v>100</v>
      </c>
      <c r="E282" s="1">
        <f>VLOOKUP(A282,temporalBoundaries!$A$2:$G$500,2,FALSE())</f>
        <v>1273</v>
      </c>
      <c r="F282" s="1">
        <f>VLOOKUP(A282,temporalBoundaries!$A$2:$G$500,3,FALSE())</f>
        <v>1524</v>
      </c>
      <c r="G282" s="1">
        <f t="shared" si="16"/>
        <v>251</v>
      </c>
      <c r="H282" s="1">
        <f t="shared" si="17"/>
        <v>0.341269841269841</v>
      </c>
      <c r="I282" s="1">
        <f>VLOOKUP($A282,temporalBoundaries!$A$1:$E$470,4,FALSE())</f>
        <v>12730114</v>
      </c>
      <c r="J282" s="1">
        <f>VLOOKUP($A282,temporalBoundaries!$A$1:$E$470,5,FALSE())</f>
        <v>15240403</v>
      </c>
    </row>
    <row r="283" ht="15" hidden="1">
      <c r="A283" s="1" t="s">
        <v>895</v>
      </c>
      <c r="B283" s="1">
        <v>87</v>
      </c>
      <c r="C283" s="1">
        <v>87</v>
      </c>
      <c r="D283" s="5">
        <f t="shared" si="15"/>
        <v>100</v>
      </c>
      <c r="E283" s="1">
        <f>VLOOKUP(A283,temporalBoundaries!$A$2:$G$500,2,FALSE())</f>
        <v>1297</v>
      </c>
      <c r="F283" s="1">
        <f>VLOOKUP(A283,temporalBoundaries!$A$2:$G$500,3,FALSE())</f>
        <v>1523</v>
      </c>
      <c r="G283" s="1">
        <f t="shared" si="16"/>
        <v>226</v>
      </c>
      <c r="H283" s="1">
        <f t="shared" si="17"/>
        <v>0.383259911894273</v>
      </c>
      <c r="I283" s="1">
        <f>VLOOKUP($A283,temporalBoundaries!$A$1:$E$470,4,FALSE())</f>
        <v>12970718</v>
      </c>
      <c r="J283" s="1">
        <f>VLOOKUP($A283,temporalBoundaries!$A$1:$E$470,5,FALSE())</f>
        <v>15230530</v>
      </c>
    </row>
    <row r="284" ht="15" hidden="1">
      <c r="A284" s="1" t="s">
        <v>1895</v>
      </c>
      <c r="B284" s="1">
        <v>89</v>
      </c>
      <c r="C284" s="1">
        <v>0</v>
      </c>
      <c r="D284" s="5">
        <f t="shared" si="15"/>
        <v>0</v>
      </c>
      <c r="E284" s="1">
        <f>VLOOKUP(A284,temporalBoundaries!$A$2:$G$500,2,FALSE())</f>
        <v>1293</v>
      </c>
      <c r="F284" s="1">
        <f>VLOOKUP(A284,temporalBoundaries!$A$2:$G$500,3,FALSE())</f>
        <v>1397</v>
      </c>
      <c r="G284" s="1">
        <f t="shared" si="16"/>
        <v>104</v>
      </c>
      <c r="H284" s="1">
        <f t="shared" si="17"/>
        <v>0.84761904761904805</v>
      </c>
      <c r="I284" s="1">
        <f>VLOOKUP($A284,temporalBoundaries!$A$1:$E$470,4,FALSE())</f>
        <v>12930131</v>
      </c>
      <c r="J284" s="1">
        <f>VLOOKUP($A284,temporalBoundaries!$A$1:$E$470,5,FALSE())</f>
        <v>13970427</v>
      </c>
    </row>
    <row r="285" ht="15" hidden="1">
      <c r="A285" s="1" t="s">
        <v>1515</v>
      </c>
      <c r="B285" s="1">
        <v>91</v>
      </c>
      <c r="C285" s="1">
        <v>0</v>
      </c>
      <c r="D285" s="5">
        <f t="shared" si="15"/>
        <v>0</v>
      </c>
      <c r="E285" s="1">
        <f>VLOOKUP(A285,temporalBoundaries!$A$2:$G$500,2,FALSE())</f>
        <v>1138</v>
      </c>
      <c r="F285" s="1">
        <f>VLOOKUP(A285,temporalBoundaries!$A$2:$G$500,3,FALSE())</f>
        <v>1396</v>
      </c>
      <c r="G285" s="1">
        <f t="shared" si="16"/>
        <v>258</v>
      </c>
      <c r="H285" s="1">
        <f t="shared" si="17"/>
        <v>0.35135135135135098</v>
      </c>
      <c r="I285" s="1">
        <f>VLOOKUP($A285,temporalBoundaries!$A$1:$E$470,4,FALSE())</f>
        <v>11380131</v>
      </c>
      <c r="J285" s="1">
        <f>VLOOKUP($A285,temporalBoundaries!$A$1:$E$470,5,FALSE())</f>
        <v>13960410</v>
      </c>
    </row>
    <row r="286" ht="15" hidden="1">
      <c r="A286" s="1" t="s">
        <v>1883</v>
      </c>
      <c r="B286" s="1">
        <v>92</v>
      </c>
      <c r="C286" s="1">
        <v>0</v>
      </c>
      <c r="D286" s="5">
        <f t="shared" si="15"/>
        <v>0</v>
      </c>
      <c r="E286" s="1">
        <f>VLOOKUP(A286,temporalBoundaries!$A$2:$G$500,2,FALSE())</f>
        <v>1265</v>
      </c>
      <c r="F286" s="1">
        <f>VLOOKUP(A286,temporalBoundaries!$A$2:$G$500,3,FALSE())</f>
        <v>1398</v>
      </c>
      <c r="G286" s="1">
        <f t="shared" si="16"/>
        <v>133</v>
      </c>
      <c r="H286" s="1">
        <f t="shared" si="17"/>
        <v>0.68656716417910502</v>
      </c>
      <c r="I286" s="1">
        <f>VLOOKUP($A286,temporalBoundaries!$A$1:$E$470,4,FALSE())</f>
        <v>12650509</v>
      </c>
      <c r="J286" s="1">
        <f>VLOOKUP($A286,temporalBoundaries!$A$1:$E$470,5,FALSE())</f>
        <v>13980715</v>
      </c>
    </row>
    <row r="287" ht="15" hidden="1">
      <c r="A287" s="1" t="s">
        <v>751</v>
      </c>
      <c r="B287" s="1">
        <v>95</v>
      </c>
      <c r="C287" s="1">
        <v>94</v>
      </c>
      <c r="D287" s="5">
        <f t="shared" si="15"/>
        <v>98.947368421052602</v>
      </c>
      <c r="E287" s="1">
        <f>VLOOKUP(A287,temporalBoundaries!$A$2:$G$500,2,FALSE())</f>
        <v>1296</v>
      </c>
      <c r="F287" s="1">
        <f>VLOOKUP(A287,temporalBoundaries!$A$2:$G$500,3,FALSE())</f>
        <v>1780</v>
      </c>
      <c r="G287" s="1">
        <f t="shared" si="16"/>
        <v>484</v>
      </c>
      <c r="H287" s="1">
        <f t="shared" si="17"/>
        <v>0.19587628865979401</v>
      </c>
      <c r="I287" s="1">
        <f>VLOOKUP($A287,temporalBoundaries!$A$1:$E$470,4,FALSE())</f>
        <v>12961018</v>
      </c>
      <c r="J287" s="1">
        <f>VLOOKUP($A287,temporalBoundaries!$A$1:$E$470,5,FALSE())</f>
        <v>17801018</v>
      </c>
    </row>
    <row r="288" ht="15" hidden="1">
      <c r="A288" s="1" t="s">
        <v>1335</v>
      </c>
      <c r="B288" s="1">
        <v>95</v>
      </c>
      <c r="C288" s="1">
        <v>95</v>
      </c>
      <c r="D288" s="5">
        <f t="shared" si="15"/>
        <v>100</v>
      </c>
      <c r="E288" s="1">
        <f>VLOOKUP(A288,temporalBoundaries!$A$2:$G$500,2,FALSE())</f>
        <v>1082</v>
      </c>
      <c r="F288" s="1">
        <f>VLOOKUP(A288,temporalBoundaries!$A$2:$G$500,3,FALSE())</f>
        <v>1483</v>
      </c>
      <c r="G288" s="1">
        <f t="shared" si="16"/>
        <v>401</v>
      </c>
      <c r="H288" s="1">
        <f t="shared" si="17"/>
        <v>0.23631840796019901</v>
      </c>
      <c r="I288" s="1">
        <f>VLOOKUP($A288,temporalBoundaries!$A$1:$E$470,4,FALSE())</f>
        <v>10821218</v>
      </c>
      <c r="J288" s="1">
        <f>VLOOKUP($A288,temporalBoundaries!$A$1:$E$470,5,FALSE())</f>
        <v>14831026</v>
      </c>
    </row>
    <row r="289" ht="15" hidden="1">
      <c r="A289" s="1" t="s">
        <v>1783</v>
      </c>
      <c r="B289" s="1">
        <v>95</v>
      </c>
      <c r="C289" s="1">
        <v>0</v>
      </c>
      <c r="D289" s="5">
        <f t="shared" si="15"/>
        <v>0</v>
      </c>
      <c r="E289" s="1">
        <f>VLOOKUP(A289,temporalBoundaries!$A$2:$G$500,2,FALSE())</f>
        <v>1017</v>
      </c>
      <c r="F289" s="1">
        <f>VLOOKUP(A289,temporalBoundaries!$A$2:$G$500,3,FALSE())</f>
        <v>1394</v>
      </c>
      <c r="G289" s="1">
        <f t="shared" si="16"/>
        <v>377</v>
      </c>
      <c r="H289" s="1">
        <f t="shared" si="17"/>
        <v>0.251322751322751</v>
      </c>
      <c r="I289" s="1">
        <f>VLOOKUP($A289,temporalBoundaries!$A$1:$E$470,4,FALSE())</f>
        <v>10170630</v>
      </c>
      <c r="J289" s="1">
        <f>VLOOKUP($A289,temporalBoundaries!$A$1:$E$470,5,FALSE())</f>
        <v>13941227</v>
      </c>
    </row>
    <row r="290" ht="15" hidden="1">
      <c r="A290" s="1" t="s">
        <v>1659</v>
      </c>
      <c r="B290" s="1">
        <v>95</v>
      </c>
      <c r="C290" s="1">
        <v>0</v>
      </c>
      <c r="D290" s="5">
        <f t="shared" si="15"/>
        <v>0</v>
      </c>
      <c r="E290" s="1">
        <f>VLOOKUP(A290,temporalBoundaries!$A$2:$G$500,2,FALSE())</f>
        <v>1255</v>
      </c>
      <c r="F290" s="1">
        <f>VLOOKUP(A290,temporalBoundaries!$A$2:$G$500,3,FALSE())</f>
        <v>1392</v>
      </c>
      <c r="G290" s="1">
        <f t="shared" si="16"/>
        <v>137</v>
      </c>
      <c r="H290" s="1">
        <f t="shared" si="17"/>
        <v>0.688405797101449</v>
      </c>
      <c r="I290" s="1">
        <f>VLOOKUP($A290,temporalBoundaries!$A$1:$E$470,4,FALSE())</f>
        <v>12550204</v>
      </c>
      <c r="J290" s="1">
        <f>VLOOKUP($A290,temporalBoundaries!$A$1:$E$470,5,FALSE())</f>
        <v>13921209</v>
      </c>
    </row>
    <row r="291" ht="15" hidden="1">
      <c r="A291" s="1" t="s">
        <v>1635</v>
      </c>
      <c r="B291" s="1">
        <v>96</v>
      </c>
      <c r="C291" s="1">
        <v>0</v>
      </c>
      <c r="D291" s="5">
        <f t="shared" si="15"/>
        <v>0</v>
      </c>
      <c r="E291" s="1">
        <f>VLOOKUP(A291,temporalBoundaries!$A$2:$G$500,2,FALSE())</f>
        <v>1015</v>
      </c>
      <c r="F291" s="1">
        <f>VLOOKUP(A291,temporalBoundaries!$A$2:$G$500,3,FALSE())</f>
        <v>1398</v>
      </c>
      <c r="G291" s="1">
        <f t="shared" si="16"/>
        <v>383</v>
      </c>
      <c r="H291" s="1">
        <f t="shared" si="17"/>
        <v>0.25</v>
      </c>
      <c r="I291" s="1">
        <f>VLOOKUP($A291,temporalBoundaries!$A$1:$E$470,4,FALSE())</f>
        <v>10150531</v>
      </c>
      <c r="J291" s="1">
        <f>VLOOKUP($A291,temporalBoundaries!$A$1:$E$470,5,FALSE())</f>
        <v>13980413</v>
      </c>
    </row>
    <row r="292" ht="15" hidden="1">
      <c r="A292" s="1" t="s">
        <v>73</v>
      </c>
      <c r="B292" s="1">
        <v>99</v>
      </c>
      <c r="C292" s="1">
        <v>69</v>
      </c>
      <c r="D292" s="5">
        <f t="shared" ref="D292:D355" si="18">100/B292*C292</f>
        <v>69.696969696969703</v>
      </c>
      <c r="E292" s="1">
        <f>VLOOKUP(A292,temporalBoundaries!$A$2:$G$500,2,FALSE())</f>
        <v>1234</v>
      </c>
      <c r="F292" s="1">
        <f>VLOOKUP(A292,temporalBoundaries!$A$2:$G$500,3,FALSE())</f>
        <v>1417</v>
      </c>
      <c r="G292" s="1">
        <f t="shared" ref="G292:G355" si="19">F292-E292</f>
        <v>183</v>
      </c>
      <c r="H292" s="1">
        <f t="shared" ref="H292:H355" si="20">B292/(G292+1)</f>
        <v>0.53804347826086996</v>
      </c>
      <c r="I292" s="1">
        <f>VLOOKUP($A292,temporalBoundaries!$A$1:$E$470,4,FALSE())</f>
        <v>12341207</v>
      </c>
      <c r="J292" s="1">
        <f>VLOOKUP($A292,temporalBoundaries!$A$1:$E$470,5,FALSE())</f>
        <v>14171122</v>
      </c>
    </row>
    <row r="293" ht="15" hidden="1">
      <c r="A293" s="1" t="s">
        <v>739</v>
      </c>
      <c r="B293" s="1">
        <v>100</v>
      </c>
      <c r="C293" s="1">
        <v>100</v>
      </c>
      <c r="D293" s="5">
        <f t="shared" si="18"/>
        <v>100</v>
      </c>
      <c r="E293" s="1">
        <f>VLOOKUP(A293,temporalBoundaries!$A$2:$G$500,2,FALSE())</f>
        <v>1286</v>
      </c>
      <c r="F293" s="1">
        <f>VLOOKUP(A293,temporalBoundaries!$A$2:$G$500,3,FALSE())</f>
        <v>1780</v>
      </c>
      <c r="G293" s="1">
        <f t="shared" si="19"/>
        <v>494</v>
      </c>
      <c r="H293" s="1">
        <f t="shared" si="20"/>
        <v>0.20202020202020199</v>
      </c>
      <c r="I293" s="1">
        <f>VLOOKUP($A293,temporalBoundaries!$A$1:$E$470,4,FALSE())</f>
        <v>12860226</v>
      </c>
      <c r="J293" s="1">
        <f>VLOOKUP($A293,temporalBoundaries!$A$1:$E$470,5,FALSE())</f>
        <v>17800110</v>
      </c>
    </row>
    <row r="294" ht="15" hidden="1">
      <c r="A294" s="1" t="s">
        <v>437</v>
      </c>
      <c r="B294" s="1">
        <v>100</v>
      </c>
      <c r="C294" s="1">
        <v>100</v>
      </c>
      <c r="D294" s="5">
        <f t="shared" si="18"/>
        <v>100</v>
      </c>
      <c r="E294" s="1">
        <f>VLOOKUP(A294,temporalBoundaries!$A$2:$G$500,2,FALSE())</f>
        <v>1295</v>
      </c>
      <c r="F294" s="1">
        <f>VLOOKUP(A294,temporalBoundaries!$A$2:$G$500,3,FALSE())</f>
        <v>1773</v>
      </c>
      <c r="G294" s="1">
        <f t="shared" si="19"/>
        <v>478</v>
      </c>
      <c r="H294" s="1">
        <f t="shared" si="20"/>
        <v>0.20876826722338199</v>
      </c>
      <c r="I294" s="1">
        <f>VLOOKUP($A294,temporalBoundaries!$A$1:$E$470,4,FALSE())</f>
        <v>12950921</v>
      </c>
      <c r="J294" s="1">
        <f>VLOOKUP($A294,temporalBoundaries!$A$1:$E$470,5,FALSE())</f>
        <v>17731231</v>
      </c>
    </row>
    <row r="295" ht="15" hidden="1">
      <c r="A295" s="1" t="s">
        <v>1299</v>
      </c>
      <c r="B295" s="1">
        <v>101</v>
      </c>
      <c r="C295" s="1">
        <v>0</v>
      </c>
      <c r="D295" s="5">
        <f t="shared" si="18"/>
        <v>0</v>
      </c>
      <c r="E295" s="1">
        <f>VLOOKUP(A295,temporalBoundaries!$A$2:$G$500,2,FALSE())</f>
        <v>1317</v>
      </c>
      <c r="F295" s="1">
        <f>VLOOKUP(A295,temporalBoundaries!$A$2:$G$500,3,FALSE())</f>
        <v>1790</v>
      </c>
      <c r="G295" s="1">
        <f t="shared" si="19"/>
        <v>473</v>
      </c>
      <c r="H295" s="1">
        <f t="shared" si="20"/>
        <v>0.21308016877637101</v>
      </c>
      <c r="I295" s="1">
        <f>VLOOKUP($A295,temporalBoundaries!$A$1:$E$470,4,FALSE())</f>
        <v>13170609</v>
      </c>
      <c r="J295" s="1">
        <f>VLOOKUP($A295,temporalBoundaries!$A$1:$E$470,5,FALSE())</f>
        <v>17900299</v>
      </c>
    </row>
    <row r="296" ht="15" hidden="1">
      <c r="A296" s="1" t="s">
        <v>1763</v>
      </c>
      <c r="B296" s="1">
        <v>106</v>
      </c>
      <c r="C296" s="1">
        <v>0</v>
      </c>
      <c r="D296" s="5">
        <f t="shared" si="18"/>
        <v>0</v>
      </c>
      <c r="E296" s="1">
        <f>VLOOKUP(A296,temporalBoundaries!$A$2:$G$500,2,FALSE())</f>
        <v>1246</v>
      </c>
      <c r="F296" s="1">
        <f>VLOOKUP(A296,temporalBoundaries!$A$2:$G$500,3,FALSE())</f>
        <v>1394</v>
      </c>
      <c r="G296" s="1">
        <f t="shared" si="19"/>
        <v>148</v>
      </c>
      <c r="H296" s="1">
        <f t="shared" si="20"/>
        <v>0.711409395973154</v>
      </c>
      <c r="I296" s="1">
        <f>VLOOKUP($A296,temporalBoundaries!$A$1:$E$470,4,FALSE())</f>
        <v>12460125</v>
      </c>
      <c r="J296" s="1">
        <f>VLOOKUP($A296,temporalBoundaries!$A$1:$E$470,5,FALSE())</f>
        <v>13941106</v>
      </c>
    </row>
    <row r="297" ht="15" hidden="1">
      <c r="A297" s="1" t="s">
        <v>1691</v>
      </c>
      <c r="B297" s="1">
        <v>109</v>
      </c>
      <c r="C297" s="1">
        <v>0</v>
      </c>
      <c r="D297" s="5">
        <f t="shared" si="18"/>
        <v>0</v>
      </c>
      <c r="E297" s="1">
        <f>VLOOKUP(A297,temporalBoundaries!$A$2:$G$500,2,FALSE())</f>
        <v>1282</v>
      </c>
      <c r="F297" s="1">
        <f>VLOOKUP(A297,temporalBoundaries!$A$2:$G$500,3,FALSE())</f>
        <v>1391</v>
      </c>
      <c r="G297" s="1">
        <f t="shared" si="19"/>
        <v>109</v>
      </c>
      <c r="H297" s="1">
        <f t="shared" si="20"/>
        <v>0.99090909090909096</v>
      </c>
      <c r="I297" s="1">
        <f>VLOOKUP($A297,temporalBoundaries!$A$1:$E$470,4,FALSE())</f>
        <v>12821019</v>
      </c>
      <c r="J297" s="1">
        <f>VLOOKUP($A297,temporalBoundaries!$A$1:$E$470,5,FALSE())</f>
        <v>13910630</v>
      </c>
    </row>
    <row r="298" ht="15" hidden="1">
      <c r="A298" s="1" t="s">
        <v>1375</v>
      </c>
      <c r="B298" s="1">
        <v>110</v>
      </c>
      <c r="C298" s="1">
        <v>110</v>
      </c>
      <c r="D298" s="5">
        <f t="shared" si="18"/>
        <v>100</v>
      </c>
      <c r="E298" s="1">
        <f>VLOOKUP(A298,temporalBoundaries!$A$2:$G$500,2,FALSE())</f>
        <v>951</v>
      </c>
      <c r="F298" s="1">
        <f>VLOOKUP(A298,temporalBoundaries!$A$2:$G$500,3,FALSE())</f>
        <v>1631</v>
      </c>
      <c r="G298" s="1">
        <f t="shared" si="19"/>
        <v>680</v>
      </c>
      <c r="H298" s="1">
        <f t="shared" si="20"/>
        <v>0.161527165932452</v>
      </c>
      <c r="I298" s="1">
        <f>VLOOKUP($A298,temporalBoundaries!$A$1:$E$470,4,FALSE())</f>
        <v>9510825</v>
      </c>
      <c r="J298" s="1">
        <f>VLOOKUP($A298,temporalBoundaries!$A$1:$E$470,5,FALSE())</f>
        <v>16310717</v>
      </c>
    </row>
    <row r="299" ht="15" hidden="1">
      <c r="A299" s="1" t="s">
        <v>1043</v>
      </c>
      <c r="B299" s="1">
        <v>112</v>
      </c>
      <c r="C299" s="1">
        <v>112</v>
      </c>
      <c r="D299" s="5">
        <f t="shared" si="18"/>
        <v>100</v>
      </c>
      <c r="E299" s="1">
        <f>VLOOKUP(A299,temporalBoundaries!$A$2:$G$500,2,FALSE())</f>
        <v>1001</v>
      </c>
      <c r="F299" s="1">
        <f>VLOOKUP(A299,temporalBoundaries!$A$2:$G$500,3,FALSE())</f>
        <v>1801</v>
      </c>
      <c r="G299" s="1">
        <f t="shared" si="19"/>
        <v>800</v>
      </c>
      <c r="H299" s="1">
        <f t="shared" si="20"/>
        <v>0.13982521847690399</v>
      </c>
      <c r="I299" s="1">
        <f>VLOOKUP($A299,temporalBoundaries!$A$1:$E$470,4,FALSE())</f>
        <v>10019999</v>
      </c>
      <c r="J299" s="1">
        <f>VLOOKUP($A299,temporalBoundaries!$A$1:$E$470,5,FALSE())</f>
        <v>18010602</v>
      </c>
    </row>
    <row r="300" ht="15" hidden="1">
      <c r="A300" s="1" t="s">
        <v>979</v>
      </c>
      <c r="B300" s="1">
        <v>112</v>
      </c>
      <c r="C300" s="1">
        <v>112</v>
      </c>
      <c r="D300" s="5">
        <f t="shared" si="18"/>
        <v>100</v>
      </c>
      <c r="E300" s="1">
        <f>VLOOKUP(A300,temporalBoundaries!$A$2:$G$500,2,FALSE())</f>
        <v>1294</v>
      </c>
      <c r="F300" s="1">
        <f>VLOOKUP(A300,temporalBoundaries!$A$2:$G$500,3,FALSE())</f>
        <v>1785</v>
      </c>
      <c r="G300" s="1">
        <f t="shared" si="19"/>
        <v>491</v>
      </c>
      <c r="H300" s="1">
        <f t="shared" si="20"/>
        <v>0.22764227642276399</v>
      </c>
      <c r="I300" s="1">
        <f>VLOOKUP($A300,temporalBoundaries!$A$1:$E$470,4,FALSE())</f>
        <v>12940524</v>
      </c>
      <c r="J300" s="1">
        <f>VLOOKUP($A300,temporalBoundaries!$A$1:$E$470,5,FALSE())</f>
        <v>17850104</v>
      </c>
    </row>
    <row r="301" ht="15" hidden="1">
      <c r="A301" s="1" t="s">
        <v>1955</v>
      </c>
      <c r="B301" s="1">
        <v>113</v>
      </c>
      <c r="C301" s="1">
        <v>113</v>
      </c>
      <c r="D301" s="5">
        <f t="shared" si="18"/>
        <v>100</v>
      </c>
      <c r="E301" s="1">
        <f>VLOOKUP(A301,temporalBoundaries!$A$2:$G$500,2,FALSE())</f>
        <v>1304</v>
      </c>
      <c r="F301" s="1">
        <f>VLOOKUP(A301,temporalBoundaries!$A$2:$G$500,3,FALSE())</f>
        <v>1815</v>
      </c>
      <c r="G301" s="1">
        <f t="shared" si="19"/>
        <v>511</v>
      </c>
      <c r="H301" s="1">
        <f t="shared" si="20"/>
        <v>0.220703125</v>
      </c>
      <c r="I301" s="1">
        <f>VLOOKUP($A301,temporalBoundaries!$A$1:$E$470,4,FALSE())</f>
        <v>13040228</v>
      </c>
      <c r="J301" s="1">
        <f>VLOOKUP($A301,temporalBoundaries!$A$1:$E$470,5,FALSE())</f>
        <v>18150808</v>
      </c>
    </row>
    <row r="302" ht="15" hidden="1">
      <c r="A302" s="1" t="s">
        <v>1771</v>
      </c>
      <c r="B302" s="1">
        <v>114</v>
      </c>
      <c r="C302" s="1">
        <v>0</v>
      </c>
      <c r="D302" s="5">
        <f t="shared" si="18"/>
        <v>0</v>
      </c>
      <c r="E302" s="1">
        <f>VLOOKUP(A302,temporalBoundaries!$A$2:$G$500,2,FALSE())</f>
        <v>1107</v>
      </c>
      <c r="F302" s="1">
        <f>VLOOKUP(A302,temporalBoundaries!$A$2:$G$500,3,FALSE())</f>
        <v>1397</v>
      </c>
      <c r="G302" s="1">
        <f t="shared" si="19"/>
        <v>290</v>
      </c>
      <c r="H302" s="1">
        <f t="shared" si="20"/>
        <v>0.39175257731958801</v>
      </c>
      <c r="I302" s="1">
        <f>VLOOKUP($A302,temporalBoundaries!$A$1:$E$470,4,FALSE())</f>
        <v>11070921</v>
      </c>
      <c r="J302" s="1">
        <f>VLOOKUP($A302,temporalBoundaries!$A$1:$E$470,5,FALSE())</f>
        <v>13970913</v>
      </c>
    </row>
    <row r="303" ht="15" hidden="1">
      <c r="A303" s="1" t="s">
        <v>25</v>
      </c>
      <c r="B303" s="1">
        <v>123</v>
      </c>
      <c r="C303" s="1">
        <v>12</v>
      </c>
      <c r="D303" s="5">
        <f t="shared" si="18"/>
        <v>9.7560975609756095</v>
      </c>
      <c r="E303" s="1">
        <f>VLOOKUP(A303,temporalBoundaries!$A$2:$G$500,2,FALSE())</f>
        <v>1316</v>
      </c>
      <c r="F303" s="1">
        <f>VLOOKUP(A303,temporalBoundaries!$A$2:$G$500,3,FALSE())</f>
        <v>1782</v>
      </c>
      <c r="G303" s="1">
        <f t="shared" si="19"/>
        <v>466</v>
      </c>
      <c r="H303" s="1">
        <f t="shared" si="20"/>
        <v>0.26338329764453999</v>
      </c>
      <c r="I303" s="1">
        <f>VLOOKUP($A303,temporalBoundaries!$A$1:$E$470,4,FALSE())</f>
        <v>13161021</v>
      </c>
      <c r="J303" s="1">
        <f>VLOOKUP($A303,temporalBoundaries!$A$1:$E$470,5,FALSE())</f>
        <v>17820622</v>
      </c>
    </row>
    <row r="304" ht="15" hidden="1">
      <c r="A304" s="1" t="s">
        <v>1315</v>
      </c>
      <c r="B304" s="1">
        <v>123</v>
      </c>
      <c r="C304" s="1">
        <v>113</v>
      </c>
      <c r="D304" s="5">
        <f t="shared" si="18"/>
        <v>91.869918699186996</v>
      </c>
      <c r="E304" s="1">
        <f>VLOOKUP(A304,temporalBoundaries!$A$2:$G$500,2,FALSE())</f>
        <v>1179</v>
      </c>
      <c r="F304" s="1">
        <f>VLOOKUP(A304,temporalBoundaries!$A$2:$G$500,3,FALSE())</f>
        <v>1600</v>
      </c>
      <c r="G304" s="1">
        <f t="shared" si="19"/>
        <v>421</v>
      </c>
      <c r="H304" s="1">
        <f t="shared" si="20"/>
        <v>0.291469194312796</v>
      </c>
      <c r="I304" s="1">
        <f>VLOOKUP($A304,temporalBoundaries!$A$1:$E$470,4,FALSE())</f>
        <v>11791231</v>
      </c>
      <c r="J304" s="1">
        <f>VLOOKUP($A304,temporalBoundaries!$A$1:$E$470,5,FALSE())</f>
        <v>16001231</v>
      </c>
    </row>
    <row r="305" ht="15" hidden="1">
      <c r="A305" s="1" t="s">
        <v>1731</v>
      </c>
      <c r="B305" s="1">
        <v>123</v>
      </c>
      <c r="C305" s="1">
        <v>0</v>
      </c>
      <c r="D305" s="5">
        <f t="shared" si="18"/>
        <v>0</v>
      </c>
      <c r="E305" s="1">
        <f>VLOOKUP(A305,temporalBoundaries!$A$2:$G$500,2,FALSE())</f>
        <v>1255</v>
      </c>
      <c r="F305" s="1">
        <f>VLOOKUP(A305,temporalBoundaries!$A$2:$G$500,3,FALSE())</f>
        <v>1397</v>
      </c>
      <c r="G305" s="1">
        <f t="shared" si="19"/>
        <v>142</v>
      </c>
      <c r="H305" s="1">
        <f t="shared" si="20"/>
        <v>0.86013986013985999</v>
      </c>
      <c r="I305" s="1">
        <f>VLOOKUP($A305,temporalBoundaries!$A$1:$E$470,4,FALSE())</f>
        <v>12551031</v>
      </c>
      <c r="J305" s="1">
        <f>VLOOKUP($A305,temporalBoundaries!$A$1:$E$470,5,FALSE())</f>
        <v>13970825</v>
      </c>
    </row>
    <row r="306" ht="15" hidden="1">
      <c r="A306" s="1" t="s">
        <v>1455</v>
      </c>
      <c r="B306" s="1">
        <v>124</v>
      </c>
      <c r="C306" s="1">
        <v>0</v>
      </c>
      <c r="D306" s="5">
        <f t="shared" si="18"/>
        <v>0</v>
      </c>
      <c r="E306" s="1">
        <f>VLOOKUP(A306,temporalBoundaries!$A$2:$G$500,2,FALSE())</f>
        <v>1191</v>
      </c>
      <c r="F306" s="1">
        <f>VLOOKUP(A306,temporalBoundaries!$A$2:$G$500,3,FALSE())</f>
        <v>1397</v>
      </c>
      <c r="G306" s="1">
        <f t="shared" si="19"/>
        <v>206</v>
      </c>
      <c r="H306" s="1">
        <f t="shared" si="20"/>
        <v>0.59903381642512099</v>
      </c>
      <c r="I306" s="1">
        <f>VLOOKUP($A306,temporalBoundaries!$A$1:$E$470,4,FALSE())</f>
        <v>11910609</v>
      </c>
      <c r="J306" s="1">
        <f>VLOOKUP($A306,temporalBoundaries!$A$1:$E$470,5,FALSE())</f>
        <v>13970829</v>
      </c>
    </row>
    <row r="307" ht="15" hidden="1">
      <c r="A307" s="1" t="s">
        <v>1995</v>
      </c>
      <c r="B307" s="1">
        <v>124</v>
      </c>
      <c r="C307" s="1">
        <v>122</v>
      </c>
      <c r="D307" s="5">
        <f t="shared" si="18"/>
        <v>98.387096774193495</v>
      </c>
      <c r="E307" s="1">
        <f>VLOOKUP(A307,temporalBoundaries!$A$2:$G$500,2,FALSE())</f>
        <v>1540</v>
      </c>
      <c r="F307" s="1">
        <f>VLOOKUP(A307,temporalBoundaries!$A$2:$G$500,3,FALSE())</f>
        <v>1680</v>
      </c>
      <c r="G307" s="1">
        <f t="shared" si="19"/>
        <v>140</v>
      </c>
      <c r="H307" s="1">
        <f t="shared" si="20"/>
        <v>0.879432624113475</v>
      </c>
      <c r="I307" s="1" t="e">
        <f>VLOOKUP($A307,temporalBoundaries!$A$1:$E$470,4,FALSE())</f>
        <v>#N/A</v>
      </c>
      <c r="J307" s="1" t="e">
        <f>VLOOKUP($A307,temporalBoundaries!$A$1:$E$470,5,FALSE())</f>
        <v>#N/A</v>
      </c>
    </row>
    <row r="308" ht="15" hidden="1">
      <c r="A308" s="1" t="s">
        <v>233</v>
      </c>
      <c r="B308" s="1">
        <v>125</v>
      </c>
      <c r="C308" s="1">
        <v>28</v>
      </c>
      <c r="D308" s="5">
        <f t="shared" si="18"/>
        <v>22.399999999999999</v>
      </c>
      <c r="E308" s="1">
        <f>VLOOKUP(A308,temporalBoundaries!$A$2:$G$500,2,FALSE())</f>
        <v>1401</v>
      </c>
      <c r="F308" s="1">
        <f>VLOOKUP(A308,temporalBoundaries!$A$2:$G$500,3,FALSE())</f>
        <v>1666</v>
      </c>
      <c r="G308" s="1">
        <f t="shared" si="19"/>
        <v>265</v>
      </c>
      <c r="H308" s="1">
        <f t="shared" si="20"/>
        <v>0.46992481203007502</v>
      </c>
      <c r="I308" s="1">
        <f>VLOOKUP($A308,temporalBoundaries!$A$1:$E$470,4,FALSE())</f>
        <v>14010825</v>
      </c>
      <c r="J308" s="1">
        <f>VLOOKUP($A308,temporalBoundaries!$A$1:$E$470,5,FALSE())</f>
        <v>16660410</v>
      </c>
    </row>
    <row r="309" ht="15" hidden="1">
      <c r="A309" s="1" t="s">
        <v>1939</v>
      </c>
      <c r="B309" s="1">
        <v>126</v>
      </c>
      <c r="C309" s="1">
        <v>126</v>
      </c>
      <c r="D309" s="5">
        <f t="shared" si="18"/>
        <v>100</v>
      </c>
      <c r="E309" s="1">
        <f>VLOOKUP(A309,temporalBoundaries!$A$2:$G$500,2,FALSE())</f>
        <v>1326</v>
      </c>
      <c r="F309" s="1">
        <f>VLOOKUP(A309,temporalBoundaries!$A$2:$G$500,3,FALSE())</f>
        <v>1720</v>
      </c>
      <c r="G309" s="1">
        <f t="shared" si="19"/>
        <v>394</v>
      </c>
      <c r="H309" s="1">
        <f t="shared" si="20"/>
        <v>0.31898734177215199</v>
      </c>
      <c r="I309" s="1">
        <f>VLOOKUP($A309,temporalBoundaries!$A$1:$E$470,4,FALSE())</f>
        <v>13260425</v>
      </c>
      <c r="J309" s="1">
        <f>VLOOKUP($A309,temporalBoundaries!$A$1:$E$470,5,FALSE())</f>
        <v>17200225</v>
      </c>
    </row>
    <row r="310" ht="15" hidden="1">
      <c r="A310" s="1" t="s">
        <v>1943</v>
      </c>
      <c r="B310" s="1">
        <v>127</v>
      </c>
      <c r="C310" s="1">
        <v>127</v>
      </c>
      <c r="D310" s="5">
        <f t="shared" si="18"/>
        <v>100</v>
      </c>
      <c r="E310" s="1">
        <f>VLOOKUP(A310,temporalBoundaries!$A$2:$G$500,2,FALSE())</f>
        <v>1334</v>
      </c>
      <c r="F310" s="1">
        <f>VLOOKUP(A310,temporalBoundaries!$A$2:$G$500,3,FALSE())</f>
        <v>1735</v>
      </c>
      <c r="G310" s="1">
        <f t="shared" si="19"/>
        <v>401</v>
      </c>
      <c r="H310" s="1">
        <f t="shared" si="20"/>
        <v>0.31592039800994998</v>
      </c>
      <c r="I310" s="1">
        <f>VLOOKUP($A310,temporalBoundaries!$A$1:$E$470,4,FALSE())</f>
        <v>13340601</v>
      </c>
      <c r="J310" s="1">
        <f>VLOOKUP($A310,temporalBoundaries!$A$1:$E$470,5,FALSE())</f>
        <v>17350527</v>
      </c>
    </row>
    <row r="311" ht="15" hidden="1">
      <c r="A311" s="1" t="s">
        <v>863</v>
      </c>
      <c r="B311" s="1">
        <v>127</v>
      </c>
      <c r="C311" s="1">
        <v>126</v>
      </c>
      <c r="D311" s="5">
        <f t="shared" si="18"/>
        <v>99.212598425196902</v>
      </c>
      <c r="E311" s="1">
        <f>VLOOKUP(A311,temporalBoundaries!$A$2:$G$500,2,FALSE())</f>
        <v>1256</v>
      </c>
      <c r="F311" s="1">
        <f>VLOOKUP(A311,temporalBoundaries!$A$2:$G$500,3,FALSE())</f>
        <v>1523</v>
      </c>
      <c r="G311" s="1">
        <f t="shared" si="19"/>
        <v>267</v>
      </c>
      <c r="H311" s="1">
        <f t="shared" si="20"/>
        <v>0.47388059701492502</v>
      </c>
      <c r="I311" s="1">
        <f>VLOOKUP($A311,temporalBoundaries!$A$1:$E$470,4,FALSE())</f>
        <v>12561223</v>
      </c>
      <c r="J311" s="1">
        <f>VLOOKUP($A311,temporalBoundaries!$A$1:$E$470,5,FALSE())</f>
        <v>15231004</v>
      </c>
    </row>
    <row r="312" ht="15" hidden="1">
      <c r="A312" s="1" t="s">
        <v>843</v>
      </c>
      <c r="B312" s="1">
        <v>129</v>
      </c>
      <c r="C312" s="1">
        <v>129</v>
      </c>
      <c r="D312" s="5">
        <f t="shared" si="18"/>
        <v>100</v>
      </c>
      <c r="E312" s="1">
        <f>VLOOKUP(A312,temporalBoundaries!$A$2:$G$500,2,FALSE())</f>
        <v>1285</v>
      </c>
      <c r="F312" s="1">
        <f>VLOOKUP(A312,temporalBoundaries!$A$2:$G$500,3,FALSE())</f>
        <v>1510</v>
      </c>
      <c r="G312" s="1">
        <f t="shared" si="19"/>
        <v>225</v>
      </c>
      <c r="H312" s="1">
        <f t="shared" si="20"/>
        <v>0.57079646017699104</v>
      </c>
      <c r="I312" s="1">
        <f>VLOOKUP($A312,temporalBoundaries!$A$1:$E$470,4,FALSE())</f>
        <v>12850701</v>
      </c>
      <c r="J312" s="1">
        <f>VLOOKUP($A312,temporalBoundaries!$A$1:$E$470,5,FALSE())</f>
        <v>15100125</v>
      </c>
    </row>
    <row r="313" ht="15" hidden="1">
      <c r="A313" s="1" t="s">
        <v>995</v>
      </c>
      <c r="B313" s="1">
        <v>135</v>
      </c>
      <c r="C313" s="1">
        <v>135</v>
      </c>
      <c r="D313" s="5">
        <f t="shared" si="18"/>
        <v>100</v>
      </c>
      <c r="E313" s="1">
        <f>VLOOKUP(A313,temporalBoundaries!$A$2:$G$500,2,FALSE())</f>
        <v>1233</v>
      </c>
      <c r="F313" s="1">
        <f>VLOOKUP(A313,temporalBoundaries!$A$2:$G$500,3,FALSE())</f>
        <v>1853</v>
      </c>
      <c r="G313" s="1">
        <f t="shared" si="19"/>
        <v>620</v>
      </c>
      <c r="H313" s="1">
        <f t="shared" si="20"/>
        <v>0.217391304347826</v>
      </c>
      <c r="I313" s="1">
        <f>VLOOKUP($A313,temporalBoundaries!$A$1:$E$470,4,FALSE())</f>
        <v>12330825</v>
      </c>
      <c r="J313" s="1">
        <f>VLOOKUP($A313,temporalBoundaries!$A$1:$E$470,5,FALSE())</f>
        <v>18530412</v>
      </c>
    </row>
    <row r="314" ht="15" hidden="1">
      <c r="A314" s="1" t="s">
        <v>679</v>
      </c>
      <c r="B314" s="1">
        <v>136</v>
      </c>
      <c r="C314" s="1">
        <v>97</v>
      </c>
      <c r="D314" s="5">
        <f t="shared" si="18"/>
        <v>71.323529411764696</v>
      </c>
      <c r="E314" s="1">
        <f>VLOOKUP(A314,temporalBoundaries!$A$2:$G$500,2,FALSE())</f>
        <v>1238</v>
      </c>
      <c r="F314" s="1">
        <f>VLOOKUP(A314,temporalBoundaries!$A$2:$G$500,3,FALSE())</f>
        <v>1514</v>
      </c>
      <c r="G314" s="1">
        <f t="shared" si="19"/>
        <v>276</v>
      </c>
      <c r="H314" s="1">
        <f t="shared" si="20"/>
        <v>0.49097472924187702</v>
      </c>
      <c r="I314" s="1">
        <f>VLOOKUP($A314,temporalBoundaries!$A$1:$E$470,4,FALSE())</f>
        <v>12381015</v>
      </c>
      <c r="J314" s="1">
        <f>VLOOKUP($A314,temporalBoundaries!$A$1:$E$470,5,FALSE())</f>
        <v>15140918</v>
      </c>
    </row>
    <row r="315" ht="15" hidden="1">
      <c r="A315" s="1" t="s">
        <v>1183</v>
      </c>
      <c r="B315" s="1">
        <v>142</v>
      </c>
      <c r="C315" s="1">
        <v>141</v>
      </c>
      <c r="D315" s="5">
        <f t="shared" si="18"/>
        <v>99.295774647887299</v>
      </c>
      <c r="E315" s="1">
        <f>VLOOKUP(A315,temporalBoundaries!$A$2:$G$500,2,FALSE())</f>
        <v>1109</v>
      </c>
      <c r="F315" s="1">
        <f>VLOOKUP(A315,temporalBoundaries!$A$2:$G$500,3,FALSE())</f>
        <v>1612</v>
      </c>
      <c r="G315" s="1">
        <f t="shared" si="19"/>
        <v>503</v>
      </c>
      <c r="H315" s="1">
        <f t="shared" si="20"/>
        <v>0.28174603174603202</v>
      </c>
      <c r="I315" s="1">
        <f>VLOOKUP($A315,temporalBoundaries!$A$1:$E$470,4,FALSE())</f>
        <v>11090414</v>
      </c>
      <c r="J315" s="1">
        <f>VLOOKUP($A315,temporalBoundaries!$A$1:$E$470,5,FALSE())</f>
        <v>16121124</v>
      </c>
    </row>
    <row r="316" ht="15" hidden="1">
      <c r="A316" s="1" t="s">
        <v>703</v>
      </c>
      <c r="B316" s="1">
        <v>145</v>
      </c>
      <c r="C316" s="1">
        <v>88</v>
      </c>
      <c r="D316" s="5">
        <f t="shared" si="18"/>
        <v>60.689655172413801</v>
      </c>
      <c r="E316" s="1">
        <f>VLOOKUP(A316,temporalBoundaries!$A$2:$G$500,2,FALSE())</f>
        <v>1511</v>
      </c>
      <c r="F316" s="1">
        <f>VLOOKUP(A316,temporalBoundaries!$A$2:$G$500,3,FALSE())</f>
        <v>1524</v>
      </c>
      <c r="G316" s="1">
        <f t="shared" si="19"/>
        <v>13</v>
      </c>
      <c r="H316" s="1">
        <f t="shared" si="20"/>
        <v>10.3571428571429</v>
      </c>
      <c r="I316" s="1">
        <f>VLOOKUP($A316,temporalBoundaries!$A$1:$E$470,4,FALSE())</f>
        <v>15111007</v>
      </c>
      <c r="J316" s="1">
        <f>VLOOKUP($A316,temporalBoundaries!$A$1:$E$470,5,FALSE())</f>
        <v>15240624</v>
      </c>
    </row>
    <row r="317" ht="15" hidden="1">
      <c r="A317" s="1" t="s">
        <v>1103</v>
      </c>
      <c r="B317" s="1">
        <v>148</v>
      </c>
      <c r="C317" s="1">
        <v>131</v>
      </c>
      <c r="D317" s="5">
        <f t="shared" si="18"/>
        <v>88.513513513513502</v>
      </c>
      <c r="E317" s="1">
        <f>VLOOKUP(A317,temporalBoundaries!$A$2:$G$500,2,FALSE())</f>
        <v>1333</v>
      </c>
      <c r="F317" s="1">
        <f>VLOOKUP(A317,temporalBoundaries!$A$2:$G$500,3,FALSE())</f>
        <v>1680</v>
      </c>
      <c r="G317" s="1">
        <f t="shared" si="19"/>
        <v>347</v>
      </c>
      <c r="H317" s="1">
        <f t="shared" si="20"/>
        <v>0.42528735632183901</v>
      </c>
      <c r="I317" s="1">
        <f>VLOOKUP($A317,temporalBoundaries!$A$1:$E$470,4,FALSE())</f>
        <v>13330315</v>
      </c>
      <c r="J317" s="1">
        <f>VLOOKUP($A317,temporalBoundaries!$A$1:$E$470,5,FALSE())</f>
        <v>16800221</v>
      </c>
    </row>
    <row r="318" ht="15" hidden="1">
      <c r="A318" s="1" t="s">
        <v>871</v>
      </c>
      <c r="B318" s="1">
        <v>150</v>
      </c>
      <c r="C318" s="1">
        <v>150</v>
      </c>
      <c r="D318" s="5">
        <f t="shared" si="18"/>
        <v>100</v>
      </c>
      <c r="E318" s="1">
        <f>VLOOKUP(A318,temporalBoundaries!$A$2:$G$500,2,FALSE())</f>
        <v>1145</v>
      </c>
      <c r="F318" s="1">
        <f>VLOOKUP(A318,temporalBoundaries!$A$2:$G$500,3,FALSE())</f>
        <v>1523</v>
      </c>
      <c r="G318" s="1">
        <f t="shared" si="19"/>
        <v>378</v>
      </c>
      <c r="H318" s="1">
        <f t="shared" si="20"/>
        <v>0.39577836411609502</v>
      </c>
      <c r="I318" s="1">
        <f>VLOOKUP($A318,temporalBoundaries!$A$1:$E$470,4,FALSE())</f>
        <v>11450428</v>
      </c>
      <c r="J318" s="1">
        <f>VLOOKUP($A318,temporalBoundaries!$A$1:$E$470,5,FALSE())</f>
        <v>15230220</v>
      </c>
    </row>
    <row r="319" ht="15" hidden="1">
      <c r="A319" s="1" t="s">
        <v>1675</v>
      </c>
      <c r="B319" s="1">
        <v>150</v>
      </c>
      <c r="C319" s="1">
        <v>0</v>
      </c>
      <c r="D319" s="5">
        <f t="shared" si="18"/>
        <v>0</v>
      </c>
      <c r="E319" s="1">
        <f>VLOOKUP(A319,temporalBoundaries!$A$2:$G$500,2,FALSE())</f>
        <v>1224</v>
      </c>
      <c r="F319" s="1">
        <f>VLOOKUP(A319,temporalBoundaries!$A$2:$G$500,3,FALSE())</f>
        <v>1396</v>
      </c>
      <c r="G319" s="1">
        <f t="shared" si="19"/>
        <v>172</v>
      </c>
      <c r="H319" s="1">
        <f t="shared" si="20"/>
        <v>0.86705202312138696</v>
      </c>
      <c r="I319" s="1">
        <f>VLOOKUP($A319,temporalBoundaries!$A$1:$E$470,4,FALSE())</f>
        <v>12240513</v>
      </c>
      <c r="J319" s="1">
        <f>VLOOKUP($A319,temporalBoundaries!$A$1:$E$470,5,FALSE())</f>
        <v>13960428</v>
      </c>
    </row>
    <row r="320" ht="15" hidden="1">
      <c r="A320" s="1" t="s">
        <v>915</v>
      </c>
      <c r="B320" s="1">
        <v>154</v>
      </c>
      <c r="C320" s="1">
        <v>153</v>
      </c>
      <c r="D320" s="5">
        <f t="shared" si="18"/>
        <v>99.350649350649405</v>
      </c>
      <c r="E320" s="1">
        <f>VLOOKUP(A320,temporalBoundaries!$A$2:$G$500,2,FALSE())</f>
        <v>1252</v>
      </c>
      <c r="F320" s="1">
        <f>VLOOKUP(A320,temporalBoundaries!$A$2:$G$500,3,FALSE())</f>
        <v>1252</v>
      </c>
      <c r="G320" s="1">
        <f t="shared" si="19"/>
        <v>0</v>
      </c>
      <c r="H320" s="1">
        <f t="shared" si="20"/>
        <v>154</v>
      </c>
      <c r="I320" s="1">
        <f>VLOOKUP($A320,temporalBoundaries!$A$1:$E$470,4,FALSE())</f>
        <v>12520201</v>
      </c>
      <c r="J320" s="1">
        <f>VLOOKUP($A320,temporalBoundaries!$A$1:$E$470,5,FALSE())</f>
        <v>12520201</v>
      </c>
      <c r="K320" s="1" t="s">
        <v>1989</v>
      </c>
    </row>
    <row r="321" ht="15" hidden="1">
      <c r="A321" s="1" t="s">
        <v>1863</v>
      </c>
      <c r="B321" s="1">
        <v>160</v>
      </c>
      <c r="C321" s="1">
        <v>0</v>
      </c>
      <c r="D321" s="5">
        <f t="shared" si="18"/>
        <v>0</v>
      </c>
      <c r="E321" s="1">
        <f>VLOOKUP(A321,temporalBoundaries!$A$2:$G$500,2,FALSE())</f>
        <v>1203</v>
      </c>
      <c r="F321" s="1">
        <f>VLOOKUP(A321,temporalBoundaries!$A$2:$G$500,3,FALSE())</f>
        <v>1396</v>
      </c>
      <c r="G321" s="1">
        <f t="shared" si="19"/>
        <v>193</v>
      </c>
      <c r="H321" s="1">
        <f t="shared" si="20"/>
        <v>0.82474226804123696</v>
      </c>
      <c r="I321" s="1">
        <f>VLOOKUP($A321,temporalBoundaries!$A$1:$E$470,4,FALSE())</f>
        <v>12030228</v>
      </c>
      <c r="J321" s="1">
        <f>VLOOKUP($A321,temporalBoundaries!$A$1:$E$470,5,FALSE())</f>
        <v>13961018</v>
      </c>
    </row>
    <row r="322" ht="15" hidden="1">
      <c r="A322" s="1" t="s">
        <v>687</v>
      </c>
      <c r="B322" s="1">
        <v>164</v>
      </c>
      <c r="C322" s="1">
        <v>159</v>
      </c>
      <c r="D322" s="5">
        <f t="shared" si="18"/>
        <v>96.951219512195095</v>
      </c>
      <c r="E322" s="1">
        <f>VLOOKUP(A322,temporalBoundaries!$A$2:$G$500,2,FALSE())</f>
        <v>1332</v>
      </c>
      <c r="F322" s="1">
        <f>VLOOKUP(A322,temporalBoundaries!$A$2:$G$500,3,FALSE())</f>
        <v>1781</v>
      </c>
      <c r="G322" s="1">
        <f t="shared" si="19"/>
        <v>449</v>
      </c>
      <c r="H322" s="1">
        <f t="shared" si="20"/>
        <v>0.36444444444444402</v>
      </c>
      <c r="I322" s="1">
        <f>VLOOKUP($A322,temporalBoundaries!$A$1:$E$470,4,FALSE())</f>
        <v>13320713</v>
      </c>
      <c r="J322" s="1">
        <f>VLOOKUP($A322,temporalBoundaries!$A$1:$E$470,5,FALSE())</f>
        <v>17811115</v>
      </c>
    </row>
    <row r="323" ht="15" hidden="1">
      <c r="A323" s="1" t="s">
        <v>520</v>
      </c>
      <c r="B323" s="1">
        <v>168</v>
      </c>
      <c r="C323" s="1">
        <v>0</v>
      </c>
      <c r="D323" s="5">
        <f t="shared" si="18"/>
        <v>0</v>
      </c>
      <c r="E323" s="1">
        <f>VLOOKUP(A323,temporalBoundaries!$A$2:$G$500,2,FALSE())</f>
        <v>860</v>
      </c>
      <c r="F323" s="1">
        <f>VLOOKUP(A323,temporalBoundaries!$A$2:$G$500,3,FALSE())</f>
        <v>1400</v>
      </c>
      <c r="G323" s="1">
        <f t="shared" si="19"/>
        <v>540</v>
      </c>
      <c r="H323" s="1">
        <f t="shared" si="20"/>
        <v>0.31053604436229199</v>
      </c>
      <c r="I323" s="1">
        <f>VLOOKUP($A323,temporalBoundaries!$A$1:$E$470,4,FALSE())</f>
        <v>8600508</v>
      </c>
      <c r="J323" s="1">
        <f>VLOOKUP($A323,temporalBoundaries!$A$1:$E$470,5,FALSE())</f>
        <v>14001129</v>
      </c>
    </row>
    <row r="324" ht="15" hidden="1">
      <c r="A324" s="1" t="s">
        <v>1743</v>
      </c>
      <c r="B324" s="1">
        <v>173</v>
      </c>
      <c r="C324" s="1">
        <v>0</v>
      </c>
      <c r="D324" s="5">
        <f t="shared" si="18"/>
        <v>0</v>
      </c>
      <c r="E324" s="1">
        <f>VLOOKUP(A324,temporalBoundaries!$A$2:$G$500,2,FALSE())</f>
        <v>1183</v>
      </c>
      <c r="F324" s="1">
        <f>VLOOKUP(A324,temporalBoundaries!$A$2:$G$500,3,FALSE())</f>
        <v>1394</v>
      </c>
      <c r="G324" s="1">
        <f t="shared" si="19"/>
        <v>211</v>
      </c>
      <c r="H324" s="1">
        <f t="shared" si="20"/>
        <v>0.81603773584905703</v>
      </c>
      <c r="I324" s="1">
        <f>VLOOKUP($A324,temporalBoundaries!$A$1:$E$470,4,FALSE())</f>
        <v>11830703</v>
      </c>
      <c r="J324" s="1">
        <f>VLOOKUP($A324,temporalBoundaries!$A$1:$E$470,5,FALSE())</f>
        <v>13941123</v>
      </c>
    </row>
    <row r="325" ht="15" hidden="1">
      <c r="A325" s="1" t="s">
        <v>1067</v>
      </c>
      <c r="B325" s="1">
        <v>176</v>
      </c>
      <c r="C325" s="1">
        <v>166</v>
      </c>
      <c r="D325" s="5">
        <f t="shared" si="18"/>
        <v>94.318181818181799</v>
      </c>
      <c r="E325" s="1">
        <f>VLOOKUP(A325,temporalBoundaries!$A$2:$G$500,2,FALSE())</f>
        <v>1114</v>
      </c>
      <c r="F325" s="1">
        <f>VLOOKUP(A325,temporalBoundaries!$A$2:$G$500,3,FALSE())</f>
        <v>1792</v>
      </c>
      <c r="G325" s="1">
        <f t="shared" si="19"/>
        <v>678</v>
      </c>
      <c r="H325" s="1">
        <f t="shared" si="20"/>
        <v>0.25920471281295998</v>
      </c>
      <c r="I325" s="1">
        <f>VLOOKUP($A325,temporalBoundaries!$A$1:$E$470,4,FALSE())</f>
        <v>11141231</v>
      </c>
      <c r="J325" s="1">
        <f>VLOOKUP($A325,temporalBoundaries!$A$1:$E$470,5,FALSE())</f>
        <v>17920522</v>
      </c>
    </row>
    <row r="326" ht="15" hidden="1">
      <c r="A326" s="1" t="s">
        <v>599</v>
      </c>
      <c r="B326" s="1">
        <v>176</v>
      </c>
      <c r="C326" s="1">
        <v>173</v>
      </c>
      <c r="D326" s="5">
        <f t="shared" si="18"/>
        <v>98.295454545454604</v>
      </c>
      <c r="E326" s="1">
        <f>VLOOKUP(A326,temporalBoundaries!$A$2:$G$500,2,FALSE())</f>
        <v>1106</v>
      </c>
      <c r="F326" s="1">
        <f>VLOOKUP(A326,temporalBoundaries!$A$2:$G$500,3,FALSE())</f>
        <v>1780</v>
      </c>
      <c r="G326" s="1">
        <f t="shared" si="19"/>
        <v>674</v>
      </c>
      <c r="H326" s="1">
        <f t="shared" si="20"/>
        <v>0.26074074074074099</v>
      </c>
      <c r="I326" s="1">
        <f>VLOOKUP($A326,temporalBoundaries!$A$1:$E$470,4,FALSE())</f>
        <v>11069999</v>
      </c>
      <c r="J326" s="1">
        <f>VLOOKUP($A326,temporalBoundaries!$A$1:$E$470,5,FALSE())</f>
        <v>17800603</v>
      </c>
    </row>
    <row r="327" ht="15" hidden="1">
      <c r="A327" s="1" t="s">
        <v>1303</v>
      </c>
      <c r="B327" s="1">
        <v>180</v>
      </c>
      <c r="C327" s="1">
        <v>180</v>
      </c>
      <c r="D327" s="5">
        <f t="shared" si="18"/>
        <v>100</v>
      </c>
      <c r="E327" s="1">
        <f>VLOOKUP(A327,temporalBoundaries!$A$2:$G$500,2,FALSE())</f>
        <v>1244</v>
      </c>
      <c r="F327" s="1">
        <f>VLOOKUP(A327,temporalBoundaries!$A$2:$G$500,3,FALSE())</f>
        <v>1552</v>
      </c>
      <c r="G327" s="1">
        <f t="shared" si="19"/>
        <v>308</v>
      </c>
      <c r="H327" s="1">
        <f t="shared" si="20"/>
        <v>0.58252427184466005</v>
      </c>
      <c r="I327" s="1">
        <f>VLOOKUP($A327,temporalBoundaries!$A$1:$E$470,4,FALSE())</f>
        <v>12440415</v>
      </c>
      <c r="J327" s="1">
        <f>VLOOKUP($A327,temporalBoundaries!$A$1:$E$470,5,FALSE())</f>
        <v>15520114</v>
      </c>
    </row>
    <row r="328" ht="15" hidden="1">
      <c r="A328" s="1" t="s">
        <v>1571</v>
      </c>
      <c r="B328" s="1">
        <v>182</v>
      </c>
      <c r="C328" s="1">
        <v>0</v>
      </c>
      <c r="D328" s="5">
        <f t="shared" si="18"/>
        <v>0</v>
      </c>
      <c r="E328" s="1">
        <f>VLOOKUP(A328,temporalBoundaries!$A$2:$G$500,2,FALSE())</f>
        <v>1227</v>
      </c>
      <c r="F328" s="1">
        <f>VLOOKUP(A328,temporalBoundaries!$A$2:$G$500,3,FALSE())</f>
        <v>1394</v>
      </c>
      <c r="G328" s="1">
        <f t="shared" si="19"/>
        <v>167</v>
      </c>
      <c r="H328" s="1">
        <f t="shared" si="20"/>
        <v>1.0833333333333299</v>
      </c>
      <c r="I328" s="1">
        <f>VLOOKUP($A328,temporalBoundaries!$A$1:$E$470,4,FALSE())</f>
        <v>12270914</v>
      </c>
      <c r="J328" s="1">
        <f>VLOOKUP($A328,temporalBoundaries!$A$1:$E$470,5,FALSE())</f>
        <v>13940425</v>
      </c>
    </row>
    <row r="329" ht="15" hidden="1">
      <c r="A329" s="1" t="s">
        <v>1471</v>
      </c>
      <c r="B329" s="1">
        <v>185</v>
      </c>
      <c r="C329" s="1">
        <v>0</v>
      </c>
      <c r="D329" s="5">
        <f t="shared" si="18"/>
        <v>0</v>
      </c>
      <c r="E329" s="1">
        <f>VLOOKUP(A329,temporalBoundaries!$A$2:$G$500,2,FALSE())</f>
        <v>1040</v>
      </c>
      <c r="F329" s="1">
        <f>VLOOKUP(A329,temporalBoundaries!$A$2:$G$500,3,FALSE())</f>
        <v>1397</v>
      </c>
      <c r="G329" s="1">
        <f t="shared" si="19"/>
        <v>357</v>
      </c>
      <c r="H329" s="1">
        <f t="shared" si="20"/>
        <v>0.516759776536313</v>
      </c>
      <c r="I329" s="1">
        <f>VLOOKUP($A329,temporalBoundaries!$A$1:$E$470,4,FALSE())</f>
        <v>10401104</v>
      </c>
      <c r="J329" s="1">
        <f>VLOOKUP($A329,temporalBoundaries!$A$1:$E$470,5,FALSE())</f>
        <v>13970112</v>
      </c>
    </row>
    <row r="330" ht="15" hidden="1">
      <c r="A330" s="1" t="s">
        <v>1751</v>
      </c>
      <c r="B330" s="1">
        <v>185</v>
      </c>
      <c r="C330" s="1">
        <v>0</v>
      </c>
      <c r="D330" s="5">
        <f t="shared" si="18"/>
        <v>0</v>
      </c>
      <c r="E330" s="1">
        <f>VLOOKUP(A330,temporalBoundaries!$A$2:$G$500,2,FALSE())</f>
        <v>1243</v>
      </c>
      <c r="F330" s="1">
        <f>VLOOKUP(A330,temporalBoundaries!$A$2:$G$500,3,FALSE())</f>
        <v>1398</v>
      </c>
      <c r="G330" s="1">
        <f t="shared" si="19"/>
        <v>155</v>
      </c>
      <c r="H330" s="1">
        <f t="shared" si="20"/>
        <v>1.1858974358974399</v>
      </c>
      <c r="I330" s="1">
        <f>VLOOKUP($A330,temporalBoundaries!$A$1:$E$470,4,FALSE())</f>
        <v>12430829</v>
      </c>
      <c r="J330" s="1">
        <f>VLOOKUP($A330,temporalBoundaries!$A$1:$E$470,5,FALSE())</f>
        <v>13980831</v>
      </c>
    </row>
    <row r="331" ht="15" hidden="1">
      <c r="A331" s="1" t="s">
        <v>89</v>
      </c>
      <c r="B331" s="1">
        <v>195</v>
      </c>
      <c r="C331" s="1">
        <v>177</v>
      </c>
      <c r="D331" s="5">
        <f t="shared" si="18"/>
        <v>90.769230769230802</v>
      </c>
      <c r="E331" s="1">
        <f>VLOOKUP(A331,temporalBoundaries!$A$2:$G$500,2,FALSE())</f>
        <v>1273</v>
      </c>
      <c r="F331" s="1">
        <f>VLOOKUP(A331,temporalBoundaries!$A$2:$G$500,3,FALSE())</f>
        <v>1568</v>
      </c>
      <c r="G331" s="1">
        <f t="shared" si="19"/>
        <v>295</v>
      </c>
      <c r="H331" s="1">
        <f t="shared" si="20"/>
        <v>0.65878378378378399</v>
      </c>
      <c r="I331" s="1">
        <f>VLOOKUP($A331,temporalBoundaries!$A$1:$E$470,4,FALSE())</f>
        <v>12731219</v>
      </c>
      <c r="J331" s="1">
        <f>VLOOKUP($A331,temporalBoundaries!$A$1:$E$470,5,FALSE())</f>
        <v>15680401</v>
      </c>
    </row>
    <row r="332" ht="15" hidden="1">
      <c r="A332" s="1" t="s">
        <v>755</v>
      </c>
      <c r="B332" s="1">
        <v>198</v>
      </c>
      <c r="C332" s="1">
        <v>197</v>
      </c>
      <c r="D332" s="5">
        <f t="shared" si="18"/>
        <v>99.494949494949495</v>
      </c>
      <c r="E332" s="1">
        <f>VLOOKUP(A332,temporalBoundaries!$A$2:$G$500,2,FALSE())</f>
        <v>1200</v>
      </c>
      <c r="F332" s="1">
        <f>VLOOKUP(A332,temporalBoundaries!$A$2:$G$500,3,FALSE())</f>
        <v>1782</v>
      </c>
      <c r="G332" s="1">
        <f t="shared" si="19"/>
        <v>582</v>
      </c>
      <c r="H332" s="1">
        <f t="shared" si="20"/>
        <v>0.339622641509434</v>
      </c>
      <c r="I332" s="1">
        <f>VLOOKUP($A332,temporalBoundaries!$A$1:$E$470,4,FALSE())</f>
        <v>12000901</v>
      </c>
      <c r="J332" s="1">
        <f>VLOOKUP($A332,temporalBoundaries!$A$1:$E$470,5,FALSE())</f>
        <v>17820604</v>
      </c>
    </row>
    <row r="333" ht="15" hidden="1">
      <c r="A333" s="1" t="s">
        <v>1503</v>
      </c>
      <c r="B333" s="1">
        <v>200</v>
      </c>
      <c r="C333" s="1">
        <v>0</v>
      </c>
      <c r="D333" s="5">
        <f t="shared" si="18"/>
        <v>0</v>
      </c>
      <c r="E333" s="1">
        <f>VLOOKUP(A333,temporalBoundaries!$A$2:$G$500,2,FALSE())</f>
        <v>1145</v>
      </c>
      <c r="F333" s="1">
        <f>VLOOKUP(A333,temporalBoundaries!$A$2:$G$500,3,FALSE())</f>
        <v>1397</v>
      </c>
      <c r="G333" s="1">
        <f t="shared" si="19"/>
        <v>252</v>
      </c>
      <c r="H333" s="1">
        <f t="shared" si="20"/>
        <v>0.79051383399209496</v>
      </c>
      <c r="I333" s="1">
        <f>VLOOKUP($A333,temporalBoundaries!$A$1:$E$470,4,FALSE())</f>
        <v>11450317</v>
      </c>
      <c r="J333" s="1">
        <f>VLOOKUP($A333,temporalBoundaries!$A$1:$E$470,5,FALSE())</f>
        <v>13970508</v>
      </c>
    </row>
    <row r="334" ht="15" hidden="1">
      <c r="A334" s="1" t="s">
        <v>1071</v>
      </c>
      <c r="B334" s="1">
        <v>207</v>
      </c>
      <c r="C334" s="1">
        <v>185</v>
      </c>
      <c r="D334" s="5">
        <f t="shared" si="18"/>
        <v>89.371980676328505</v>
      </c>
      <c r="E334" s="1">
        <f>VLOOKUP(A334,temporalBoundaries!$A$2:$G$500,2,FALSE())</f>
        <v>1219</v>
      </c>
      <c r="F334" s="1">
        <f>VLOOKUP(A334,temporalBoundaries!$A$2:$G$500,3,FALSE())</f>
        <v>1797</v>
      </c>
      <c r="G334" s="1">
        <f t="shared" si="19"/>
        <v>578</v>
      </c>
      <c r="H334" s="1">
        <f t="shared" si="20"/>
        <v>0.35751295336787597</v>
      </c>
      <c r="I334" s="1">
        <f>VLOOKUP($A334,temporalBoundaries!$A$1:$E$470,4,FALSE())</f>
        <v>12191206</v>
      </c>
      <c r="J334" s="1">
        <f>VLOOKUP($A334,temporalBoundaries!$A$1:$E$470,5,FALSE())</f>
        <v>17971212</v>
      </c>
    </row>
    <row r="335" ht="15" hidden="1">
      <c r="A335" s="1" t="s">
        <v>1495</v>
      </c>
      <c r="B335" s="1">
        <v>211</v>
      </c>
      <c r="C335" s="1">
        <v>0</v>
      </c>
      <c r="D335" s="5">
        <f t="shared" si="18"/>
        <v>0</v>
      </c>
      <c r="E335" s="1">
        <f>VLOOKUP(A335,temporalBoundaries!$A$2:$G$500,2,FALSE())</f>
        <v>1221</v>
      </c>
      <c r="F335" s="1">
        <f>VLOOKUP(A335,temporalBoundaries!$A$2:$G$500,3,FALSE())</f>
        <v>1395</v>
      </c>
      <c r="G335" s="1">
        <f t="shared" si="19"/>
        <v>174</v>
      </c>
      <c r="H335" s="1">
        <f t="shared" si="20"/>
        <v>1.20571428571429</v>
      </c>
      <c r="I335" s="1">
        <f>VLOOKUP($A335,temporalBoundaries!$A$1:$E$470,4,FALSE())</f>
        <v>12210924</v>
      </c>
      <c r="J335" s="1">
        <f>VLOOKUP($A335,temporalBoundaries!$A$1:$E$470,5,FALSE())</f>
        <v>13950710</v>
      </c>
    </row>
    <row r="336" ht="15" hidden="1">
      <c r="A336" s="1" t="s">
        <v>1295</v>
      </c>
      <c r="B336" s="1">
        <v>212</v>
      </c>
      <c r="C336" s="1">
        <v>0</v>
      </c>
      <c r="D336" s="5">
        <f t="shared" si="18"/>
        <v>0</v>
      </c>
      <c r="E336" s="1">
        <f>VLOOKUP(A336,temporalBoundaries!$A$2:$G$500,2,FALSE())</f>
        <v>1139</v>
      </c>
      <c r="F336" s="1">
        <f>VLOOKUP(A336,temporalBoundaries!$A$2:$G$500,3,FALSE())</f>
        <v>1774</v>
      </c>
      <c r="G336" s="1">
        <f t="shared" si="19"/>
        <v>635</v>
      </c>
      <c r="H336" s="1">
        <f t="shared" si="20"/>
        <v>0.33333333333333298</v>
      </c>
      <c r="I336" s="1">
        <f>VLOOKUP($A336,temporalBoundaries!$A$1:$E$470,4,FALSE())</f>
        <v>11399999</v>
      </c>
      <c r="J336" s="1">
        <f>VLOOKUP($A336,temporalBoundaries!$A$1:$E$470,5,FALSE())</f>
        <v>17740601</v>
      </c>
    </row>
    <row r="337" ht="15" hidden="1">
      <c r="A337" s="1" t="s">
        <v>13</v>
      </c>
      <c r="B337" s="1">
        <v>215</v>
      </c>
      <c r="C337" s="1">
        <v>209</v>
      </c>
      <c r="D337" s="5">
        <f t="shared" si="18"/>
        <v>97.209302325581405</v>
      </c>
      <c r="E337" s="1">
        <f>VLOOKUP(A337,temporalBoundaries!$A$2:$G$500,2,FALSE())</f>
        <v>1243</v>
      </c>
      <c r="F337" s="1">
        <f>VLOOKUP(A337,temporalBoundaries!$A$2:$G$500,3,FALSE())</f>
        <v>1765</v>
      </c>
      <c r="G337" s="1">
        <f t="shared" si="19"/>
        <v>522</v>
      </c>
      <c r="H337" s="1">
        <f t="shared" si="20"/>
        <v>0.411089866156788</v>
      </c>
      <c r="I337" s="1">
        <f>VLOOKUP($A337,temporalBoundaries!$A$1:$E$470,4,FALSE())</f>
        <v>12430629</v>
      </c>
      <c r="J337" s="1">
        <f>VLOOKUP($A337,temporalBoundaries!$A$1:$E$470,5,FALSE())</f>
        <v>17650422</v>
      </c>
    </row>
    <row r="338" ht="15" hidden="1">
      <c r="A338" s="1" t="s">
        <v>337</v>
      </c>
      <c r="B338" s="1">
        <v>230</v>
      </c>
      <c r="C338" s="1">
        <v>160</v>
      </c>
      <c r="D338" s="5">
        <f t="shared" si="18"/>
        <v>69.565217391304301</v>
      </c>
      <c r="E338" s="1">
        <f>VLOOKUP(A338,temporalBoundaries!$A$2:$G$500,2,FALSE())</f>
        <v>1316</v>
      </c>
      <c r="F338" s="1">
        <f>VLOOKUP(A338,temporalBoundaries!$A$2:$G$500,3,FALSE())</f>
        <v>1682</v>
      </c>
      <c r="G338" s="1">
        <f t="shared" si="19"/>
        <v>366</v>
      </c>
      <c r="H338" s="1">
        <f t="shared" si="20"/>
        <v>0.62670299727520395</v>
      </c>
      <c r="I338" s="1">
        <f>VLOOKUP($A338,temporalBoundaries!$A$1:$E$470,4,FALSE())</f>
        <v>13161021</v>
      </c>
      <c r="J338" s="1">
        <f>VLOOKUP($A338,temporalBoundaries!$A$1:$E$470,5,FALSE())</f>
        <v>16820226</v>
      </c>
    </row>
    <row r="339" ht="15" hidden="1">
      <c r="A339" s="1" t="s">
        <v>125</v>
      </c>
      <c r="B339" s="1">
        <v>231</v>
      </c>
      <c r="C339" s="1">
        <v>171</v>
      </c>
      <c r="D339" s="5">
        <f t="shared" si="18"/>
        <v>74.025974025973994</v>
      </c>
      <c r="E339" s="1">
        <f>VLOOKUP(A339,temporalBoundaries!$A$2:$G$500,2,FALSE())</f>
        <v>1239</v>
      </c>
      <c r="F339" s="1">
        <f>VLOOKUP(A339,temporalBoundaries!$A$2:$G$500,3,FALSE())</f>
        <v>1697</v>
      </c>
      <c r="G339" s="1">
        <f t="shared" si="19"/>
        <v>458</v>
      </c>
      <c r="H339" s="1">
        <f t="shared" si="20"/>
        <v>0.50326797385620903</v>
      </c>
      <c r="I339" s="1">
        <f>VLOOKUP($A339,temporalBoundaries!$A$1:$E$470,4,FALSE())</f>
        <v>12391126</v>
      </c>
      <c r="J339" s="1">
        <f>VLOOKUP($A339,temporalBoundaries!$A$1:$E$470,5,FALSE())</f>
        <v>16970627</v>
      </c>
    </row>
    <row r="340" ht="15" hidden="1">
      <c r="A340" s="1" t="s">
        <v>1323</v>
      </c>
      <c r="B340" s="1">
        <v>234</v>
      </c>
      <c r="C340" s="1">
        <v>234</v>
      </c>
      <c r="D340" s="5">
        <f t="shared" si="18"/>
        <v>100</v>
      </c>
      <c r="E340" s="1">
        <f>VLOOKUP(A340,temporalBoundaries!$A$2:$G$500,2,FALSE())</f>
        <v>886</v>
      </c>
      <c r="F340" s="1">
        <f>VLOOKUP(A340,temporalBoundaries!$A$2:$G$500,3,FALSE())</f>
        <v>1600</v>
      </c>
      <c r="G340" s="1">
        <f t="shared" si="19"/>
        <v>714</v>
      </c>
      <c r="H340" s="1">
        <f t="shared" si="20"/>
        <v>0.32727272727272699</v>
      </c>
      <c r="I340" s="1">
        <f>VLOOKUP($A340,temporalBoundaries!$A$1:$E$470,4,FALSE())</f>
        <v>8860817</v>
      </c>
      <c r="J340" s="1">
        <f>VLOOKUP($A340,temporalBoundaries!$A$1:$E$470,5,FALSE())</f>
        <v>16000621</v>
      </c>
    </row>
    <row r="341" ht="15" hidden="1">
      <c r="A341" s="1" t="s">
        <v>1711</v>
      </c>
      <c r="B341" s="1">
        <v>238</v>
      </c>
      <c r="C341" s="1">
        <v>0</v>
      </c>
      <c r="D341" s="5">
        <f t="shared" si="18"/>
        <v>0</v>
      </c>
      <c r="E341" s="1">
        <f>VLOOKUP(A341,temporalBoundaries!$A$2:$G$500,2,FALSE())</f>
        <v>1134</v>
      </c>
      <c r="F341" s="1">
        <f>VLOOKUP(A341,temporalBoundaries!$A$2:$G$500,3,FALSE())</f>
        <v>1457</v>
      </c>
      <c r="G341" s="1">
        <f t="shared" si="19"/>
        <v>323</v>
      </c>
      <c r="H341" s="1">
        <f t="shared" si="20"/>
        <v>0.73456790123456805</v>
      </c>
      <c r="I341" s="1">
        <f>VLOOKUP($A341,temporalBoundaries!$A$1:$E$470,4,FALSE())</f>
        <v>11340428</v>
      </c>
      <c r="J341" s="1">
        <f>VLOOKUP($A341,temporalBoundaries!$A$1:$E$470,5,FALSE())</f>
        <v>14570502</v>
      </c>
    </row>
    <row r="342" ht="15" hidden="1">
      <c r="A342" s="1" t="s">
        <v>1707</v>
      </c>
      <c r="B342" s="1">
        <v>242</v>
      </c>
      <c r="C342" s="1">
        <v>0</v>
      </c>
      <c r="D342" s="5">
        <f t="shared" si="18"/>
        <v>0</v>
      </c>
      <c r="E342" s="1">
        <f>VLOOKUP(A342,temporalBoundaries!$A$2:$G$500,2,FALSE())</f>
        <v>945</v>
      </c>
      <c r="F342" s="1">
        <f>VLOOKUP(A342,temporalBoundaries!$A$2:$G$500,3,FALSE())</f>
        <v>1395</v>
      </c>
      <c r="G342" s="1">
        <f t="shared" si="19"/>
        <v>450</v>
      </c>
      <c r="H342" s="1">
        <f t="shared" si="20"/>
        <v>0.53658536585365901</v>
      </c>
      <c r="I342" s="1">
        <f>VLOOKUP($A342,temporalBoundaries!$A$1:$E$470,4,FALSE())</f>
        <v>9451115</v>
      </c>
      <c r="J342" s="1">
        <f>VLOOKUP($A342,temporalBoundaries!$A$1:$E$470,5,FALSE())</f>
        <v>13950108</v>
      </c>
    </row>
    <row r="343" ht="15" hidden="1">
      <c r="A343" s="1" t="s">
        <v>723</v>
      </c>
      <c r="B343" s="1">
        <v>243</v>
      </c>
      <c r="C343" s="1">
        <v>156</v>
      </c>
      <c r="D343" s="5">
        <f t="shared" si="18"/>
        <v>64.197530864197503</v>
      </c>
      <c r="E343" s="1">
        <f>VLOOKUP(A343,temporalBoundaries!$A$2:$G$500,2,FALSE())</f>
        <v>1222</v>
      </c>
      <c r="F343" s="1">
        <f>VLOOKUP(A343,temporalBoundaries!$A$2:$G$500,3,FALSE())</f>
        <v>1466</v>
      </c>
      <c r="G343" s="1">
        <f t="shared" si="19"/>
        <v>244</v>
      </c>
      <c r="H343" s="1">
        <f t="shared" si="20"/>
        <v>0.99183673469387801</v>
      </c>
      <c r="I343" s="1">
        <f>VLOOKUP($A343,temporalBoundaries!$A$1:$E$470,4,FALSE())</f>
        <v>12220119</v>
      </c>
      <c r="J343" s="1">
        <f>VLOOKUP($A343,temporalBoundaries!$A$1:$E$470,5,FALSE())</f>
        <v>14661221</v>
      </c>
    </row>
    <row r="344" ht="15" hidden="1">
      <c r="A344" s="1" t="s">
        <v>727</v>
      </c>
      <c r="B344" s="1">
        <v>246</v>
      </c>
      <c r="C344" s="1">
        <v>175</v>
      </c>
      <c r="D344" s="5">
        <f t="shared" si="18"/>
        <v>71.138211382113795</v>
      </c>
      <c r="E344" s="1">
        <f>VLOOKUP(A344,temporalBoundaries!$A$2:$G$500,2,FALSE())</f>
        <v>1342</v>
      </c>
      <c r="F344" s="1">
        <f>VLOOKUP(A344,temporalBoundaries!$A$2:$G$500,3,FALSE())</f>
        <v>1523</v>
      </c>
      <c r="G344" s="1">
        <f t="shared" si="19"/>
        <v>181</v>
      </c>
      <c r="H344" s="1">
        <f t="shared" si="20"/>
        <v>1.35164835164835</v>
      </c>
      <c r="I344" s="1">
        <f>VLOOKUP($A344,temporalBoundaries!$A$1:$E$470,4,FALSE())</f>
        <v>13420824</v>
      </c>
      <c r="J344" s="1">
        <f>VLOOKUP($A344,temporalBoundaries!$A$1:$E$470,5,FALSE())</f>
        <v>15230312</v>
      </c>
    </row>
    <row r="345" ht="15" hidden="1">
      <c r="A345" s="1" t="s">
        <v>911</v>
      </c>
      <c r="B345" s="1">
        <v>263</v>
      </c>
      <c r="C345" s="1">
        <v>263</v>
      </c>
      <c r="D345" s="5">
        <f t="shared" si="18"/>
        <v>100</v>
      </c>
      <c r="E345" s="1">
        <f>VLOOKUP(A345,temporalBoundaries!$A$2:$G$500,2,FALSE())</f>
        <v>1213</v>
      </c>
      <c r="F345" s="1">
        <f>VLOOKUP(A345,temporalBoundaries!$A$2:$G$500,3,FALSE())</f>
        <v>1526</v>
      </c>
      <c r="G345" s="1">
        <f t="shared" si="19"/>
        <v>313</v>
      </c>
      <c r="H345" s="1">
        <f t="shared" si="20"/>
        <v>0.83757961783439505</v>
      </c>
      <c r="I345" s="1">
        <f>VLOOKUP($A345,temporalBoundaries!$A$1:$E$470,4,FALSE())</f>
        <v>12131231</v>
      </c>
      <c r="J345" s="1">
        <f>VLOOKUP($A345,temporalBoundaries!$A$1:$E$470,5,FALSE())</f>
        <v>15260307</v>
      </c>
    </row>
    <row r="346" ht="15" hidden="1">
      <c r="A346" s="1" t="s">
        <v>65</v>
      </c>
      <c r="B346" s="1">
        <v>266</v>
      </c>
      <c r="C346" s="1">
        <v>0</v>
      </c>
      <c r="D346" s="5">
        <f t="shared" si="18"/>
        <v>0</v>
      </c>
      <c r="E346" s="1">
        <f>VLOOKUP(A346,temporalBoundaries!$A$2:$G$500,2,FALSE())</f>
        <v>1263</v>
      </c>
      <c r="F346" s="1">
        <f>VLOOKUP(A346,temporalBoundaries!$A$2:$G$500,3,FALSE())</f>
        <v>1488</v>
      </c>
      <c r="G346" s="1">
        <f t="shared" si="19"/>
        <v>225</v>
      </c>
      <c r="H346" s="1">
        <f t="shared" si="20"/>
        <v>1.1769911504424799</v>
      </c>
      <c r="I346" s="1">
        <f>VLOOKUP($A346,temporalBoundaries!$A$1:$E$470,4,FALSE())</f>
        <v>12630507</v>
      </c>
      <c r="J346" s="1">
        <f>VLOOKUP($A346,temporalBoundaries!$A$1:$E$470,5,FALSE())</f>
        <v>14880417</v>
      </c>
    </row>
    <row r="347" ht="15" hidden="1">
      <c r="A347" s="1" t="s">
        <v>157</v>
      </c>
      <c r="B347" s="1">
        <v>267</v>
      </c>
      <c r="C347" s="1">
        <v>82</v>
      </c>
      <c r="D347" s="5">
        <f t="shared" si="18"/>
        <v>30.711610486891399</v>
      </c>
      <c r="E347" s="1">
        <f>VLOOKUP(A347,temporalBoundaries!$A$2:$G$500,2,FALSE())</f>
        <v>1302</v>
      </c>
      <c r="F347" s="1">
        <f>VLOOKUP(A347,temporalBoundaries!$A$2:$G$500,3,FALSE())</f>
        <v>1568</v>
      </c>
      <c r="G347" s="1">
        <f t="shared" si="19"/>
        <v>266</v>
      </c>
      <c r="H347" s="1">
        <f t="shared" si="20"/>
        <v>1</v>
      </c>
      <c r="I347" s="1">
        <f>VLOOKUP($A347,temporalBoundaries!$A$1:$E$470,4,FALSE())</f>
        <v>13020329</v>
      </c>
      <c r="J347" s="1">
        <f>VLOOKUP($A347,temporalBoundaries!$A$1:$E$470,5,FALSE())</f>
        <v>15680227</v>
      </c>
    </row>
    <row r="348" ht="15" hidden="1">
      <c r="A348" s="1" t="s">
        <v>1543</v>
      </c>
      <c r="B348" s="1">
        <v>275</v>
      </c>
      <c r="C348" s="1">
        <v>0</v>
      </c>
      <c r="D348" s="5">
        <f t="shared" si="18"/>
        <v>0</v>
      </c>
      <c r="E348" s="1">
        <f>VLOOKUP(A348,temporalBoundaries!$A$2:$G$500,2,FALSE())</f>
        <v>1066</v>
      </c>
      <c r="F348" s="1">
        <f>VLOOKUP(A348,temporalBoundaries!$A$2:$G$500,3,FALSE())</f>
        <v>1397</v>
      </c>
      <c r="G348" s="1">
        <f t="shared" si="19"/>
        <v>331</v>
      </c>
      <c r="H348" s="1">
        <f t="shared" si="20"/>
        <v>0.82831325301204795</v>
      </c>
      <c r="I348" s="1">
        <f>VLOOKUP($A348,temporalBoundaries!$A$1:$E$470,4,FALSE())</f>
        <v>10660227</v>
      </c>
      <c r="J348" s="1">
        <f>VLOOKUP($A348,temporalBoundaries!$A$1:$E$470,5,FALSE())</f>
        <v>13971211</v>
      </c>
    </row>
    <row r="349" ht="15" hidden="1">
      <c r="A349" s="1" t="s">
        <v>1159</v>
      </c>
      <c r="B349" s="1">
        <v>286</v>
      </c>
      <c r="C349" s="1">
        <v>270</v>
      </c>
      <c r="D349" s="5">
        <f t="shared" si="18"/>
        <v>94.4055944055944</v>
      </c>
      <c r="E349" s="1">
        <f>VLOOKUP(A349,temporalBoundaries!$A$2:$G$500,2,FALSE())</f>
        <v>1158</v>
      </c>
      <c r="F349" s="1">
        <f>VLOOKUP(A349,temporalBoundaries!$A$2:$G$500,3,FALSE())</f>
        <v>1794</v>
      </c>
      <c r="G349" s="1">
        <f t="shared" si="19"/>
        <v>636</v>
      </c>
      <c r="H349" s="1">
        <f t="shared" si="20"/>
        <v>0.44897959183673503</v>
      </c>
      <c r="I349" s="1">
        <f>VLOOKUP($A349,temporalBoundaries!$A$1:$E$470,4,FALSE())</f>
        <v>11580522</v>
      </c>
      <c r="J349" s="1">
        <f>VLOOKUP($A349,temporalBoundaries!$A$1:$E$470,5,FALSE())</f>
        <v>17940225</v>
      </c>
    </row>
    <row r="350" ht="15" hidden="1">
      <c r="A350" s="1" t="s">
        <v>1599</v>
      </c>
      <c r="B350" s="1">
        <v>288</v>
      </c>
      <c r="C350" s="1">
        <v>0</v>
      </c>
      <c r="D350" s="5">
        <f t="shared" si="18"/>
        <v>0</v>
      </c>
      <c r="E350" s="1">
        <f>VLOOKUP(A350,temporalBoundaries!$A$2:$G$500,2,FALSE())</f>
        <v>1184</v>
      </c>
      <c r="F350" s="1">
        <f>VLOOKUP(A350,temporalBoundaries!$A$2:$G$500,3,FALSE())</f>
        <v>1392</v>
      </c>
      <c r="G350" s="1">
        <f t="shared" si="19"/>
        <v>208</v>
      </c>
      <c r="H350" s="1">
        <f t="shared" si="20"/>
        <v>1.3779904306220101</v>
      </c>
      <c r="I350" s="1">
        <f>VLOOKUP($A350,temporalBoundaries!$A$1:$E$470,4,FALSE())</f>
        <v>11841104</v>
      </c>
      <c r="J350" s="1">
        <f>VLOOKUP($A350,temporalBoundaries!$A$1:$E$470,5,FALSE())</f>
        <v>13920716</v>
      </c>
    </row>
    <row r="351" ht="15" hidden="1">
      <c r="A351" s="1" t="s">
        <v>883</v>
      </c>
      <c r="B351" s="1">
        <v>299</v>
      </c>
      <c r="C351" s="1">
        <v>298</v>
      </c>
      <c r="D351" s="5">
        <f t="shared" si="18"/>
        <v>99.665551839464896</v>
      </c>
      <c r="E351" s="1">
        <f>VLOOKUP(A351,temporalBoundaries!$A$2:$G$500,2,FALSE())</f>
        <v>1217</v>
      </c>
      <c r="F351" s="1">
        <f>VLOOKUP(A351,temporalBoundaries!$A$2:$G$500,3,FALSE())</f>
        <v>1516</v>
      </c>
      <c r="G351" s="1">
        <f t="shared" si="19"/>
        <v>299</v>
      </c>
      <c r="H351" s="1">
        <f t="shared" si="20"/>
        <v>0.99666666666666703</v>
      </c>
      <c r="I351" s="1">
        <f>VLOOKUP($A351,temporalBoundaries!$A$1:$E$470,4,FALSE())</f>
        <v>12170708</v>
      </c>
      <c r="J351" s="1">
        <f>VLOOKUP($A351,temporalBoundaries!$A$1:$E$470,5,FALSE())</f>
        <v>15161205</v>
      </c>
    </row>
    <row r="352" ht="15" hidden="1">
      <c r="A352" s="1" t="s">
        <v>699</v>
      </c>
      <c r="B352" s="1">
        <v>312</v>
      </c>
      <c r="C352" s="1">
        <v>159</v>
      </c>
      <c r="D352" s="5">
        <f t="shared" si="18"/>
        <v>50.961538461538503</v>
      </c>
      <c r="E352" s="1">
        <f>VLOOKUP(A352,temporalBoundaries!$A$2:$G$500,2,FALSE())</f>
        <v>1384</v>
      </c>
      <c r="F352" s="1">
        <f>VLOOKUP(A352,temporalBoundaries!$A$2:$G$500,3,FALSE())</f>
        <v>1524</v>
      </c>
      <c r="G352" s="1">
        <f t="shared" si="19"/>
        <v>140</v>
      </c>
      <c r="H352" s="1">
        <f t="shared" si="20"/>
        <v>2.2127659574468099</v>
      </c>
      <c r="I352" s="1">
        <f>VLOOKUP($A352,temporalBoundaries!$A$1:$E$470,4,FALSE())</f>
        <v>13849999</v>
      </c>
      <c r="J352" s="1">
        <f>VLOOKUP($A352,temporalBoundaries!$A$1:$E$470,5,FALSE())</f>
        <v>15240505</v>
      </c>
    </row>
    <row r="353" ht="15" hidden="1">
      <c r="A353" s="1" t="s">
        <v>1931</v>
      </c>
      <c r="B353" s="1">
        <v>324</v>
      </c>
      <c r="C353" s="1">
        <v>322</v>
      </c>
      <c r="D353" s="5">
        <f t="shared" si="18"/>
        <v>99.382716049382694</v>
      </c>
      <c r="E353" s="1">
        <f>VLOOKUP(A353,temporalBoundaries!$A$2:$G$500,2,FALSE())</f>
        <v>1170</v>
      </c>
      <c r="F353" s="1">
        <f>VLOOKUP(A353,temporalBoundaries!$A$2:$G$500,3,FALSE())</f>
        <v>1550</v>
      </c>
      <c r="G353" s="1">
        <f t="shared" si="19"/>
        <v>380</v>
      </c>
      <c r="H353" s="1">
        <f t="shared" si="20"/>
        <v>0.85039370078740195</v>
      </c>
      <c r="I353" s="1">
        <f>VLOOKUP($A353,temporalBoundaries!$A$1:$E$470,4,FALSE())</f>
        <v>11700899</v>
      </c>
      <c r="J353" s="1">
        <f>VLOOKUP($A353,temporalBoundaries!$A$1:$E$470,5,FALSE())</f>
        <v>15501105</v>
      </c>
    </row>
    <row r="354" ht="15" hidden="1">
      <c r="A354" s="1" t="s">
        <v>421</v>
      </c>
      <c r="B354" s="1">
        <v>330</v>
      </c>
      <c r="C354" s="1">
        <v>165</v>
      </c>
      <c r="D354" s="5">
        <f t="shared" si="18"/>
        <v>50</v>
      </c>
      <c r="E354" s="1">
        <f>VLOOKUP(A354,temporalBoundaries!$A$2:$G$500,2,FALSE())</f>
        <v>1104</v>
      </c>
      <c r="F354" s="1">
        <f>VLOOKUP(A354,temporalBoundaries!$A$2:$G$500,3,FALSE())</f>
        <v>1802</v>
      </c>
      <c r="G354" s="1">
        <f t="shared" si="19"/>
        <v>698</v>
      </c>
      <c r="H354" s="1">
        <f t="shared" si="20"/>
        <v>0.47210300429184598</v>
      </c>
      <c r="I354" s="1">
        <f>VLOOKUP($A354,temporalBoundaries!$A$1:$E$470,4,FALSE())</f>
        <v>11040227</v>
      </c>
      <c r="J354" s="1">
        <f>VLOOKUP($A354,temporalBoundaries!$A$1:$E$470,5,FALSE())</f>
        <v>18020520</v>
      </c>
    </row>
    <row r="355" ht="15" hidden="1">
      <c r="A355" s="1" t="s">
        <v>1139</v>
      </c>
      <c r="B355" s="1">
        <v>338</v>
      </c>
      <c r="C355" s="1">
        <v>334</v>
      </c>
      <c r="D355" s="5">
        <f t="shared" si="18"/>
        <v>98.816568047337299</v>
      </c>
      <c r="E355" s="1">
        <f>VLOOKUP(A355,temporalBoundaries!$A$2:$G$500,2,FALSE())</f>
        <v>1356</v>
      </c>
      <c r="F355" s="1">
        <f>VLOOKUP(A355,temporalBoundaries!$A$2:$G$500,3,FALSE())</f>
        <v>1802</v>
      </c>
      <c r="G355" s="1">
        <f t="shared" si="19"/>
        <v>446</v>
      </c>
      <c r="H355" s="1">
        <f t="shared" si="20"/>
        <v>0.75615212527964204</v>
      </c>
      <c r="I355" s="1">
        <f>VLOOKUP($A355,temporalBoundaries!$A$1:$E$470,4,FALSE())</f>
        <v>13560305</v>
      </c>
      <c r="J355" s="1">
        <f>VLOOKUP($A355,temporalBoundaries!$A$1:$E$470,5,FALSE())</f>
        <v>18020603</v>
      </c>
    </row>
    <row r="356" ht="15" hidden="1">
      <c r="A356" s="1" t="s">
        <v>433</v>
      </c>
      <c r="B356" s="1">
        <v>338</v>
      </c>
      <c r="C356" s="1">
        <v>253</v>
      </c>
      <c r="D356" s="5">
        <f t="shared" ref="D356:D419" si="21">100/B356*C356</f>
        <v>74.852071005917196</v>
      </c>
      <c r="E356" s="1">
        <f>VLOOKUP(A356,temporalBoundaries!$A$2:$G$500,2,FALSE())</f>
        <v>1305</v>
      </c>
      <c r="F356" s="1">
        <f>VLOOKUP(A356,temporalBoundaries!$A$2:$G$500,3,FALSE())</f>
        <v>1328</v>
      </c>
      <c r="G356" s="1">
        <f t="shared" ref="G356:G419" si="22">F356-E356</f>
        <v>23</v>
      </c>
      <c r="H356" s="1">
        <f t="shared" ref="H356:H419" si="23">B356/(G356+1)</f>
        <v>14.0833333333333</v>
      </c>
      <c r="I356" s="1">
        <f>VLOOKUP($A356,temporalBoundaries!$A$1:$E$470,4,FALSE())</f>
        <v>13050325</v>
      </c>
      <c r="J356" s="1">
        <f>VLOOKUP($A356,temporalBoundaries!$A$1:$E$470,5,FALSE())</f>
        <v>13281221</v>
      </c>
    </row>
    <row r="357" ht="15" hidden="1">
      <c r="A357" s="1" t="s">
        <v>859</v>
      </c>
      <c r="B357" s="1">
        <v>353</v>
      </c>
      <c r="C357" s="1">
        <v>57</v>
      </c>
      <c r="D357" s="5">
        <f t="shared" si="21"/>
        <v>16.1473087818697</v>
      </c>
      <c r="E357" s="1">
        <f>VLOOKUP(A357,temporalBoundaries!$A$2:$G$500,2,FALSE())</f>
        <v>1263</v>
      </c>
      <c r="F357" s="1">
        <f>VLOOKUP(A357,temporalBoundaries!$A$2:$G$500,3,FALSE())</f>
        <v>1840</v>
      </c>
      <c r="G357" s="1">
        <f t="shared" si="22"/>
        <v>577</v>
      </c>
      <c r="H357" s="1">
        <f t="shared" si="23"/>
        <v>0.61072664359861595</v>
      </c>
      <c r="I357" s="1">
        <f>VLOOKUP($A357,temporalBoundaries!$A$1:$E$470,4,FALSE())</f>
        <v>12631231</v>
      </c>
      <c r="J357" s="1">
        <f>VLOOKUP($A357,temporalBoundaries!$A$1:$E$470,5,FALSE())</f>
        <v>18401124</v>
      </c>
    </row>
    <row r="358" ht="15" hidden="1">
      <c r="A358" s="1" t="s">
        <v>1115</v>
      </c>
      <c r="B358" s="1">
        <v>361</v>
      </c>
      <c r="C358" s="1">
        <v>359</v>
      </c>
      <c r="D358" s="5">
        <f t="shared" si="21"/>
        <v>99.445983379501399</v>
      </c>
      <c r="E358" s="1">
        <f>VLOOKUP(A358,temporalBoundaries!$A$2:$G$500,2,FALSE())</f>
        <v>1289</v>
      </c>
      <c r="F358" s="1">
        <f>VLOOKUP(A358,temporalBoundaries!$A$2:$G$500,3,FALSE())</f>
        <v>1904</v>
      </c>
      <c r="G358" s="1">
        <f t="shared" si="22"/>
        <v>615</v>
      </c>
      <c r="H358" s="1">
        <f t="shared" si="23"/>
        <v>0.58603896103896103</v>
      </c>
      <c r="I358" s="1">
        <f>VLOOKUP($A358,temporalBoundaries!$A$1:$E$470,4,FALSE())</f>
        <v>12890106</v>
      </c>
      <c r="J358" s="1">
        <f>VLOOKUP($A358,temporalBoundaries!$A$1:$E$470,5,FALSE())</f>
        <v>19040605</v>
      </c>
    </row>
    <row r="359" ht="15" hidden="1">
      <c r="A359" s="1" t="s">
        <v>472</v>
      </c>
      <c r="B359" s="1">
        <v>361</v>
      </c>
      <c r="C359" s="1">
        <v>334</v>
      </c>
      <c r="D359" s="5">
        <f t="shared" si="21"/>
        <v>92.520775623268705</v>
      </c>
      <c r="E359" s="1">
        <f>VLOOKUP(A359,temporalBoundaries!$A$2:$G$500,2,FALSE())</f>
        <v>1372</v>
      </c>
      <c r="F359" s="1">
        <f>VLOOKUP(A359,temporalBoundaries!$A$2:$G$500,3,FALSE())</f>
        <v>1372</v>
      </c>
      <c r="G359" s="1">
        <f t="shared" si="22"/>
        <v>0</v>
      </c>
      <c r="H359" s="1">
        <f t="shared" si="23"/>
        <v>361</v>
      </c>
      <c r="I359" s="1">
        <f>VLOOKUP($A359,temporalBoundaries!$A$1:$E$470,4,FALSE())</f>
        <v>13721111</v>
      </c>
      <c r="J359" s="1">
        <f>VLOOKUP($A359,temporalBoundaries!$A$1:$E$470,5,FALSE())</f>
        <v>13721111</v>
      </c>
      <c r="K359" s="1" t="s">
        <v>1989</v>
      </c>
    </row>
    <row r="360" ht="15" hidden="1">
      <c r="A360" s="1" t="s">
        <v>983</v>
      </c>
      <c r="B360" s="1">
        <v>370</v>
      </c>
      <c r="C360" s="1">
        <v>366</v>
      </c>
      <c r="D360" s="5">
        <f t="shared" si="21"/>
        <v>98.918918918918905</v>
      </c>
      <c r="E360" s="1">
        <f>VLOOKUP(A360,temporalBoundaries!$A$2:$G$500,2,FALSE())</f>
        <v>1197</v>
      </c>
      <c r="F360" s="1">
        <f>VLOOKUP(A360,temporalBoundaries!$A$2:$G$500,3,FALSE())</f>
        <v>1908</v>
      </c>
      <c r="G360" s="1">
        <f t="shared" si="22"/>
        <v>711</v>
      </c>
      <c r="H360" s="1">
        <f t="shared" si="23"/>
        <v>0.51966292134831504</v>
      </c>
      <c r="I360" s="1">
        <f>VLOOKUP($A360,temporalBoundaries!$A$1:$E$470,4,FALSE())</f>
        <v>11970399</v>
      </c>
      <c r="J360" s="1">
        <f>VLOOKUP($A360,temporalBoundaries!$A$1:$E$470,5,FALSE())</f>
        <v>19080820</v>
      </c>
    </row>
    <row r="361" ht="15" hidden="1">
      <c r="A361" s="1" t="s">
        <v>456</v>
      </c>
      <c r="B361" s="1">
        <v>376</v>
      </c>
      <c r="C361" s="1">
        <v>205</v>
      </c>
      <c r="D361" s="5">
        <f t="shared" si="21"/>
        <v>54.521276595744702</v>
      </c>
      <c r="E361" s="1">
        <f>VLOOKUP(A361,temporalBoundaries!$A$2:$G$500,2,FALSE())</f>
        <v>1188</v>
      </c>
      <c r="F361" s="1">
        <f>VLOOKUP(A361,temporalBoundaries!$A$2:$G$500,3,FALSE())</f>
        <v>1992</v>
      </c>
      <c r="G361" s="1">
        <f t="shared" si="22"/>
        <v>804</v>
      </c>
      <c r="H361" s="1">
        <f t="shared" si="23"/>
        <v>0.46708074534161498</v>
      </c>
      <c r="I361" s="1">
        <f>VLOOKUP($A361,temporalBoundaries!$A$1:$E$470,4,FALSE())</f>
        <v>11880101</v>
      </c>
      <c r="J361" s="1">
        <f>VLOOKUP($A361,temporalBoundaries!$A$1:$E$470,5,FALSE())</f>
        <v>19920914</v>
      </c>
    </row>
    <row r="362" ht="15" hidden="1">
      <c r="A362" s="1" t="s">
        <v>1123</v>
      </c>
      <c r="B362" s="1">
        <v>386</v>
      </c>
      <c r="C362" s="1">
        <v>253</v>
      </c>
      <c r="D362" s="5">
        <f t="shared" si="21"/>
        <v>65.5440414507772</v>
      </c>
      <c r="E362" s="1">
        <f>VLOOKUP(A362,temporalBoundaries!$A$2:$G$500,2,FALSE())</f>
        <v>1212</v>
      </c>
      <c r="F362" s="1">
        <f>VLOOKUP(A362,temporalBoundaries!$A$2:$G$500,3,FALSE())</f>
        <v>1704</v>
      </c>
      <c r="G362" s="1">
        <f t="shared" si="22"/>
        <v>492</v>
      </c>
      <c r="H362" s="1">
        <f t="shared" si="23"/>
        <v>0.78296146044624804</v>
      </c>
      <c r="I362" s="1">
        <f>VLOOKUP($A362,temporalBoundaries!$A$1:$E$470,4,FALSE())</f>
        <v>12120111</v>
      </c>
      <c r="J362" s="1">
        <f>VLOOKUP($A362,temporalBoundaries!$A$1:$E$470,5,FALSE())</f>
        <v>17040412</v>
      </c>
    </row>
    <row r="363" ht="15" hidden="1">
      <c r="A363" s="1" t="s">
        <v>480</v>
      </c>
      <c r="B363" s="1">
        <v>391</v>
      </c>
      <c r="C363" s="1">
        <v>347</v>
      </c>
      <c r="D363" s="5">
        <f t="shared" si="21"/>
        <v>88.746803069053698</v>
      </c>
      <c r="E363" s="1">
        <f>VLOOKUP(A363,temporalBoundaries!$A$2:$G$500,2,FALSE())</f>
        <v>1340</v>
      </c>
      <c r="F363" s="1">
        <f>VLOOKUP(A363,temporalBoundaries!$A$2:$G$500,3,FALSE())</f>
        <v>1419</v>
      </c>
      <c r="G363" s="1">
        <f t="shared" si="22"/>
        <v>79</v>
      </c>
      <c r="H363" s="1">
        <f t="shared" si="23"/>
        <v>4.8875000000000002</v>
      </c>
      <c r="I363" s="1">
        <f>VLOOKUP($A363,temporalBoundaries!$A$1:$E$470,4,FALSE())</f>
        <v>13400831</v>
      </c>
      <c r="J363" s="1">
        <f>VLOOKUP($A363,temporalBoundaries!$A$1:$E$470,5,FALSE())</f>
        <v>14190302</v>
      </c>
    </row>
    <row r="364" ht="15" hidden="1">
      <c r="A364" s="1" t="s">
        <v>189</v>
      </c>
      <c r="B364" s="1">
        <v>394</v>
      </c>
      <c r="C364" s="1">
        <v>291</v>
      </c>
      <c r="D364" s="5">
        <f t="shared" si="21"/>
        <v>73.857868020304593</v>
      </c>
      <c r="E364" s="1">
        <f>VLOOKUP(A364,temporalBoundaries!$A$2:$G$500,2,FALSE())</f>
        <v>1256</v>
      </c>
      <c r="F364" s="1">
        <f>VLOOKUP(A364,temporalBoundaries!$A$2:$G$500,3,FALSE())</f>
        <v>1752</v>
      </c>
      <c r="G364" s="1">
        <f t="shared" si="22"/>
        <v>496</v>
      </c>
      <c r="H364" s="1">
        <f t="shared" si="23"/>
        <v>0.79275653923541201</v>
      </c>
      <c r="I364" s="1">
        <f>VLOOKUP($A364,temporalBoundaries!$A$1:$E$470,4,FALSE())</f>
        <v>12569999</v>
      </c>
      <c r="J364" s="1">
        <f>VLOOKUP($A364,temporalBoundaries!$A$1:$E$470,5,FALSE())</f>
        <v>17520612</v>
      </c>
    </row>
    <row r="365" ht="15" hidden="1">
      <c r="A365" s="1" t="s">
        <v>759</v>
      </c>
      <c r="B365" s="1">
        <v>395</v>
      </c>
      <c r="C365" s="1">
        <v>264</v>
      </c>
      <c r="D365" s="5">
        <f t="shared" si="21"/>
        <v>66.835443037974699</v>
      </c>
      <c r="E365" s="1">
        <f>VLOOKUP(A365,temporalBoundaries!$A$2:$G$500,2,FALSE())</f>
        <v>1386</v>
      </c>
      <c r="F365" s="1">
        <f>VLOOKUP(A365,temporalBoundaries!$A$2:$G$500,3,FALSE())</f>
        <v>1508</v>
      </c>
      <c r="G365" s="1">
        <f t="shared" si="22"/>
        <v>122</v>
      </c>
      <c r="H365" s="1">
        <f t="shared" si="23"/>
        <v>3.21138211382114</v>
      </c>
      <c r="I365" s="1">
        <f>VLOOKUP($A365,temporalBoundaries!$A$1:$E$470,4,FALSE())</f>
        <v>13860212</v>
      </c>
      <c r="J365" s="1">
        <f>VLOOKUP($A365,temporalBoundaries!$A$1:$E$470,5,FALSE())</f>
        <v>15080125</v>
      </c>
    </row>
    <row r="366" ht="15" hidden="1">
      <c r="A366" s="1" t="s">
        <v>413</v>
      </c>
      <c r="B366" s="1">
        <v>427</v>
      </c>
      <c r="C366" s="1">
        <v>264</v>
      </c>
      <c r="D366" s="5">
        <f t="shared" si="21"/>
        <v>61.826697892271703</v>
      </c>
      <c r="E366" s="1">
        <f>VLOOKUP(A366,temporalBoundaries!$A$2:$G$500,2,FALSE())</f>
        <v>1190</v>
      </c>
      <c r="F366" s="1">
        <f>VLOOKUP(A366,temporalBoundaries!$A$2:$G$500,3,FALSE())</f>
        <v>1798</v>
      </c>
      <c r="G366" s="1">
        <f t="shared" si="22"/>
        <v>608</v>
      </c>
      <c r="H366" s="1">
        <f t="shared" si="23"/>
        <v>0.70114942528735602</v>
      </c>
      <c r="I366" s="1">
        <f>VLOOKUP($A366,temporalBoundaries!$A$1:$E$470,4,FALSE())</f>
        <v>11901231</v>
      </c>
      <c r="J366" s="1">
        <f>VLOOKUP($A366,temporalBoundaries!$A$1:$E$470,5,FALSE())</f>
        <v>17980805</v>
      </c>
    </row>
    <row r="367" ht="15" hidden="1">
      <c r="A367" s="1" t="s">
        <v>1623</v>
      </c>
      <c r="B367" s="1">
        <v>437</v>
      </c>
      <c r="C367" s="1">
        <v>0</v>
      </c>
      <c r="D367" s="5">
        <f t="shared" si="21"/>
        <v>0</v>
      </c>
      <c r="E367" s="1">
        <f>VLOOKUP(A367,temporalBoundaries!$A$2:$G$500,2,FALSE())</f>
        <v>1200</v>
      </c>
      <c r="F367" s="1">
        <f>VLOOKUP(A367,temporalBoundaries!$A$2:$G$500,3,FALSE())</f>
        <v>1397</v>
      </c>
      <c r="G367" s="1">
        <f t="shared" si="22"/>
        <v>197</v>
      </c>
      <c r="H367" s="1">
        <f t="shared" si="23"/>
        <v>2.2070707070707098</v>
      </c>
      <c r="I367" s="1">
        <f>VLOOKUP($A367,temporalBoundaries!$A$1:$E$470,4,FALSE())</f>
        <v>12001231</v>
      </c>
      <c r="J367" s="1">
        <f>VLOOKUP($A367,temporalBoundaries!$A$1:$E$470,5,FALSE())</f>
        <v>13970830</v>
      </c>
    </row>
    <row r="368" ht="15" hidden="1">
      <c r="A368" s="1" t="s">
        <v>1483</v>
      </c>
      <c r="B368" s="1">
        <v>443</v>
      </c>
      <c r="C368" s="1">
        <v>0</v>
      </c>
      <c r="D368" s="5">
        <f t="shared" si="21"/>
        <v>0</v>
      </c>
      <c r="E368" s="1">
        <f>VLOOKUP(A368,temporalBoundaries!$A$2:$G$500,2,FALSE())</f>
        <v>989</v>
      </c>
      <c r="F368" s="1">
        <f>VLOOKUP(A368,temporalBoundaries!$A$2:$G$500,3,FALSE())</f>
        <v>1398</v>
      </c>
      <c r="G368" s="1">
        <f t="shared" si="22"/>
        <v>409</v>
      </c>
      <c r="H368" s="1">
        <f t="shared" si="23"/>
        <v>1.08048780487805</v>
      </c>
      <c r="I368" s="1">
        <f>VLOOKUP($A368,temporalBoundaries!$A$1:$E$470,4,FALSE())</f>
        <v>9890331</v>
      </c>
      <c r="J368" s="1">
        <f>VLOOKUP($A368,temporalBoundaries!$A$1:$E$470,5,FALSE())</f>
        <v>13981016</v>
      </c>
    </row>
    <row r="369" ht="15" hidden="1">
      <c r="A369" s="1" t="s">
        <v>508</v>
      </c>
      <c r="B369" s="1">
        <v>445</v>
      </c>
      <c r="C369" s="1">
        <v>444</v>
      </c>
      <c r="D369" s="5">
        <f t="shared" si="21"/>
        <v>99.775280898876403</v>
      </c>
      <c r="E369" s="1">
        <f>VLOOKUP(A369,temporalBoundaries!$A$2:$G$500,2,FALSE())</f>
        <v>1257</v>
      </c>
      <c r="F369" s="1">
        <f>VLOOKUP(A369,temporalBoundaries!$A$2:$G$500,3,FALSE())</f>
        <v>1799</v>
      </c>
      <c r="G369" s="1">
        <f t="shared" si="22"/>
        <v>542</v>
      </c>
      <c r="H369" s="1">
        <f t="shared" si="23"/>
        <v>0.81952117863720098</v>
      </c>
      <c r="I369" s="1">
        <f>VLOOKUP($A369,temporalBoundaries!$A$1:$E$470,4,FALSE())</f>
        <v>12570808</v>
      </c>
      <c r="J369" s="1">
        <f>VLOOKUP($A369,temporalBoundaries!$A$1:$E$470,5,FALSE())</f>
        <v>17990930</v>
      </c>
    </row>
    <row r="370" ht="15" hidden="1">
      <c r="A370" s="1" t="s">
        <v>9</v>
      </c>
      <c r="B370" s="1">
        <v>462</v>
      </c>
      <c r="C370" s="1">
        <v>0</v>
      </c>
      <c r="D370" s="5">
        <f t="shared" si="21"/>
        <v>0</v>
      </c>
      <c r="E370" s="1">
        <f>VLOOKUP(A370,temporalBoundaries!$A$2:$G$500,2,FALSE())</f>
        <v>1229</v>
      </c>
      <c r="F370" s="1">
        <f>VLOOKUP(A370,temporalBoundaries!$A$2:$G$500,3,FALSE())</f>
        <v>1970</v>
      </c>
      <c r="G370" s="1">
        <f t="shared" si="22"/>
        <v>741</v>
      </c>
      <c r="H370" s="1">
        <f t="shared" si="23"/>
        <v>0.62264150943396201</v>
      </c>
      <c r="I370" s="1">
        <f>VLOOKUP($A370,temporalBoundaries!$A$1:$E$470,4,FALSE())</f>
        <v>12290220</v>
      </c>
      <c r="J370" s="1">
        <f>VLOOKUP($A370,temporalBoundaries!$A$1:$E$470,5,FALSE())</f>
        <v>19700409</v>
      </c>
    </row>
    <row r="371" ht="15" hidden="1">
      <c r="A371" s="1" t="s">
        <v>1583</v>
      </c>
      <c r="B371" s="1">
        <v>465</v>
      </c>
      <c r="C371" s="1">
        <v>0</v>
      </c>
      <c r="D371" s="5">
        <f t="shared" si="21"/>
        <v>0</v>
      </c>
      <c r="E371" s="1">
        <f>VLOOKUP(A371,temporalBoundaries!$A$2:$G$500,2,FALSE())</f>
        <v>1208</v>
      </c>
      <c r="F371" s="1">
        <f>VLOOKUP(A371,temporalBoundaries!$A$2:$G$500,3,FALSE())</f>
        <v>1398</v>
      </c>
      <c r="G371" s="1">
        <f t="shared" si="22"/>
        <v>190</v>
      </c>
      <c r="H371" s="1">
        <f t="shared" si="23"/>
        <v>2.43455497382199</v>
      </c>
      <c r="I371" s="1">
        <f>VLOOKUP($A371,temporalBoundaries!$A$1:$E$470,4,FALSE())</f>
        <v>12080826</v>
      </c>
      <c r="J371" s="1">
        <f>VLOOKUP($A371,temporalBoundaries!$A$1:$E$470,5,FALSE())</f>
        <v>13980728</v>
      </c>
    </row>
    <row r="372" ht="15" hidden="1">
      <c r="A372" s="1" t="s">
        <v>1451</v>
      </c>
      <c r="B372" s="1">
        <v>472</v>
      </c>
      <c r="C372" s="1">
        <v>0</v>
      </c>
      <c r="D372" s="5">
        <f t="shared" si="21"/>
        <v>0</v>
      </c>
      <c r="E372" s="1">
        <f>VLOOKUP(A372,temporalBoundaries!$A$2:$G$500,2,FALSE())</f>
        <v>1181</v>
      </c>
      <c r="F372" s="1">
        <f>VLOOKUP(A372,temporalBoundaries!$A$2:$G$500,3,FALSE())</f>
        <v>1398</v>
      </c>
      <c r="G372" s="1">
        <f t="shared" si="22"/>
        <v>217</v>
      </c>
      <c r="H372" s="1">
        <f t="shared" si="23"/>
        <v>2.1651376146788999</v>
      </c>
      <c r="I372" s="1">
        <f>VLOOKUP($A372,temporalBoundaries!$A$1:$E$470,4,FALSE())</f>
        <v>11810630</v>
      </c>
      <c r="J372" s="1">
        <f>VLOOKUP($A372,temporalBoundaries!$A$1:$E$470,5,FALSE())</f>
        <v>13981122</v>
      </c>
    </row>
    <row r="373" ht="15" hidden="1">
      <c r="A373" s="1" t="s">
        <v>1871</v>
      </c>
      <c r="B373" s="1">
        <v>473</v>
      </c>
      <c r="C373" s="1">
        <v>0</v>
      </c>
      <c r="D373" s="5">
        <f t="shared" si="21"/>
        <v>0</v>
      </c>
      <c r="E373" s="1">
        <f>VLOOKUP(A373,temporalBoundaries!$A$2:$G$500,2,FALSE())</f>
        <v>1218</v>
      </c>
      <c r="F373" s="1">
        <f>VLOOKUP(A373,temporalBoundaries!$A$2:$G$500,3,FALSE())</f>
        <v>1398</v>
      </c>
      <c r="G373" s="1">
        <f t="shared" si="22"/>
        <v>180</v>
      </c>
      <c r="H373" s="1">
        <f t="shared" si="23"/>
        <v>2.6132596685082898</v>
      </c>
      <c r="I373" s="1">
        <f>VLOOKUP($A373,temporalBoundaries!$A$1:$E$470,4,FALSE())</f>
        <v>12180513</v>
      </c>
      <c r="J373" s="1">
        <f>VLOOKUP($A373,temporalBoundaries!$A$1:$E$470,5,FALSE())</f>
        <v>13981006</v>
      </c>
    </row>
    <row r="374" ht="15" hidden="1">
      <c r="A374" s="1" t="s">
        <v>1879</v>
      </c>
      <c r="B374" s="1">
        <v>475</v>
      </c>
      <c r="C374" s="1">
        <v>0</v>
      </c>
      <c r="D374" s="5">
        <f t="shared" si="21"/>
        <v>0</v>
      </c>
      <c r="E374" s="1">
        <f>VLOOKUP(A374,temporalBoundaries!$A$2:$G$500,2,FALSE())</f>
        <v>1243</v>
      </c>
      <c r="F374" s="1">
        <f>VLOOKUP(A374,temporalBoundaries!$A$2:$G$500,3,FALSE())</f>
        <v>1398</v>
      </c>
      <c r="G374" s="1">
        <f t="shared" si="22"/>
        <v>155</v>
      </c>
      <c r="H374" s="1">
        <f t="shared" si="23"/>
        <v>3.0448717948717898</v>
      </c>
      <c r="I374" s="1">
        <f>VLOOKUP($A374,temporalBoundaries!$A$1:$E$470,4,FALSE())</f>
        <v>12431117</v>
      </c>
      <c r="J374" s="1">
        <f>VLOOKUP($A374,temporalBoundaries!$A$1:$E$470,5,FALSE())</f>
        <v>13981117</v>
      </c>
    </row>
    <row r="375" ht="15" hidden="1">
      <c r="A375" s="1" t="s">
        <v>1367</v>
      </c>
      <c r="B375" s="1">
        <v>490</v>
      </c>
      <c r="C375" s="1">
        <v>490</v>
      </c>
      <c r="D375" s="5">
        <f t="shared" si="21"/>
        <v>100</v>
      </c>
      <c r="E375" s="1">
        <f>VLOOKUP(A375,temporalBoundaries!$A$2:$G$500,2,FALSE())</f>
        <v>1124</v>
      </c>
      <c r="F375" s="1">
        <f>VLOOKUP(A375,temporalBoundaries!$A$2:$G$500,3,FALSE())</f>
        <v>1556</v>
      </c>
      <c r="G375" s="1">
        <f t="shared" si="22"/>
        <v>432</v>
      </c>
      <c r="H375" s="1">
        <f t="shared" si="23"/>
        <v>1.13163972286374</v>
      </c>
      <c r="I375" s="1">
        <f>VLOOKUP($A375,temporalBoundaries!$A$1:$E$470,4,FALSE())</f>
        <v>11240113</v>
      </c>
      <c r="J375" s="1">
        <f>VLOOKUP($A375,temporalBoundaries!$A$1:$E$470,5,FALSE())</f>
        <v>15569999</v>
      </c>
    </row>
    <row r="376" ht="15" hidden="1">
      <c r="A376" s="1" t="s">
        <v>879</v>
      </c>
      <c r="B376" s="1">
        <v>492</v>
      </c>
      <c r="C376" s="1">
        <v>491</v>
      </c>
      <c r="D376" s="5">
        <f t="shared" si="21"/>
        <v>99.796747967479703</v>
      </c>
      <c r="E376" s="1">
        <f>VLOOKUP(A376,temporalBoundaries!$A$2:$G$500,2,FALSE())</f>
        <v>993</v>
      </c>
      <c r="F376" s="1">
        <f>VLOOKUP(A376,temporalBoundaries!$A$2:$G$500,3,FALSE())</f>
        <v>1948</v>
      </c>
      <c r="G376" s="1">
        <f t="shared" si="22"/>
        <v>955</v>
      </c>
      <c r="H376" s="1">
        <f t="shared" si="23"/>
        <v>0.51464435146443499</v>
      </c>
      <c r="I376" s="1">
        <f>VLOOKUP($A376,temporalBoundaries!$A$1:$E$470,4,FALSE())</f>
        <v>9930114</v>
      </c>
      <c r="J376" s="1">
        <f>VLOOKUP($A376,temporalBoundaries!$A$1:$E$470,5,FALSE())</f>
        <v>19480408</v>
      </c>
    </row>
    <row r="377" ht="15" hidden="1">
      <c r="A377" s="1" t="s">
        <v>1111</v>
      </c>
      <c r="B377" s="1">
        <v>496</v>
      </c>
      <c r="C377" s="1">
        <v>478</v>
      </c>
      <c r="D377" s="5">
        <f t="shared" si="21"/>
        <v>96.370967741935502</v>
      </c>
      <c r="E377" s="1">
        <f>VLOOKUP(A377,temporalBoundaries!$A$2:$G$500,2,FALSE())</f>
        <v>1270</v>
      </c>
      <c r="F377" s="1">
        <f>VLOOKUP(A377,temporalBoundaries!$A$2:$G$500,3,FALSE())</f>
        <v>1795</v>
      </c>
      <c r="G377" s="1">
        <f t="shared" si="22"/>
        <v>525</v>
      </c>
      <c r="H377" s="1">
        <f t="shared" si="23"/>
        <v>0.94296577946768101</v>
      </c>
      <c r="I377" s="1">
        <f>VLOOKUP($A377,temporalBoundaries!$A$1:$E$470,4,FALSE())</f>
        <v>12700408</v>
      </c>
      <c r="J377" s="1">
        <f>VLOOKUP($A377,temporalBoundaries!$A$1:$E$470,5,FALSE())</f>
        <v>17950721</v>
      </c>
    </row>
    <row r="378" ht="15" hidden="1">
      <c r="A378" s="1" t="s">
        <v>799</v>
      </c>
      <c r="B378" s="1">
        <v>498</v>
      </c>
      <c r="C378" s="1">
        <v>413</v>
      </c>
      <c r="D378" s="5">
        <f t="shared" si="21"/>
        <v>82.931726907630505</v>
      </c>
      <c r="E378" s="1">
        <f>VLOOKUP(A378,temporalBoundaries!$A$2:$G$500,2,FALSE())</f>
        <v>1315</v>
      </c>
      <c r="F378" s="1">
        <f>VLOOKUP(A378,temporalBoundaries!$A$2:$G$500,3,FALSE())</f>
        <v>1522</v>
      </c>
      <c r="G378" s="1">
        <f t="shared" si="22"/>
        <v>207</v>
      </c>
      <c r="H378" s="1">
        <f t="shared" si="23"/>
        <v>2.3942307692307701</v>
      </c>
      <c r="I378" s="1">
        <f>VLOOKUP($A378,temporalBoundaries!$A$1:$E$470,4,FALSE())</f>
        <v>13151007</v>
      </c>
      <c r="J378" s="1">
        <f>VLOOKUP($A378,temporalBoundaries!$A$1:$E$470,5,FALSE())</f>
        <v>15220603</v>
      </c>
    </row>
    <row r="379" ht="15" hidden="1">
      <c r="A379" s="1" t="s">
        <v>667</v>
      </c>
      <c r="B379" s="1">
        <v>501</v>
      </c>
      <c r="C379" s="1">
        <v>440</v>
      </c>
      <c r="D379" s="5">
        <f t="shared" si="21"/>
        <v>87.824351297405201</v>
      </c>
      <c r="E379" s="1">
        <f>VLOOKUP(A379,temporalBoundaries!$A$2:$G$500,2,FALSE())</f>
        <v>861</v>
      </c>
      <c r="F379" s="1">
        <f>VLOOKUP(A379,temporalBoundaries!$A$2:$G$500,3,FALSE())</f>
        <v>1500</v>
      </c>
      <c r="G379" s="1">
        <f t="shared" si="22"/>
        <v>639</v>
      </c>
      <c r="H379" s="1">
        <f t="shared" si="23"/>
        <v>0.78281250000000002</v>
      </c>
      <c r="I379" s="1">
        <f>VLOOKUP($A379,temporalBoundaries!$A$1:$E$470,4,FALSE())</f>
        <v>8610306</v>
      </c>
      <c r="J379" s="1">
        <f>VLOOKUP($A379,temporalBoundaries!$A$1:$E$470,5,FALSE())</f>
        <v>15001103</v>
      </c>
    </row>
    <row r="380" ht="15" hidden="1">
      <c r="A380" s="1" t="s">
        <v>1927</v>
      </c>
      <c r="B380" s="1">
        <v>505</v>
      </c>
      <c r="C380" s="1">
        <v>505</v>
      </c>
      <c r="D380" s="5">
        <f t="shared" si="21"/>
        <v>100</v>
      </c>
      <c r="E380" s="1">
        <f>VLOOKUP(A380,temporalBoundaries!$A$2:$G$500,2,FALSE())</f>
        <v>911</v>
      </c>
      <c r="F380" s="1">
        <f>VLOOKUP(A380,temporalBoundaries!$A$2:$G$500,3,FALSE())</f>
        <v>1675</v>
      </c>
      <c r="G380" s="1">
        <f t="shared" si="22"/>
        <v>764</v>
      </c>
      <c r="H380" s="1">
        <f t="shared" si="23"/>
        <v>0.66013071895424802</v>
      </c>
      <c r="I380" s="1">
        <f>VLOOKUP($A380,temporalBoundaries!$A$1:$E$470,4,FALSE())</f>
        <v>9110327</v>
      </c>
      <c r="J380" s="1">
        <f>VLOOKUP($A380,temporalBoundaries!$A$1:$E$470,5,FALSE())</f>
        <v>16750108</v>
      </c>
    </row>
    <row r="381" ht="15" hidden="1">
      <c r="A381" s="1" t="s">
        <v>1507</v>
      </c>
      <c r="B381" s="1">
        <v>505</v>
      </c>
      <c r="C381" s="1">
        <v>0</v>
      </c>
      <c r="D381" s="5">
        <f t="shared" si="21"/>
        <v>0</v>
      </c>
      <c r="E381" s="1">
        <f>VLOOKUP(A381,temporalBoundaries!$A$2:$G$500,2,FALSE())</f>
        <v>1198</v>
      </c>
      <c r="F381" s="1">
        <f>VLOOKUP(A381,temporalBoundaries!$A$2:$G$500,3,FALSE())</f>
        <v>1398</v>
      </c>
      <c r="G381" s="1">
        <f t="shared" si="22"/>
        <v>200</v>
      </c>
      <c r="H381" s="1">
        <f t="shared" si="23"/>
        <v>2.5124378109452699</v>
      </c>
      <c r="I381" s="1">
        <f>VLOOKUP($A381,temporalBoundaries!$A$1:$E$470,4,FALSE())</f>
        <v>11980309</v>
      </c>
      <c r="J381" s="1">
        <f>VLOOKUP($A381,temporalBoundaries!$A$1:$E$470,5,FALSE())</f>
        <v>13981006</v>
      </c>
    </row>
    <row r="382" ht="15" hidden="1">
      <c r="A382" s="1" t="s">
        <v>524</v>
      </c>
      <c r="B382" s="1">
        <v>510</v>
      </c>
      <c r="C382" s="1">
        <v>167</v>
      </c>
      <c r="D382" s="5">
        <f t="shared" si="21"/>
        <v>32.745098039215698</v>
      </c>
      <c r="E382" s="1">
        <f>VLOOKUP(A382,temporalBoundaries!$A$2:$G$500,2,FALSE())</f>
        <v>1444</v>
      </c>
      <c r="F382" s="1">
        <f>VLOOKUP(A382,temporalBoundaries!$A$2:$G$500,3,FALSE())</f>
        <v>1545</v>
      </c>
      <c r="G382" s="1">
        <f t="shared" si="22"/>
        <v>101</v>
      </c>
      <c r="H382" s="1">
        <f t="shared" si="23"/>
        <v>5</v>
      </c>
      <c r="I382" s="1">
        <f>VLOOKUP($A382,temporalBoundaries!$A$1:$E$470,4,FALSE())</f>
        <v>14441121</v>
      </c>
      <c r="J382" s="1">
        <f>VLOOKUP($A382,temporalBoundaries!$A$1:$E$470,5,FALSE())</f>
        <v>15450811</v>
      </c>
    </row>
    <row r="383" ht="15" hidden="1">
      <c r="A383" s="1" t="s">
        <v>1283</v>
      </c>
      <c r="B383" s="1">
        <v>514</v>
      </c>
      <c r="C383" s="1">
        <v>0</v>
      </c>
      <c r="D383" s="5">
        <f t="shared" si="21"/>
        <v>0</v>
      </c>
      <c r="E383" s="1">
        <f>VLOOKUP(A383,temporalBoundaries!$A$2:$G$500,2,FALSE())</f>
        <v>1232</v>
      </c>
      <c r="F383" s="1">
        <f>VLOOKUP(A383,temporalBoundaries!$A$2:$G$500,3,FALSE())</f>
        <v>1781</v>
      </c>
      <c r="G383" s="1">
        <f t="shared" si="22"/>
        <v>549</v>
      </c>
      <c r="H383" s="1">
        <f t="shared" si="23"/>
        <v>0.93454545454545501</v>
      </c>
      <c r="I383" s="1">
        <f>VLOOKUP($A383,temporalBoundaries!$A$1:$E$470,4,FALSE())</f>
        <v>12320711</v>
      </c>
      <c r="J383" s="1">
        <f>VLOOKUP($A383,temporalBoundaries!$A$1:$E$470,5,FALSE())</f>
        <v>17811111</v>
      </c>
    </row>
    <row r="384" ht="15" hidden="1">
      <c r="A384" s="1" t="s">
        <v>1087</v>
      </c>
      <c r="B384" s="1">
        <v>525</v>
      </c>
      <c r="C384" s="1">
        <v>468</v>
      </c>
      <c r="D384" s="5">
        <f t="shared" si="21"/>
        <v>89.142857142857096</v>
      </c>
      <c r="E384" s="1">
        <f>VLOOKUP(A384,temporalBoundaries!$A$2:$G$500,2,FALSE())</f>
        <v>1228</v>
      </c>
      <c r="F384" s="1">
        <f>VLOOKUP(A384,temporalBoundaries!$A$2:$G$500,3,FALSE())</f>
        <v>1793</v>
      </c>
      <c r="G384" s="1">
        <f t="shared" si="22"/>
        <v>565</v>
      </c>
      <c r="H384" s="1">
        <f t="shared" si="23"/>
        <v>0.92756183745582999</v>
      </c>
      <c r="I384" s="1">
        <f>VLOOKUP($A384,temporalBoundaries!$A$1:$E$470,4,FALSE())</f>
        <v>12280711</v>
      </c>
      <c r="J384" s="1">
        <f>VLOOKUP($A384,temporalBoundaries!$A$1:$E$470,5,FALSE())</f>
        <v>17930623</v>
      </c>
    </row>
    <row r="385" ht="15" hidden="1">
      <c r="A385" s="1" t="s">
        <v>1119</v>
      </c>
      <c r="B385" s="1">
        <v>528</v>
      </c>
      <c r="C385" s="1">
        <v>506</v>
      </c>
      <c r="D385" s="5">
        <f t="shared" si="21"/>
        <v>95.8333333333333</v>
      </c>
      <c r="E385" s="1">
        <f>VLOOKUP(A385,temporalBoundaries!$A$2:$G$500,2,FALSE())</f>
        <v>1259</v>
      </c>
      <c r="F385" s="1">
        <f>VLOOKUP(A385,temporalBoundaries!$A$2:$G$500,3,FALSE())</f>
        <v>1631</v>
      </c>
      <c r="G385" s="1">
        <f t="shared" si="22"/>
        <v>372</v>
      </c>
      <c r="H385" s="1">
        <f t="shared" si="23"/>
        <v>1.4155495978552299</v>
      </c>
      <c r="I385" s="1">
        <f>VLOOKUP($A385,temporalBoundaries!$A$1:$E$470,4,FALSE())</f>
        <v>12590713</v>
      </c>
      <c r="J385" s="1">
        <f>VLOOKUP($A385,temporalBoundaries!$A$1:$E$470,5,FALSE())</f>
        <v>16310321</v>
      </c>
    </row>
    <row r="386" ht="15" hidden="1">
      <c r="A386" s="1" t="s">
        <v>1975</v>
      </c>
      <c r="B386" s="1">
        <v>531</v>
      </c>
      <c r="C386" s="1">
        <v>228</v>
      </c>
      <c r="D386" s="5">
        <f t="shared" si="21"/>
        <v>42.937853107344601</v>
      </c>
      <c r="E386" s="1">
        <f>VLOOKUP(A386,temporalBoundaries!$A$2:$G$500,2,FALSE())</f>
        <v>1198</v>
      </c>
      <c r="F386" s="1">
        <f>VLOOKUP(A386,temporalBoundaries!$A$2:$G$500,3,FALSE())</f>
        <v>1819</v>
      </c>
      <c r="G386" s="1">
        <f t="shared" si="22"/>
        <v>621</v>
      </c>
      <c r="H386" s="1">
        <f t="shared" si="23"/>
        <v>0.85369774919614205</v>
      </c>
      <c r="I386" s="1">
        <f>VLOOKUP($A386,temporalBoundaries!$A$1:$E$470,4,FALSE())</f>
        <v>11980727</v>
      </c>
      <c r="J386" s="1">
        <f>VLOOKUP($A386,temporalBoundaries!$A$1:$E$470,5,FALSE())</f>
        <v>18190622</v>
      </c>
    </row>
    <row r="387" ht="15" hidden="1">
      <c r="A387" s="1" t="s">
        <v>1947</v>
      </c>
      <c r="B387" s="1">
        <v>555</v>
      </c>
      <c r="C387" s="1">
        <v>555</v>
      </c>
      <c r="D387" s="5">
        <f t="shared" si="21"/>
        <v>100</v>
      </c>
      <c r="E387" s="1">
        <f>VLOOKUP(A387,temporalBoundaries!$A$2:$G$500,2,FALSE())</f>
        <v>1164</v>
      </c>
      <c r="F387" s="1">
        <f>VLOOKUP(A387,temporalBoundaries!$A$2:$G$500,3,FALSE())</f>
        <v>1731</v>
      </c>
      <c r="G387" s="1">
        <f t="shared" si="22"/>
        <v>567</v>
      </c>
      <c r="H387" s="1">
        <f t="shared" si="23"/>
        <v>0.977112676056338</v>
      </c>
      <c r="I387" s="1">
        <f>VLOOKUP($A387,temporalBoundaries!$A$1:$E$470,4,FALSE())</f>
        <v>11640499</v>
      </c>
      <c r="J387" s="1">
        <f>VLOOKUP($A387,temporalBoundaries!$A$1:$E$470,5,FALSE())</f>
        <v>17310519</v>
      </c>
    </row>
    <row r="388" ht="15" hidden="1">
      <c r="A388" s="1" t="s">
        <v>1287</v>
      </c>
      <c r="B388" s="1">
        <v>590</v>
      </c>
      <c r="C388" s="1">
        <v>0</v>
      </c>
      <c r="D388" s="5">
        <f t="shared" si="21"/>
        <v>0</v>
      </c>
      <c r="E388" s="1">
        <f>VLOOKUP(A388,temporalBoundaries!$A$2:$G$500,2,FALSE())</f>
        <v>1007</v>
      </c>
      <c r="F388" s="1">
        <f>VLOOKUP(A388,temporalBoundaries!$A$2:$G$500,3,FALSE())</f>
        <v>1761</v>
      </c>
      <c r="G388" s="1">
        <f t="shared" si="22"/>
        <v>754</v>
      </c>
      <c r="H388" s="1">
        <f t="shared" si="23"/>
        <v>0.78145695364238399</v>
      </c>
      <c r="I388" s="1">
        <f>VLOOKUP($A388,temporalBoundaries!$A$1:$E$470,4,FALSE())</f>
        <v>10070527</v>
      </c>
      <c r="J388" s="1">
        <f>VLOOKUP($A388,temporalBoundaries!$A$1:$E$470,5,FALSE())</f>
        <v>17610530</v>
      </c>
    </row>
    <row r="389" ht="15" hidden="1">
      <c r="A389" s="1" t="s">
        <v>1055</v>
      </c>
      <c r="B389" s="1">
        <v>617</v>
      </c>
      <c r="C389" s="1">
        <v>601</v>
      </c>
      <c r="D389" s="5">
        <f t="shared" si="21"/>
        <v>97.406807131280402</v>
      </c>
      <c r="E389" s="1">
        <f>VLOOKUP(A389,temporalBoundaries!$A$2:$G$500,2,FALSE())</f>
        <v>1133</v>
      </c>
      <c r="F389" s="1">
        <f>VLOOKUP(A389,temporalBoundaries!$A$2:$G$500,3,FALSE())</f>
        <v>1796</v>
      </c>
      <c r="G389" s="1">
        <f t="shared" si="22"/>
        <v>663</v>
      </c>
      <c r="H389" s="1">
        <f t="shared" si="23"/>
        <v>0.92921686746987997</v>
      </c>
      <c r="I389" s="1">
        <f>VLOOKUP($A389,temporalBoundaries!$A$1:$E$470,4,FALSE())</f>
        <v>11331010</v>
      </c>
      <c r="J389" s="1">
        <f>VLOOKUP($A389,temporalBoundaries!$A$1:$E$470,5,FALSE())</f>
        <v>17960609</v>
      </c>
    </row>
    <row r="390" ht="15" hidden="1">
      <c r="A390" s="1" t="s">
        <v>425</v>
      </c>
      <c r="B390" s="1">
        <v>652</v>
      </c>
      <c r="C390" s="1">
        <v>535</v>
      </c>
      <c r="D390" s="5">
        <f t="shared" si="21"/>
        <v>82.055214723926397</v>
      </c>
      <c r="E390" s="1">
        <f>VLOOKUP(A390,temporalBoundaries!$A$2:$G$500,2,FALSE())</f>
        <v>1220</v>
      </c>
      <c r="F390" s="1">
        <f>VLOOKUP(A390,temporalBoundaries!$A$2:$G$500,3,FALSE())</f>
        <v>1325</v>
      </c>
      <c r="G390" s="1">
        <f t="shared" si="22"/>
        <v>105</v>
      </c>
      <c r="H390" s="1">
        <f t="shared" si="23"/>
        <v>6.1509433962264204</v>
      </c>
      <c r="I390" s="1">
        <f>VLOOKUP($A390,temporalBoundaries!$A$1:$E$470,4,FALSE())</f>
        <v>12200101</v>
      </c>
      <c r="J390" s="1">
        <f>VLOOKUP($A390,temporalBoundaries!$A$1:$E$470,5,FALSE())</f>
        <v>13251206</v>
      </c>
    </row>
    <row r="391" ht="15" hidden="1">
      <c r="A391" s="1" t="s">
        <v>747</v>
      </c>
      <c r="B391" s="1">
        <v>655</v>
      </c>
      <c r="C391" s="1">
        <v>482</v>
      </c>
      <c r="D391" s="5">
        <f t="shared" si="21"/>
        <v>73.587786259542</v>
      </c>
      <c r="E391" s="1">
        <f>VLOOKUP(A391,temporalBoundaries!$A$2:$G$500,2,FALSE())</f>
        <v>1045</v>
      </c>
      <c r="F391" s="1">
        <f>VLOOKUP(A391,temporalBoundaries!$A$2:$G$500,3,FALSE())</f>
        <v>1908</v>
      </c>
      <c r="G391" s="1">
        <f t="shared" si="22"/>
        <v>863</v>
      </c>
      <c r="H391" s="1">
        <f t="shared" si="23"/>
        <v>0.75810185185185197</v>
      </c>
      <c r="I391" s="1">
        <f>VLOOKUP($A391,temporalBoundaries!$A$1:$E$470,4,FALSE())</f>
        <v>10451017</v>
      </c>
      <c r="J391" s="1">
        <f>VLOOKUP($A391,temporalBoundaries!$A$1:$E$470,5,FALSE())</f>
        <v>19081126</v>
      </c>
    </row>
    <row r="392" ht="15" hidden="1">
      <c r="A392" s="1" t="s">
        <v>1063</v>
      </c>
      <c r="B392" s="1">
        <v>664</v>
      </c>
      <c r="C392" s="1">
        <v>654</v>
      </c>
      <c r="D392" s="5">
        <f t="shared" si="21"/>
        <v>98.493975903614498</v>
      </c>
      <c r="E392" s="1">
        <f>VLOOKUP(A392,temporalBoundaries!$A$2:$G$500,2,FALSE())</f>
        <v>1310</v>
      </c>
      <c r="F392" s="1">
        <f>VLOOKUP(A392,temporalBoundaries!$A$2:$G$500,3,FALSE())</f>
        <v>1787</v>
      </c>
      <c r="G392" s="1">
        <f t="shared" si="22"/>
        <v>477</v>
      </c>
      <c r="H392" s="1">
        <f t="shared" si="23"/>
        <v>1.38912133891213</v>
      </c>
      <c r="I392" s="1">
        <f>VLOOKUP($A392,temporalBoundaries!$A$1:$E$470,4,FALSE())</f>
        <v>13101206</v>
      </c>
      <c r="J392" s="1">
        <f>VLOOKUP($A392,temporalBoundaries!$A$1:$E$470,5,FALSE())</f>
        <v>17870509</v>
      </c>
    </row>
    <row r="393" ht="15" hidden="1">
      <c r="A393" s="1" t="s">
        <v>1099</v>
      </c>
      <c r="B393" s="1">
        <v>665</v>
      </c>
      <c r="C393" s="1">
        <v>652</v>
      </c>
      <c r="D393" s="5">
        <f t="shared" si="21"/>
        <v>98.045112781954899</v>
      </c>
      <c r="E393" s="1">
        <f>VLOOKUP(A393,temporalBoundaries!$A$2:$G$500,2,FALSE())</f>
        <v>1256</v>
      </c>
      <c r="F393" s="1">
        <f>VLOOKUP(A393,temporalBoundaries!$A$2:$G$500,3,FALSE())</f>
        <v>1760</v>
      </c>
      <c r="G393" s="1">
        <f t="shared" si="22"/>
        <v>504</v>
      </c>
      <c r="H393" s="1">
        <f t="shared" si="23"/>
        <v>1.31683168316832</v>
      </c>
      <c r="I393" s="1">
        <f>VLOOKUP($A393,temporalBoundaries!$A$1:$E$470,4,FALSE())</f>
        <v>12560126</v>
      </c>
      <c r="J393" s="1">
        <f>VLOOKUP($A393,temporalBoundaries!$A$1:$E$470,5,FALSE())</f>
        <v>17601224</v>
      </c>
    </row>
    <row r="394" ht="15" hidden="1">
      <c r="A394" s="1" t="s">
        <v>1319</v>
      </c>
      <c r="B394" s="1">
        <v>681</v>
      </c>
      <c r="C394" s="1">
        <v>681</v>
      </c>
      <c r="D394" s="5">
        <f t="shared" si="21"/>
        <v>100</v>
      </c>
      <c r="E394" s="1">
        <f>VLOOKUP(A394,temporalBoundaries!$A$2:$G$500,2,FALSE())</f>
        <v>1101</v>
      </c>
      <c r="F394" s="1">
        <f>VLOOKUP(A394,temporalBoundaries!$A$2:$G$500,3,FALSE())</f>
        <v>1699</v>
      </c>
      <c r="G394" s="1">
        <f t="shared" si="22"/>
        <v>598</v>
      </c>
      <c r="H394" s="1">
        <f t="shared" si="23"/>
        <v>1.1368948247078501</v>
      </c>
      <c r="I394" s="1">
        <f>VLOOKUP($A394,temporalBoundaries!$A$1:$E$470,4,FALSE())</f>
        <v>11010401</v>
      </c>
      <c r="J394" s="1">
        <f>VLOOKUP($A394,temporalBoundaries!$A$1:$E$470,5,FALSE())</f>
        <v>16990101</v>
      </c>
    </row>
    <row r="395" ht="15" hidden="1">
      <c r="A395" s="1" t="s">
        <v>607</v>
      </c>
      <c r="B395" s="1">
        <v>696</v>
      </c>
      <c r="C395" s="1">
        <v>116</v>
      </c>
      <c r="D395" s="5">
        <f t="shared" si="21"/>
        <v>16.6666666666667</v>
      </c>
      <c r="E395" s="1">
        <f>VLOOKUP(A395,temporalBoundaries!$A$2:$G$500,2,FALSE())</f>
        <v>1161</v>
      </c>
      <c r="F395" s="1">
        <f>VLOOKUP(A395,temporalBoundaries!$A$2:$G$500,3,FALSE())</f>
        <v>1600</v>
      </c>
      <c r="G395" s="1">
        <f t="shared" si="22"/>
        <v>439</v>
      </c>
      <c r="H395" s="1">
        <f t="shared" si="23"/>
        <v>1.58181818181818</v>
      </c>
      <c r="I395" s="1">
        <f>VLOOKUP($A395,temporalBoundaries!$A$1:$E$470,4,FALSE())</f>
        <v>11619999</v>
      </c>
      <c r="J395" s="1">
        <f>VLOOKUP($A395,temporalBoundaries!$A$1:$E$470,5,FALSE())</f>
        <v>16001205</v>
      </c>
    </row>
    <row r="396" ht="15" hidden="1">
      <c r="A396" s="1" t="s">
        <v>540</v>
      </c>
      <c r="B396" s="1">
        <v>739</v>
      </c>
      <c r="C396" s="1">
        <v>503</v>
      </c>
      <c r="D396" s="5">
        <f t="shared" si="21"/>
        <v>68.064952638700902</v>
      </c>
      <c r="E396" s="1">
        <f>VLOOKUP(A396,temporalBoundaries!$A$2:$G$500,2,FALSE())</f>
        <v>1204</v>
      </c>
      <c r="F396" s="1">
        <f>VLOOKUP(A396,temporalBoundaries!$A$2:$G$500,3,FALSE())</f>
        <v>1600</v>
      </c>
      <c r="G396" s="1">
        <f t="shared" si="22"/>
        <v>396</v>
      </c>
      <c r="H396" s="1">
        <f t="shared" si="23"/>
        <v>1.8614609571788401</v>
      </c>
      <c r="I396" s="1">
        <f>VLOOKUP($A396,temporalBoundaries!$A$1:$E$470,4,FALSE())</f>
        <v>12040404</v>
      </c>
      <c r="J396" s="1">
        <f>VLOOKUP($A396,temporalBoundaries!$A$1:$E$470,5,FALSE())</f>
        <v>16001210</v>
      </c>
    </row>
    <row r="397" ht="15" hidden="1">
      <c r="A397" s="1" t="s">
        <v>1611</v>
      </c>
      <c r="B397" s="1">
        <v>743</v>
      </c>
      <c r="C397" s="1">
        <v>0</v>
      </c>
      <c r="D397" s="5">
        <f t="shared" si="21"/>
        <v>0</v>
      </c>
      <c r="E397" s="1">
        <f>VLOOKUP(A397,temporalBoundaries!$A$2:$G$500,2,FALSE())</f>
        <v>1007</v>
      </c>
      <c r="F397" s="1">
        <f>VLOOKUP(A397,temporalBoundaries!$A$2:$G$500,3,FALSE())</f>
        <v>1398</v>
      </c>
      <c r="G397" s="1">
        <f t="shared" si="22"/>
        <v>391</v>
      </c>
      <c r="H397" s="1">
        <f t="shared" si="23"/>
        <v>1.8954081632653099</v>
      </c>
      <c r="I397" s="1">
        <f>VLOOKUP($A397,temporalBoundaries!$A$1:$E$470,4,FALSE())</f>
        <v>10070930</v>
      </c>
      <c r="J397" s="1">
        <f>VLOOKUP($A397,temporalBoundaries!$A$1:$E$470,5,FALSE())</f>
        <v>13981206</v>
      </c>
    </row>
    <row r="398" ht="15" hidden="1">
      <c r="A398" s="1" t="s">
        <v>257</v>
      </c>
      <c r="B398" s="1">
        <v>760</v>
      </c>
      <c r="C398" s="1">
        <v>745</v>
      </c>
      <c r="D398" s="5">
        <f t="shared" si="21"/>
        <v>98.026315789473699</v>
      </c>
      <c r="E398" s="1">
        <f>VLOOKUP(A398,temporalBoundaries!$A$2:$G$500,2,FALSE())</f>
        <v>1122</v>
      </c>
      <c r="F398" s="1">
        <f>VLOOKUP(A398,temporalBoundaries!$A$2:$G$500,3,FALSE())</f>
        <v>1588</v>
      </c>
      <c r="G398" s="1">
        <f t="shared" si="22"/>
        <v>466</v>
      </c>
      <c r="H398" s="1">
        <f t="shared" si="23"/>
        <v>1.6274089935760201</v>
      </c>
      <c r="I398" s="1">
        <f>VLOOKUP($A398,temporalBoundaries!$A$1:$E$470,4,FALSE())</f>
        <v>11220327</v>
      </c>
      <c r="J398" s="1">
        <f>VLOOKUP($A398,temporalBoundaries!$A$1:$E$470,5,FALSE())</f>
        <v>15880503</v>
      </c>
    </row>
    <row r="399" ht="15" hidden="1">
      <c r="A399" s="1" t="s">
        <v>476</v>
      </c>
      <c r="B399" s="1">
        <v>768</v>
      </c>
      <c r="C399" s="1">
        <v>416</v>
      </c>
      <c r="D399" s="5">
        <f t="shared" si="21"/>
        <v>54.1666666666667</v>
      </c>
      <c r="E399" s="1">
        <f>VLOOKUP(A399,temporalBoundaries!$A$2:$G$500,2,FALSE())</f>
        <v>1377</v>
      </c>
      <c r="F399" s="1">
        <f>VLOOKUP(A399,temporalBoundaries!$A$2:$G$500,3,FALSE())</f>
        <v>1551</v>
      </c>
      <c r="G399" s="1">
        <f t="shared" si="22"/>
        <v>174</v>
      </c>
      <c r="H399" s="1">
        <f t="shared" si="23"/>
        <v>4.3885714285714297</v>
      </c>
      <c r="I399" s="1">
        <f>VLOOKUP($A399,temporalBoundaries!$A$1:$E$470,4,FALSE())</f>
        <v>13779999</v>
      </c>
      <c r="J399" s="1">
        <f>VLOOKUP($A399,temporalBoundaries!$A$1:$E$470,5,FALSE())</f>
        <v>15510709</v>
      </c>
    </row>
    <row r="400" ht="15" hidden="1">
      <c r="A400" s="1" t="s">
        <v>377</v>
      </c>
      <c r="B400" s="1">
        <v>769</v>
      </c>
      <c r="C400" s="1">
        <v>219</v>
      </c>
      <c r="D400" s="5">
        <f t="shared" si="21"/>
        <v>28.4785435630689</v>
      </c>
      <c r="E400" s="1">
        <f>VLOOKUP(A400,temporalBoundaries!$A$2:$G$500,2,FALSE())</f>
        <v>1099</v>
      </c>
      <c r="F400" s="1">
        <f>VLOOKUP(A400,temporalBoundaries!$A$2:$G$500,3,FALSE())</f>
        <v>1666</v>
      </c>
      <c r="G400" s="1">
        <f t="shared" si="22"/>
        <v>567</v>
      </c>
      <c r="H400" s="1">
        <f t="shared" si="23"/>
        <v>1.35387323943662</v>
      </c>
      <c r="I400" s="1">
        <f>VLOOKUP($A400,temporalBoundaries!$A$1:$E$470,4,FALSE())</f>
        <v>10990326</v>
      </c>
      <c r="J400" s="1">
        <f>VLOOKUP($A400,temporalBoundaries!$A$1:$E$470,5,FALSE())</f>
        <v>16661018</v>
      </c>
    </row>
    <row r="401" ht="15" hidden="1">
      <c r="A401" s="1" t="s">
        <v>1187</v>
      </c>
      <c r="B401" s="1">
        <v>771</v>
      </c>
      <c r="C401" s="1">
        <v>0</v>
      </c>
      <c r="D401" s="5">
        <f t="shared" si="21"/>
        <v>0</v>
      </c>
      <c r="E401" s="1">
        <f>VLOOKUP(A401,temporalBoundaries!$A$2:$G$500,2,FALSE())</f>
        <v>1115</v>
      </c>
      <c r="F401" s="1">
        <f>VLOOKUP(A401,temporalBoundaries!$A$2:$G$500,3,FALSE())</f>
        <v>1797</v>
      </c>
      <c r="G401" s="1">
        <f t="shared" si="22"/>
        <v>682</v>
      </c>
      <c r="H401" s="1">
        <f t="shared" si="23"/>
        <v>1.1288433382137599</v>
      </c>
      <c r="I401" s="1">
        <f>VLOOKUP($A401,temporalBoundaries!$A$1:$E$470,4,FALSE())</f>
        <v>11151101</v>
      </c>
      <c r="J401" s="1">
        <f>VLOOKUP($A401,temporalBoundaries!$A$1:$E$470,5,FALSE())</f>
        <v>17970127</v>
      </c>
    </row>
    <row r="402" ht="15" hidden="1">
      <c r="A402" s="1" t="s">
        <v>1163</v>
      </c>
      <c r="B402" s="1">
        <v>846</v>
      </c>
      <c r="C402" s="1">
        <v>787</v>
      </c>
      <c r="D402" s="5">
        <f t="shared" si="21"/>
        <v>93.026004728132406</v>
      </c>
      <c r="E402" s="1">
        <f>VLOOKUP(A402,temporalBoundaries!$A$2:$G$500,2,FALSE())</f>
        <v>1093</v>
      </c>
      <c r="F402" s="1">
        <f>VLOOKUP(A402,temporalBoundaries!$A$2:$G$500,3,FALSE())</f>
        <v>1801</v>
      </c>
      <c r="G402" s="1">
        <f t="shared" si="22"/>
        <v>708</v>
      </c>
      <c r="H402" s="1">
        <f t="shared" si="23"/>
        <v>1.1932299012693901</v>
      </c>
      <c r="I402" s="1">
        <f>VLOOKUP($A402,temporalBoundaries!$A$1:$E$470,4,FALSE())</f>
        <v>10930101</v>
      </c>
      <c r="J402" s="1">
        <f>VLOOKUP($A402,temporalBoundaries!$A$1:$E$470,5,FALSE())</f>
        <v>18010827</v>
      </c>
    </row>
    <row r="403" ht="15" hidden="1">
      <c r="A403" s="1" t="s">
        <v>1747</v>
      </c>
      <c r="B403" s="1">
        <v>885</v>
      </c>
      <c r="C403" s="1">
        <v>0</v>
      </c>
      <c r="D403" s="5">
        <f t="shared" si="21"/>
        <v>0</v>
      </c>
      <c r="E403" s="1">
        <f>VLOOKUP(A403,temporalBoundaries!$A$2:$G$500,2,FALSE())</f>
        <v>1030</v>
      </c>
      <c r="F403" s="1">
        <f>VLOOKUP(A403,temporalBoundaries!$A$2:$G$500,3,FALSE())</f>
        <v>1397</v>
      </c>
      <c r="G403" s="1">
        <f t="shared" si="22"/>
        <v>367</v>
      </c>
      <c r="H403" s="1">
        <f t="shared" si="23"/>
        <v>2.4048913043478302</v>
      </c>
      <c r="I403" s="1">
        <f>VLOOKUP($A403,temporalBoundaries!$A$1:$E$470,4,FALSE())</f>
        <v>10300331</v>
      </c>
      <c r="J403" s="1">
        <f>VLOOKUP($A403,temporalBoundaries!$A$1:$E$470,5,FALSE())</f>
        <v>13970130</v>
      </c>
    </row>
    <row r="404" ht="15" hidden="1">
      <c r="A404" s="1" t="s">
        <v>117</v>
      </c>
      <c r="B404" s="1">
        <v>887</v>
      </c>
      <c r="C404" s="1">
        <v>610</v>
      </c>
      <c r="D404" s="5">
        <f t="shared" si="21"/>
        <v>68.771138669673107</v>
      </c>
      <c r="E404" s="1">
        <f>VLOOKUP(A404,temporalBoundaries!$A$2:$G$500,2,FALSE())</f>
        <v>1356</v>
      </c>
      <c r="F404" s="1">
        <f>VLOOKUP(A404,temporalBoundaries!$A$2:$G$500,3,FALSE())</f>
        <v>1356</v>
      </c>
      <c r="G404" s="1">
        <f t="shared" si="22"/>
        <v>0</v>
      </c>
      <c r="H404" s="1">
        <f t="shared" si="23"/>
        <v>887</v>
      </c>
      <c r="I404" s="1">
        <f>VLOOKUP($A404,temporalBoundaries!$A$1:$E$470,4,FALSE())</f>
        <v>13560601</v>
      </c>
      <c r="J404" s="1">
        <f>VLOOKUP($A404,temporalBoundaries!$A$1:$E$470,5,FALSE())</f>
        <v>13560601</v>
      </c>
      <c r="K404" s="1" t="s">
        <v>1989</v>
      </c>
    </row>
    <row r="405" ht="15" hidden="1">
      <c r="A405" s="1" t="s">
        <v>532</v>
      </c>
      <c r="B405" s="1">
        <v>896</v>
      </c>
      <c r="C405" s="1">
        <v>872</v>
      </c>
      <c r="D405" s="5">
        <f t="shared" si="21"/>
        <v>97.321428571428598</v>
      </c>
      <c r="E405" s="1">
        <f>VLOOKUP(A405,temporalBoundaries!$A$2:$G$500,2,FALSE())</f>
        <v>10</v>
      </c>
      <c r="F405" s="1">
        <f>VLOOKUP(A405,temporalBoundaries!$A$2:$G$500,3,FALSE())</f>
        <v>0</v>
      </c>
      <c r="G405" s="1">
        <f t="shared" si="22"/>
        <v>-10</v>
      </c>
      <c r="H405" s="1">
        <f t="shared" si="23"/>
        <v>-99.5555555555556</v>
      </c>
      <c r="I405" s="1">
        <f>VLOOKUP($A405,temporalBoundaries!$A$1:$E$470,4,FALSE())</f>
        <v>10000</v>
      </c>
      <c r="J405" s="1">
        <f>VLOOKUP($A405,temporalBoundaries!$A$1:$E$470,5,FALSE())</f>
        <v>16001223</v>
      </c>
    </row>
    <row r="406" ht="15" hidden="1">
      <c r="A406" s="1" t="s">
        <v>1075</v>
      </c>
      <c r="B406" s="1">
        <v>900</v>
      </c>
      <c r="C406" s="1">
        <v>835</v>
      </c>
      <c r="D406" s="5">
        <f t="shared" si="21"/>
        <v>92.7777777777778</v>
      </c>
      <c r="E406" s="1">
        <f>VLOOKUP(A406,temporalBoundaries!$A$2:$G$500,2,FALSE())</f>
        <v>1214</v>
      </c>
      <c r="F406" s="1">
        <f>VLOOKUP(A406,temporalBoundaries!$A$2:$G$500,3,FALSE())</f>
        <v>1800</v>
      </c>
      <c r="G406" s="1">
        <f t="shared" si="22"/>
        <v>586</v>
      </c>
      <c r="H406" s="1">
        <f t="shared" si="23"/>
        <v>1.5332197614991501</v>
      </c>
      <c r="I406" s="1">
        <f>VLOOKUP($A406,temporalBoundaries!$A$1:$E$470,4,FALSE())</f>
        <v>12140906</v>
      </c>
      <c r="J406" s="1">
        <f>VLOOKUP($A406,temporalBoundaries!$A$1:$E$470,5,FALSE())</f>
        <v>18000526</v>
      </c>
    </row>
    <row r="407" ht="15" hidden="1">
      <c r="A407" s="1" t="s">
        <v>1343</v>
      </c>
      <c r="B407" s="1">
        <v>904</v>
      </c>
      <c r="C407" s="1">
        <v>904</v>
      </c>
      <c r="D407" s="5">
        <f t="shared" si="21"/>
        <v>100</v>
      </c>
      <c r="E407" s="1">
        <f>VLOOKUP(A407,temporalBoundaries!$A$2:$G$500,2,FALSE())</f>
        <v>963</v>
      </c>
      <c r="F407" s="1">
        <f>VLOOKUP(A407,temporalBoundaries!$A$2:$G$500,3,FALSE())</f>
        <v>1717</v>
      </c>
      <c r="G407" s="1">
        <f t="shared" si="22"/>
        <v>754</v>
      </c>
      <c r="H407" s="1">
        <f t="shared" si="23"/>
        <v>1.19735099337748</v>
      </c>
      <c r="I407" s="1">
        <f>VLOOKUP($A407,temporalBoundaries!$A$1:$E$470,4,FALSE())</f>
        <v>9630624</v>
      </c>
      <c r="J407" s="1">
        <f>VLOOKUP($A407,temporalBoundaries!$A$1:$E$470,5,FALSE())</f>
        <v>17170605</v>
      </c>
    </row>
    <row r="408" ht="15" hidden="1">
      <c r="A408" s="1" t="s">
        <v>1699</v>
      </c>
      <c r="B408" s="1">
        <v>904</v>
      </c>
      <c r="C408" s="1">
        <v>0</v>
      </c>
      <c r="D408" s="5">
        <f t="shared" si="21"/>
        <v>0</v>
      </c>
      <c r="E408" s="1">
        <f>VLOOKUP(A408,temporalBoundaries!$A$2:$G$500,2,FALSE())</f>
        <v>943</v>
      </c>
      <c r="F408" s="1">
        <f>VLOOKUP(A408,temporalBoundaries!$A$2:$G$500,3,FALSE())</f>
        <v>1398</v>
      </c>
      <c r="G408" s="1">
        <f t="shared" si="22"/>
        <v>455</v>
      </c>
      <c r="H408" s="1">
        <f t="shared" si="23"/>
        <v>1.98245614035088</v>
      </c>
      <c r="I408" s="1">
        <f>VLOOKUP($A408,temporalBoundaries!$A$1:$E$470,4,FALSE())</f>
        <v>9431231</v>
      </c>
      <c r="J408" s="1">
        <f>VLOOKUP($A408,temporalBoundaries!$A$1:$E$470,5,FALSE())</f>
        <v>13980809</v>
      </c>
    </row>
    <row r="409" ht="15" hidden="1">
      <c r="A409" s="1" t="s">
        <v>488</v>
      </c>
      <c r="B409" s="1">
        <v>905</v>
      </c>
      <c r="C409" s="1">
        <v>601</v>
      </c>
      <c r="D409" s="5">
        <f t="shared" si="21"/>
        <v>66.408839779005504</v>
      </c>
      <c r="E409" s="1">
        <f>VLOOKUP(A409,temporalBoundaries!$A$2:$G$500,2,FALSE())</f>
        <v>1396</v>
      </c>
      <c r="F409" s="1">
        <f>VLOOKUP(A409,temporalBoundaries!$A$2:$G$500,3,FALSE())</f>
        <v>1607</v>
      </c>
      <c r="G409" s="1">
        <f t="shared" si="22"/>
        <v>211</v>
      </c>
      <c r="H409" s="1">
        <f t="shared" si="23"/>
        <v>4.2688679245283003</v>
      </c>
      <c r="I409" s="1">
        <f>VLOOKUP($A409,temporalBoundaries!$A$1:$E$470,4,FALSE())</f>
        <v>13960000</v>
      </c>
      <c r="J409" s="1">
        <f>VLOOKUP($A409,temporalBoundaries!$A$1:$E$470,5,FALSE())</f>
        <v>16070228</v>
      </c>
    </row>
    <row r="410" ht="15" hidden="1">
      <c r="A410" s="1" t="s">
        <v>1443</v>
      </c>
      <c r="B410" s="1">
        <v>928</v>
      </c>
      <c r="C410" s="1">
        <v>0</v>
      </c>
      <c r="D410" s="5">
        <f t="shared" si="21"/>
        <v>0</v>
      </c>
      <c r="E410" s="1">
        <f>VLOOKUP(A410,temporalBoundaries!$A$2:$G$500,2,FALSE())</f>
        <v>960</v>
      </c>
      <c r="F410" s="1">
        <f>VLOOKUP(A410,temporalBoundaries!$A$2:$G$500,3,FALSE())</f>
        <v>1398</v>
      </c>
      <c r="G410" s="1">
        <f t="shared" si="22"/>
        <v>438</v>
      </c>
      <c r="H410" s="1">
        <f t="shared" si="23"/>
        <v>2.1138952164009099</v>
      </c>
      <c r="I410" s="1">
        <f>VLOOKUP($A410,temporalBoundaries!$A$1:$E$470,4,FALSE())</f>
        <v>9600424</v>
      </c>
      <c r="J410" s="1">
        <f>VLOOKUP($A410,temporalBoundaries!$A$1:$E$470,5,FALSE())</f>
        <v>13981017</v>
      </c>
    </row>
    <row r="411" ht="15" hidden="1">
      <c r="A411" s="1" t="s">
        <v>1339</v>
      </c>
      <c r="B411" s="1">
        <v>951</v>
      </c>
      <c r="C411" s="1">
        <v>951</v>
      </c>
      <c r="D411" s="5">
        <f t="shared" si="21"/>
        <v>100</v>
      </c>
      <c r="E411" s="1">
        <f>VLOOKUP(A411,temporalBoundaries!$A$2:$G$500,2,FALSE())</f>
        <v>1025</v>
      </c>
      <c r="F411" s="1">
        <f>VLOOKUP(A411,temporalBoundaries!$A$2:$G$500,3,FALSE())</f>
        <v>1680</v>
      </c>
      <c r="G411" s="1">
        <f t="shared" si="22"/>
        <v>655</v>
      </c>
      <c r="H411" s="1">
        <f t="shared" si="23"/>
        <v>1.44969512195122</v>
      </c>
      <c r="I411" s="1">
        <f>VLOOKUP($A411,temporalBoundaries!$A$1:$E$470,4,FALSE())</f>
        <v>10250831</v>
      </c>
      <c r="J411" s="1">
        <f>VLOOKUP($A411,temporalBoundaries!$A$1:$E$470,5,FALSE())</f>
        <v>16800415</v>
      </c>
    </row>
    <row r="412" ht="15" hidden="1">
      <c r="A412" s="1" t="s">
        <v>815</v>
      </c>
      <c r="B412" s="1">
        <v>962</v>
      </c>
      <c r="C412" s="1">
        <v>962</v>
      </c>
      <c r="D412" s="5">
        <f t="shared" si="21"/>
        <v>100</v>
      </c>
      <c r="E412" s="1">
        <f>VLOOKUP(A412,temporalBoundaries!$A$2:$G$500,2,FALSE())</f>
        <v>1274</v>
      </c>
      <c r="F412" s="1">
        <f>VLOOKUP(A412,temporalBoundaries!$A$2:$G$500,3,FALSE())</f>
        <v>1578</v>
      </c>
      <c r="G412" s="1">
        <f t="shared" si="22"/>
        <v>304</v>
      </c>
      <c r="H412" s="1">
        <f t="shared" si="23"/>
        <v>3.1540983606557398</v>
      </c>
      <c r="I412" s="1">
        <f>VLOOKUP($A412,temporalBoundaries!$A$1:$E$470,4,FALSE())</f>
        <v>12740310</v>
      </c>
      <c r="J412" s="1">
        <f>VLOOKUP($A412,temporalBoundaries!$A$1:$E$470,5,FALSE())</f>
        <v>15780229</v>
      </c>
    </row>
    <row r="413" ht="15" hidden="1">
      <c r="A413" s="1" t="s">
        <v>544</v>
      </c>
      <c r="B413" s="1">
        <v>967</v>
      </c>
      <c r="C413" s="1">
        <v>502</v>
      </c>
      <c r="D413" s="5">
        <f t="shared" si="21"/>
        <v>51.913133402275101</v>
      </c>
      <c r="E413" s="1">
        <f>VLOOKUP(A413,temporalBoundaries!$A$2:$G$500,2,FALSE())</f>
        <v>1288</v>
      </c>
      <c r="F413" s="1">
        <f>VLOOKUP(A413,temporalBoundaries!$A$2:$G$500,3,FALSE())</f>
        <v>1451</v>
      </c>
      <c r="G413" s="1">
        <f t="shared" si="22"/>
        <v>163</v>
      </c>
      <c r="H413" s="1">
        <f t="shared" si="23"/>
        <v>5.8963414634146298</v>
      </c>
      <c r="I413" s="1">
        <f>VLOOKUP($A413,temporalBoundaries!$A$1:$E$470,4,FALSE())</f>
        <v>12881125</v>
      </c>
      <c r="J413" s="1">
        <f>VLOOKUP($A413,temporalBoundaries!$A$1:$E$470,5,FALSE())</f>
        <v>14510227</v>
      </c>
    </row>
    <row r="414" ht="15" hidden="1">
      <c r="A414" s="1" t="s">
        <v>1631</v>
      </c>
      <c r="B414" s="1">
        <v>979</v>
      </c>
      <c r="C414" s="1">
        <v>0</v>
      </c>
      <c r="D414" s="5">
        <f t="shared" si="21"/>
        <v>0</v>
      </c>
      <c r="E414" s="1">
        <f>VLOOKUP(A414,temporalBoundaries!$A$2:$G$500,2,FALSE())</f>
        <v>1047</v>
      </c>
      <c r="F414" s="1">
        <f>VLOOKUP(A414,temporalBoundaries!$A$2:$G$500,3,FALSE())</f>
        <v>1398</v>
      </c>
      <c r="G414" s="1">
        <f t="shared" si="22"/>
        <v>351</v>
      </c>
      <c r="H414" s="1">
        <f t="shared" si="23"/>
        <v>2.78125</v>
      </c>
      <c r="I414" s="1">
        <f>VLOOKUP($A414,temporalBoundaries!$A$1:$E$470,4,FALSE())</f>
        <v>10470103</v>
      </c>
      <c r="J414" s="1">
        <f>VLOOKUP($A414,temporalBoundaries!$A$1:$E$470,5,FALSE())</f>
        <v>13981128</v>
      </c>
    </row>
    <row r="415" ht="15" hidden="1">
      <c r="A415" s="1" t="s">
        <v>441</v>
      </c>
      <c r="B415" s="1">
        <v>987</v>
      </c>
      <c r="C415" s="1">
        <v>523</v>
      </c>
      <c r="D415" s="5">
        <f t="shared" si="21"/>
        <v>52.988855116514699</v>
      </c>
      <c r="E415" s="1">
        <f>VLOOKUP(A415,temporalBoundaries!$A$2:$G$500,2,FALSE())</f>
        <v>1144</v>
      </c>
      <c r="F415" s="1">
        <f>VLOOKUP(A415,temporalBoundaries!$A$2:$G$500,3,FALSE())</f>
        <v>1788</v>
      </c>
      <c r="G415" s="1">
        <f t="shared" si="22"/>
        <v>644</v>
      </c>
      <c r="H415" s="1">
        <f t="shared" si="23"/>
        <v>1.53023255813953</v>
      </c>
      <c r="I415" s="1">
        <f>VLOOKUP($A415,temporalBoundaries!$A$1:$E$470,4,FALSE())</f>
        <v>11440725</v>
      </c>
      <c r="J415" s="1">
        <f>VLOOKUP($A415,temporalBoundaries!$A$1:$E$470,5,FALSE())</f>
        <v>17880616</v>
      </c>
    </row>
    <row r="416" ht="15" hidden="1">
      <c r="A416" s="1" t="s">
        <v>1683</v>
      </c>
      <c r="B416" s="1">
        <v>995</v>
      </c>
      <c r="C416" s="1">
        <v>0</v>
      </c>
      <c r="D416" s="5">
        <f t="shared" si="21"/>
        <v>0</v>
      </c>
      <c r="E416" s="1">
        <f>VLOOKUP(A416,temporalBoundaries!$A$2:$G$500,2,FALSE())</f>
        <v>1019</v>
      </c>
      <c r="F416" s="1">
        <f>VLOOKUP(A416,temporalBoundaries!$A$2:$G$500,3,FALSE())</f>
        <v>1398</v>
      </c>
      <c r="G416" s="1">
        <f t="shared" si="22"/>
        <v>379</v>
      </c>
      <c r="H416" s="1">
        <f t="shared" si="23"/>
        <v>2.6184210526315801</v>
      </c>
      <c r="I416" s="1">
        <f>VLOOKUP($A416,temporalBoundaries!$A$1:$E$470,4,FALSE())</f>
        <v>10191213</v>
      </c>
      <c r="J416" s="1">
        <f>VLOOKUP($A416,temporalBoundaries!$A$1:$E$470,5,FALSE())</f>
        <v>13981223</v>
      </c>
    </row>
    <row r="417" ht="15" hidden="1">
      <c r="A417" s="1" t="s">
        <v>1715</v>
      </c>
      <c r="B417" s="1">
        <v>999</v>
      </c>
      <c r="C417" s="1">
        <v>0</v>
      </c>
      <c r="D417" s="5">
        <f t="shared" si="21"/>
        <v>0</v>
      </c>
      <c r="E417" s="1">
        <f>VLOOKUP(A417,temporalBoundaries!$A$2:$G$500,2,FALSE())</f>
        <v>1204</v>
      </c>
      <c r="F417" s="1">
        <f>VLOOKUP(A417,temporalBoundaries!$A$2:$G$500,3,FALSE())</f>
        <v>1398</v>
      </c>
      <c r="G417" s="1">
        <f t="shared" si="22"/>
        <v>194</v>
      </c>
      <c r="H417" s="1">
        <f t="shared" si="23"/>
        <v>5.12307692307692</v>
      </c>
      <c r="I417" s="1">
        <f>VLOOKUP($A417,temporalBoundaries!$A$1:$E$470,4,FALSE())</f>
        <v>12040430</v>
      </c>
      <c r="J417" s="1">
        <f>VLOOKUP($A417,temporalBoundaries!$A$1:$E$470,5,FALSE())</f>
        <v>13980425</v>
      </c>
    </row>
    <row r="418" ht="15" hidden="1">
      <c r="A418" s="1" t="s">
        <v>1391</v>
      </c>
      <c r="B418" s="1">
        <v>1007</v>
      </c>
      <c r="C418" s="1">
        <v>1007</v>
      </c>
      <c r="D418" s="5">
        <f t="shared" si="21"/>
        <v>100</v>
      </c>
      <c r="E418" s="1">
        <f>VLOOKUP(A418,temporalBoundaries!$A$2:$G$500,2,FALSE())</f>
        <v>1082</v>
      </c>
      <c r="F418" s="1">
        <f>VLOOKUP(A418,temporalBoundaries!$A$2:$G$500,3,FALSE())</f>
        <v>1526</v>
      </c>
      <c r="G418" s="1">
        <f t="shared" si="22"/>
        <v>444</v>
      </c>
      <c r="H418" s="1">
        <f t="shared" si="23"/>
        <v>2.26292134831461</v>
      </c>
      <c r="I418" s="1">
        <f>VLOOKUP($A418,temporalBoundaries!$A$1:$E$470,4,FALSE())</f>
        <v>10820429</v>
      </c>
      <c r="J418" s="1">
        <f>VLOOKUP($A418,temporalBoundaries!$A$1:$E$470,5,FALSE())</f>
        <v>15260201</v>
      </c>
    </row>
    <row r="419" ht="15" hidden="1">
      <c r="A419" s="1" t="s">
        <v>1175</v>
      </c>
      <c r="B419" s="1">
        <v>1038</v>
      </c>
      <c r="C419" s="1">
        <v>1034</v>
      </c>
      <c r="D419" s="5">
        <f t="shared" si="21"/>
        <v>99.614643545279407</v>
      </c>
      <c r="E419" s="1">
        <f>VLOOKUP(A419,temporalBoundaries!$A$2:$G$500,2,FALSE())</f>
        <v>1036</v>
      </c>
      <c r="F419" s="1">
        <f>VLOOKUP(A419,temporalBoundaries!$A$2:$G$500,3,FALSE())</f>
        <v>1760</v>
      </c>
      <c r="G419" s="1">
        <f t="shared" si="22"/>
        <v>724</v>
      </c>
      <c r="H419" s="1">
        <f t="shared" si="23"/>
        <v>1.4317241379310299</v>
      </c>
      <c r="I419" s="1">
        <f>VLOOKUP($A419,temporalBoundaries!$A$1:$E$470,4,FALSE())</f>
        <v>10361112</v>
      </c>
      <c r="J419" s="1">
        <f>VLOOKUP($A419,temporalBoundaries!$A$1:$E$470,5,FALSE())</f>
        <v>17601010</v>
      </c>
    </row>
    <row r="420" ht="15" hidden="1">
      <c r="A420" s="1" t="s">
        <v>1851</v>
      </c>
      <c r="B420" s="1">
        <v>1053</v>
      </c>
      <c r="C420" s="1">
        <v>0</v>
      </c>
      <c r="D420" s="5">
        <f t="shared" ref="D420:D470" si="24">100/B420*C420</f>
        <v>0</v>
      </c>
      <c r="E420" s="1">
        <f>VLOOKUP(A420,temporalBoundaries!$A$2:$G$500,2,FALSE())</f>
        <v>748</v>
      </c>
      <c r="F420" s="1">
        <f>VLOOKUP(A420,temporalBoundaries!$A$2:$G$500,3,FALSE())</f>
        <v>1398</v>
      </c>
      <c r="G420" s="1">
        <f t="shared" ref="G420:G470" si="25">F420-E420</f>
        <v>650</v>
      </c>
      <c r="H420" s="1">
        <f t="shared" ref="H420:H470" si="26">B420/(G420+1)</f>
        <v>1.6175115207373301</v>
      </c>
      <c r="I420" s="1">
        <f>VLOOKUP($A420,temporalBoundaries!$A$1:$E$470,4,FALSE())</f>
        <v>7480908</v>
      </c>
      <c r="J420" s="1">
        <f>VLOOKUP($A420,temporalBoundaries!$A$1:$E$470,5,FALSE())</f>
        <v>13980413</v>
      </c>
    </row>
    <row r="421" ht="15" hidden="1">
      <c r="A421" s="1" t="s">
        <v>548</v>
      </c>
      <c r="B421" s="1">
        <v>1055</v>
      </c>
      <c r="C421" s="1">
        <v>253</v>
      </c>
      <c r="D421" s="5">
        <f t="shared" si="24"/>
        <v>23.9810426540284</v>
      </c>
      <c r="E421" s="1">
        <f>VLOOKUP(A421,temporalBoundaries!$A$2:$G$500,2,FALSE())</f>
        <v>1109</v>
      </c>
      <c r="F421" s="1">
        <f>VLOOKUP(A421,temporalBoundaries!$A$2:$G$500,3,FALSE())</f>
        <v>1959</v>
      </c>
      <c r="G421" s="1">
        <f t="shared" si="25"/>
        <v>850</v>
      </c>
      <c r="H421" s="1">
        <f t="shared" si="26"/>
        <v>1.2397179788484101</v>
      </c>
      <c r="I421" s="1">
        <f>VLOOKUP($A421,temporalBoundaries!$A$1:$E$470,4,FALSE())</f>
        <v>11090424</v>
      </c>
      <c r="J421" s="1">
        <f>VLOOKUP($A421,temporalBoundaries!$A$1:$E$470,5,FALSE())</f>
        <v>19590510</v>
      </c>
    </row>
    <row r="422" ht="15" hidden="1">
      <c r="A422" s="1" t="s">
        <v>1095</v>
      </c>
      <c r="B422" s="1">
        <v>1069</v>
      </c>
      <c r="C422" s="1">
        <v>1062</v>
      </c>
      <c r="D422" s="5">
        <f t="shared" si="24"/>
        <v>99.345182413470496</v>
      </c>
      <c r="E422" s="1">
        <f>VLOOKUP(A422,temporalBoundaries!$A$2:$G$500,2,FALSE())</f>
        <v>1246</v>
      </c>
      <c r="F422" s="1">
        <f>VLOOKUP(A422,temporalBoundaries!$A$2:$G$500,3,FALSE())</f>
        <v>1786</v>
      </c>
      <c r="G422" s="1">
        <f t="shared" si="25"/>
        <v>540</v>
      </c>
      <c r="H422" s="1">
        <f t="shared" si="26"/>
        <v>1.9759704251386301</v>
      </c>
      <c r="I422" s="1">
        <f>VLOOKUP($A422,temporalBoundaries!$A$1:$E$470,4,FALSE())</f>
        <v>12460920</v>
      </c>
      <c r="J422" s="1">
        <f>VLOOKUP($A422,temporalBoundaries!$A$1:$E$470,5,FALSE())</f>
        <v>17861226</v>
      </c>
    </row>
    <row r="423" ht="15" hidden="1">
      <c r="A423" s="1" t="s">
        <v>1491</v>
      </c>
      <c r="B423" s="1">
        <v>1105</v>
      </c>
      <c r="C423" s="1">
        <v>0</v>
      </c>
      <c r="D423" s="5">
        <f t="shared" si="24"/>
        <v>0</v>
      </c>
      <c r="E423" s="1">
        <f>VLOOKUP(A423,temporalBoundaries!$A$2:$G$500,2,FALSE())</f>
        <v>1066</v>
      </c>
      <c r="F423" s="1">
        <f>VLOOKUP(A423,temporalBoundaries!$A$2:$G$500,3,FALSE())</f>
        <v>1398</v>
      </c>
      <c r="G423" s="1">
        <f t="shared" si="25"/>
        <v>332</v>
      </c>
      <c r="H423" s="1">
        <f t="shared" si="26"/>
        <v>3.3183183183183198</v>
      </c>
      <c r="I423" s="1">
        <f>VLOOKUP($A423,temporalBoundaries!$A$1:$E$470,4,FALSE())</f>
        <v>10661231</v>
      </c>
      <c r="J423" s="1">
        <f>VLOOKUP($A423,temporalBoundaries!$A$1:$E$470,5,FALSE())</f>
        <v>13980130</v>
      </c>
    </row>
    <row r="424" ht="15" hidden="1">
      <c r="A424" s="1" t="s">
        <v>1047</v>
      </c>
      <c r="B424" s="1">
        <v>1112</v>
      </c>
      <c r="C424" s="1">
        <v>1064</v>
      </c>
      <c r="D424" s="5">
        <f t="shared" si="24"/>
        <v>95.683453237410106</v>
      </c>
      <c r="E424" s="1">
        <f>VLOOKUP(A424,temporalBoundaries!$A$2:$G$500,2,FALSE())</f>
        <v>1349</v>
      </c>
      <c r="F424" s="1">
        <f>VLOOKUP(A424,temporalBoundaries!$A$2:$G$500,3,FALSE())</f>
        <v>1701</v>
      </c>
      <c r="G424" s="1">
        <f t="shared" si="25"/>
        <v>352</v>
      </c>
      <c r="H424" s="1">
        <f t="shared" si="26"/>
        <v>3.1501416430594902</v>
      </c>
      <c r="I424" s="1">
        <f>VLOOKUP($A424,temporalBoundaries!$A$1:$E$470,4,FALSE())</f>
        <v>13490529</v>
      </c>
      <c r="J424" s="1">
        <f>VLOOKUP($A424,temporalBoundaries!$A$1:$E$470,5,FALSE())</f>
        <v>17010523</v>
      </c>
    </row>
    <row r="425" ht="15" hidden="1">
      <c r="A425" s="1" t="s">
        <v>448</v>
      </c>
      <c r="B425" s="1">
        <v>1134</v>
      </c>
      <c r="C425" s="1">
        <v>0</v>
      </c>
      <c r="D425" s="5">
        <f t="shared" si="24"/>
        <v>0</v>
      </c>
      <c r="E425" s="1">
        <f>VLOOKUP(A425,temporalBoundaries!$A$2:$G$500,2,FALSE())</f>
        <v>995</v>
      </c>
      <c r="F425" s="1">
        <f>VLOOKUP(A425,temporalBoundaries!$A$2:$G$500,3,FALSE())</f>
        <v>1784</v>
      </c>
      <c r="G425" s="1">
        <f t="shared" si="25"/>
        <v>789</v>
      </c>
      <c r="H425" s="1">
        <f t="shared" si="26"/>
        <v>1.4354430379746801</v>
      </c>
      <c r="I425" s="1">
        <f>VLOOKUP($A425,temporalBoundaries!$A$1:$E$470,4,FALSE())</f>
        <v>9959999</v>
      </c>
      <c r="J425" s="1">
        <f>VLOOKUP($A425,temporalBoundaries!$A$1:$E$470,5,FALSE())</f>
        <v>17840321</v>
      </c>
    </row>
    <row r="426" ht="15" hidden="1">
      <c r="A426" s="1" t="s">
        <v>1219</v>
      </c>
      <c r="B426" s="1">
        <v>1155</v>
      </c>
      <c r="C426" s="1">
        <v>682</v>
      </c>
      <c r="D426" s="5">
        <f t="shared" si="24"/>
        <v>59.047619047619001</v>
      </c>
      <c r="E426" s="1">
        <f>VLOOKUP(A426,temporalBoundaries!$A$2:$G$500,2,FALSE())</f>
        <v>1237</v>
      </c>
      <c r="F426" s="1">
        <f>VLOOKUP(A426,temporalBoundaries!$A$2:$G$500,3,FALSE())</f>
        <v>1799</v>
      </c>
      <c r="G426" s="1">
        <f t="shared" si="25"/>
        <v>562</v>
      </c>
      <c r="H426" s="1">
        <f t="shared" si="26"/>
        <v>2.0515097690941402</v>
      </c>
      <c r="I426" s="1">
        <f>VLOOKUP($A426,temporalBoundaries!$A$1:$E$470,4,FALSE())</f>
        <v>12370725</v>
      </c>
      <c r="J426" s="1">
        <f>VLOOKUP($A426,temporalBoundaries!$A$1:$E$470,5,FALSE())</f>
        <v>17991016</v>
      </c>
    </row>
    <row r="427" ht="15" hidden="1">
      <c r="A427" s="1" t="s">
        <v>1135</v>
      </c>
      <c r="B427" s="1">
        <v>1207</v>
      </c>
      <c r="C427" s="1">
        <v>1205</v>
      </c>
      <c r="D427" s="5">
        <f t="shared" si="24"/>
        <v>99.834299917150005</v>
      </c>
      <c r="E427" s="1">
        <f>VLOOKUP(A427,temporalBoundaries!$A$2:$G$500,2,FALSE())</f>
        <v>1010</v>
      </c>
      <c r="F427" s="1">
        <f>VLOOKUP(A427,temporalBoundaries!$A$2:$G$500,3,FALSE())</f>
        <v>1801</v>
      </c>
      <c r="G427" s="1">
        <f t="shared" si="25"/>
        <v>791</v>
      </c>
      <c r="H427" s="1">
        <f t="shared" si="26"/>
        <v>1.5239898989898999</v>
      </c>
      <c r="I427" s="1">
        <f>VLOOKUP($A427,temporalBoundaries!$A$1:$E$470,4,FALSE())</f>
        <v>10100419</v>
      </c>
      <c r="J427" s="1">
        <f>VLOOKUP($A427,temporalBoundaries!$A$1:$E$470,5,FALSE())</f>
        <v>18010521</v>
      </c>
    </row>
    <row r="428" ht="15" hidden="1">
      <c r="A428" s="1" t="s">
        <v>460</v>
      </c>
      <c r="B428" s="1">
        <v>1323</v>
      </c>
      <c r="C428" s="1">
        <v>829</v>
      </c>
      <c r="D428" s="5">
        <f t="shared" si="24"/>
        <v>62.660619803476997</v>
      </c>
      <c r="E428" s="1">
        <f>VLOOKUP(A428,temporalBoundaries!$A$2:$G$500,2,FALSE())</f>
        <v>1222</v>
      </c>
      <c r="F428" s="1">
        <f>VLOOKUP(A428,temporalBoundaries!$A$2:$G$500,3,FALSE())</f>
        <v>1502</v>
      </c>
      <c r="G428" s="1">
        <f t="shared" si="25"/>
        <v>280</v>
      </c>
      <c r="H428" s="1">
        <f t="shared" si="26"/>
        <v>4.7081850533807801</v>
      </c>
      <c r="I428" s="1">
        <f>VLOOKUP($A428,temporalBoundaries!$A$1:$E$470,4,FALSE())</f>
        <v>12220220</v>
      </c>
      <c r="J428" s="1">
        <f>VLOOKUP($A428,temporalBoundaries!$A$1:$E$470,5,FALSE())</f>
        <v>15020504</v>
      </c>
    </row>
    <row r="429" ht="15" hidden="1">
      <c r="A429" s="1" t="s">
        <v>1151</v>
      </c>
      <c r="B429" s="1">
        <v>1359</v>
      </c>
      <c r="C429" s="1">
        <v>1358</v>
      </c>
      <c r="D429" s="5">
        <f t="shared" si="24"/>
        <v>99.926416482707893</v>
      </c>
      <c r="E429" s="1">
        <f>VLOOKUP(A429,temporalBoundaries!$A$2:$G$500,2,FALSE())</f>
        <v>1137</v>
      </c>
      <c r="F429" s="1">
        <f>VLOOKUP(A429,temporalBoundaries!$A$2:$G$500,3,FALSE())</f>
        <v>1800</v>
      </c>
      <c r="G429" s="1">
        <f t="shared" si="25"/>
        <v>663</v>
      </c>
      <c r="H429" s="1">
        <f t="shared" si="26"/>
        <v>2.0466867469879499</v>
      </c>
      <c r="I429" s="1">
        <f>VLOOKUP($A429,temporalBoundaries!$A$1:$E$470,4,FALSE())</f>
        <v>11370101</v>
      </c>
      <c r="J429" s="1">
        <f>VLOOKUP($A429,temporalBoundaries!$A$1:$E$470,5,FALSE())</f>
        <v>18000501</v>
      </c>
    </row>
    <row r="430" ht="15" hidden="1">
      <c r="A430" s="1" t="s">
        <v>1567</v>
      </c>
      <c r="B430" s="1">
        <v>1434</v>
      </c>
      <c r="C430" s="1">
        <v>0</v>
      </c>
      <c r="D430" s="5">
        <f t="shared" si="24"/>
        <v>0</v>
      </c>
      <c r="E430" s="1">
        <f>VLOOKUP(A430,temporalBoundaries!$A$2:$G$500,2,FALSE())</f>
        <v>1094</v>
      </c>
      <c r="F430" s="1">
        <f>VLOOKUP(A430,temporalBoundaries!$A$2:$G$500,3,FALSE())</f>
        <v>1403</v>
      </c>
      <c r="G430" s="1">
        <f t="shared" si="25"/>
        <v>309</v>
      </c>
      <c r="H430" s="1">
        <f t="shared" si="26"/>
        <v>4.6258064516128998</v>
      </c>
      <c r="I430" s="1">
        <f>VLOOKUP($A430,temporalBoundaries!$A$1:$E$470,4,FALSE())</f>
        <v>10941030</v>
      </c>
      <c r="J430" s="1">
        <f>VLOOKUP($A430,temporalBoundaries!$A$1:$E$470,5,FALSE())</f>
        <v>14030310</v>
      </c>
    </row>
    <row r="431" ht="15" hidden="1">
      <c r="A431" s="1" t="s">
        <v>1835</v>
      </c>
      <c r="B431" s="1">
        <v>1478</v>
      </c>
      <c r="C431" s="1">
        <v>0</v>
      </c>
      <c r="D431" s="5">
        <f t="shared" si="24"/>
        <v>0</v>
      </c>
      <c r="E431" s="1">
        <f>VLOOKUP(A431,temporalBoundaries!$A$2:$G$500,2,FALSE())</f>
        <v>1153</v>
      </c>
      <c r="F431" s="1">
        <f>VLOOKUP(A431,temporalBoundaries!$A$2:$G$500,3,FALSE())</f>
        <v>1398</v>
      </c>
      <c r="G431" s="1">
        <f t="shared" si="25"/>
        <v>245</v>
      </c>
      <c r="H431" s="1">
        <f t="shared" si="26"/>
        <v>6.0081300813008101</v>
      </c>
      <c r="I431" s="1">
        <f>VLOOKUP($A431,temporalBoundaries!$A$1:$E$470,4,FALSE())</f>
        <v>11530124</v>
      </c>
      <c r="J431" s="1">
        <f>VLOOKUP($A431,temporalBoundaries!$A$1:$E$470,5,FALSE())</f>
        <v>13981028</v>
      </c>
    </row>
    <row r="432" ht="15" hidden="1">
      <c r="A432" s="1" t="s">
        <v>1419</v>
      </c>
      <c r="B432" s="1">
        <v>1480</v>
      </c>
      <c r="C432" s="1">
        <v>1360</v>
      </c>
      <c r="D432" s="5">
        <f t="shared" si="24"/>
        <v>91.891891891891902</v>
      </c>
      <c r="E432" s="1">
        <f>VLOOKUP(A432,temporalBoundaries!$A$2:$G$500,2,FALSE())</f>
        <v>1444</v>
      </c>
      <c r="F432" s="1">
        <f>VLOOKUP(A432,temporalBoundaries!$A$2:$G$500,3,FALSE())</f>
        <v>1523</v>
      </c>
      <c r="G432" s="1">
        <f t="shared" si="25"/>
        <v>79</v>
      </c>
      <c r="H432" s="1">
        <f t="shared" si="26"/>
        <v>18.5</v>
      </c>
      <c r="I432" s="1">
        <f>VLOOKUP($A432,temporalBoundaries!$A$1:$E$470,4,FALSE())</f>
        <v>14440418</v>
      </c>
      <c r="J432" s="1">
        <f>VLOOKUP($A432,temporalBoundaries!$A$1:$E$470,5,FALSE())</f>
        <v>15230122</v>
      </c>
      <c r="K432" s="1" t="s">
        <v>1996</v>
      </c>
    </row>
    <row r="433" ht="15" hidden="1">
      <c r="A433" s="1" t="s">
        <v>619</v>
      </c>
      <c r="B433" s="1">
        <v>1506</v>
      </c>
      <c r="C433" s="1">
        <v>1089</v>
      </c>
      <c r="D433" s="5">
        <f t="shared" si="24"/>
        <v>72.310756972111605</v>
      </c>
      <c r="E433" s="1">
        <f>VLOOKUP(A433,temporalBoundaries!$A$2:$G$500,2,FALSE())</f>
        <v>1315</v>
      </c>
      <c r="F433" s="1">
        <f>VLOOKUP(A433,temporalBoundaries!$A$2:$G$500,3,FALSE())</f>
        <v>1742</v>
      </c>
      <c r="G433" s="1">
        <f t="shared" si="25"/>
        <v>427</v>
      </c>
      <c r="H433" s="1">
        <f t="shared" si="26"/>
        <v>3.5186915887850501</v>
      </c>
      <c r="I433" s="1">
        <f>VLOOKUP($A433,temporalBoundaries!$A$1:$E$470,4,FALSE())</f>
        <v>13150499</v>
      </c>
      <c r="J433" s="1">
        <f>VLOOKUP($A433,temporalBoundaries!$A$1:$E$470,5,FALSE())</f>
        <v>17420517</v>
      </c>
    </row>
    <row r="434" ht="15" hidden="1">
      <c r="A434" s="1" t="s">
        <v>1511</v>
      </c>
      <c r="B434" s="1">
        <v>1526</v>
      </c>
      <c r="C434" s="1">
        <v>0</v>
      </c>
      <c r="D434" s="5">
        <f t="shared" si="24"/>
        <v>0</v>
      </c>
      <c r="E434" s="1">
        <f>VLOOKUP(A434,temporalBoundaries!$A$2:$G$500,2,FALSE())</f>
        <v>790</v>
      </c>
      <c r="F434" s="1">
        <f>VLOOKUP(A434,temporalBoundaries!$A$2:$G$500,3,FALSE())</f>
        <v>1398</v>
      </c>
      <c r="G434" s="1">
        <f t="shared" si="25"/>
        <v>608</v>
      </c>
      <c r="H434" s="1">
        <f t="shared" si="26"/>
        <v>2.5057471264367801</v>
      </c>
      <c r="I434" s="1">
        <f>VLOOKUP($A434,temporalBoundaries!$A$1:$E$470,4,FALSE())</f>
        <v>7900714</v>
      </c>
      <c r="J434" s="1">
        <f>VLOOKUP($A434,temporalBoundaries!$A$1:$E$470,5,FALSE())</f>
        <v>13980723</v>
      </c>
    </row>
    <row r="435" ht="15" hidden="1">
      <c r="A435" s="1" t="s">
        <v>1059</v>
      </c>
      <c r="B435" s="1">
        <v>1550</v>
      </c>
      <c r="C435" s="1">
        <v>1518</v>
      </c>
      <c r="D435" s="5">
        <f t="shared" si="24"/>
        <v>97.935483870967701</v>
      </c>
      <c r="E435" s="1">
        <f>VLOOKUP(A435,temporalBoundaries!$A$2:$G$500,2,FALSE())</f>
        <v>1640</v>
      </c>
      <c r="F435" s="1">
        <f>VLOOKUP(A435,temporalBoundaries!$A$2:$G$500,3,FALSE())</f>
        <v>0</v>
      </c>
      <c r="G435" s="1">
        <f t="shared" si="25"/>
        <v>-1640</v>
      </c>
      <c r="H435" s="1">
        <f t="shared" si="26"/>
        <v>-0.94569859670530798</v>
      </c>
      <c r="I435" s="1">
        <f>VLOOKUP($A435,temporalBoundaries!$A$1:$E$470,4,FALSE())</f>
        <v>1640729</v>
      </c>
      <c r="J435" s="1">
        <f>VLOOKUP($A435,temporalBoundaries!$A$1:$E$470,5,FALSE())</f>
        <v>17930129</v>
      </c>
    </row>
    <row r="436" ht="15" hidden="1">
      <c r="A436" s="1" t="s">
        <v>536</v>
      </c>
      <c r="B436" s="1">
        <v>1561</v>
      </c>
      <c r="C436" s="1">
        <v>944</v>
      </c>
      <c r="D436" s="5">
        <f t="shared" si="24"/>
        <v>60.474055092889202</v>
      </c>
      <c r="E436" s="1">
        <f>VLOOKUP(A436,temporalBoundaries!$A$2:$G$500,2,FALSE())</f>
        <v>1296</v>
      </c>
      <c r="F436" s="1">
        <f>VLOOKUP(A436,temporalBoundaries!$A$2:$G$500,3,FALSE())</f>
        <v>1917</v>
      </c>
      <c r="G436" s="1">
        <f t="shared" si="25"/>
        <v>621</v>
      </c>
      <c r="H436" s="1">
        <f t="shared" si="26"/>
        <v>2.5096463022508</v>
      </c>
      <c r="I436" s="1">
        <f>VLOOKUP($A436,temporalBoundaries!$A$1:$E$470,4,FALSE())</f>
        <v>12960121</v>
      </c>
      <c r="J436" s="1">
        <f>VLOOKUP($A436,temporalBoundaries!$A$1:$E$470,5,FALSE())</f>
        <v>19171109</v>
      </c>
    </row>
    <row r="437" ht="15" hidden="1">
      <c r="A437" s="1" t="s">
        <v>1155</v>
      </c>
      <c r="B437" s="1">
        <v>1575</v>
      </c>
      <c r="C437" s="1">
        <v>1539</v>
      </c>
      <c r="D437" s="5">
        <f t="shared" si="24"/>
        <v>97.714285714285694</v>
      </c>
      <c r="E437" s="1">
        <f>VLOOKUP(A437,temporalBoundaries!$A$2:$G$500,2,FALSE())</f>
        <v>1147</v>
      </c>
      <c r="F437" s="1">
        <f>VLOOKUP(A437,temporalBoundaries!$A$2:$G$500,3,FALSE())</f>
        <v>1785</v>
      </c>
      <c r="G437" s="1">
        <f t="shared" si="25"/>
        <v>638</v>
      </c>
      <c r="H437" s="1">
        <f t="shared" si="26"/>
        <v>2.46478873239437</v>
      </c>
      <c r="I437" s="1">
        <f>VLOOKUP($A437,temporalBoundaries!$A$1:$E$470,4,FALSE())</f>
        <v>11470101</v>
      </c>
      <c r="J437" s="1">
        <f>VLOOKUP($A437,temporalBoundaries!$A$1:$E$470,5,FALSE())</f>
        <v>17850503</v>
      </c>
    </row>
    <row r="438" ht="15" hidden="1">
      <c r="A438" s="1" t="s">
        <v>500</v>
      </c>
      <c r="B438" s="1">
        <v>1604</v>
      </c>
      <c r="C438" s="1">
        <v>1074</v>
      </c>
      <c r="D438" s="5">
        <f t="shared" si="24"/>
        <v>66.957605985037404</v>
      </c>
      <c r="E438" s="1">
        <f>VLOOKUP(A438,temporalBoundaries!$A$2:$G$500,2,FALSE())</f>
        <v>1227</v>
      </c>
      <c r="F438" s="1">
        <f>VLOOKUP(A438,temporalBoundaries!$A$2:$G$500,3,FALSE())</f>
        <v>1719</v>
      </c>
      <c r="G438" s="1">
        <f t="shared" si="25"/>
        <v>492</v>
      </c>
      <c r="H438" s="1">
        <f t="shared" si="26"/>
        <v>3.2535496957403698</v>
      </c>
      <c r="I438" s="1">
        <f>VLOOKUP($A438,temporalBoundaries!$A$1:$E$470,4,FALSE())</f>
        <v>12270801</v>
      </c>
      <c r="J438" s="1">
        <f>VLOOKUP($A438,temporalBoundaries!$A$1:$E$470,5,FALSE())</f>
        <v>17190217</v>
      </c>
    </row>
    <row r="439" ht="15" hidden="1">
      <c r="A439" s="1" t="s">
        <v>1179</v>
      </c>
      <c r="B439" s="1">
        <v>1607</v>
      </c>
      <c r="C439" s="1">
        <v>1607</v>
      </c>
      <c r="D439" s="5">
        <f t="shared" si="24"/>
        <v>100</v>
      </c>
      <c r="E439" s="1">
        <f>VLOOKUP(A439,temporalBoundaries!$A$2:$G$500,2,FALSE())</f>
        <v>1223</v>
      </c>
      <c r="F439" s="1">
        <f>VLOOKUP(A439,temporalBoundaries!$A$2:$G$500,3,FALSE())</f>
        <v>1223</v>
      </c>
      <c r="G439" s="1">
        <f t="shared" si="25"/>
        <v>0</v>
      </c>
      <c r="H439" s="1">
        <f t="shared" si="26"/>
        <v>1607</v>
      </c>
      <c r="I439" s="1">
        <f>VLOOKUP($A439,temporalBoundaries!$A$1:$E$470,4,FALSE())</f>
        <v>12230201</v>
      </c>
      <c r="J439" s="1">
        <f>VLOOKUP($A439,temporalBoundaries!$A$1:$E$470,5,FALSE())</f>
        <v>12230201</v>
      </c>
      <c r="K439" s="1" t="s">
        <v>1989</v>
      </c>
    </row>
    <row r="440" ht="15" hidden="1">
      <c r="A440" s="1" t="s">
        <v>1279</v>
      </c>
      <c r="B440" s="1">
        <v>1632</v>
      </c>
      <c r="C440" s="1">
        <v>0</v>
      </c>
      <c r="D440" s="5">
        <f t="shared" si="24"/>
        <v>0</v>
      </c>
      <c r="E440" s="1">
        <f>VLOOKUP(A440,temporalBoundaries!$A$2:$G$500,2,FALSE())</f>
        <v>1194</v>
      </c>
      <c r="F440" s="1">
        <f>VLOOKUP(A440,temporalBoundaries!$A$2:$G$500,3,FALSE())</f>
        <v>1803</v>
      </c>
      <c r="G440" s="1">
        <f t="shared" si="25"/>
        <v>609</v>
      </c>
      <c r="H440" s="1">
        <f t="shared" si="26"/>
        <v>2.6754098360655698</v>
      </c>
      <c r="I440" s="1">
        <f>VLOOKUP($A440,temporalBoundaries!$A$1:$E$470,4,FALSE())</f>
        <v>11940102</v>
      </c>
      <c r="J440" s="1">
        <f>VLOOKUP($A440,temporalBoundaries!$A$1:$E$470,5,FALSE())</f>
        <v>18030120</v>
      </c>
    </row>
    <row r="441" ht="15" hidden="1">
      <c r="A441" s="1" t="s">
        <v>1051</v>
      </c>
      <c r="B441" s="1">
        <v>1686</v>
      </c>
      <c r="C441" s="1">
        <v>1629</v>
      </c>
      <c r="D441" s="5">
        <f t="shared" si="24"/>
        <v>96.619217081850493</v>
      </c>
      <c r="E441" s="1">
        <f>VLOOKUP(A441,temporalBoundaries!$A$2:$G$500,2,FALSE())</f>
        <v>1268</v>
      </c>
      <c r="F441" s="1">
        <f>VLOOKUP(A441,temporalBoundaries!$A$2:$G$500,3,FALSE())</f>
        <v>1791</v>
      </c>
      <c r="G441" s="1">
        <f t="shared" si="25"/>
        <v>523</v>
      </c>
      <c r="H441" s="1">
        <f t="shared" si="26"/>
        <v>3.2175572519084001</v>
      </c>
      <c r="I441" s="1">
        <f>VLOOKUP($A441,temporalBoundaries!$A$1:$E$470,4,FALSE())</f>
        <v>12680207</v>
      </c>
      <c r="J441" s="1">
        <f>VLOOKUP($A441,temporalBoundaries!$A$1:$E$470,5,FALSE())</f>
        <v>17910724</v>
      </c>
    </row>
    <row r="442" ht="15" hidden="1">
      <c r="A442" s="1" t="s">
        <v>1291</v>
      </c>
      <c r="B442" s="1">
        <v>1714</v>
      </c>
      <c r="C442" s="1">
        <v>0</v>
      </c>
      <c r="D442" s="5">
        <f t="shared" si="24"/>
        <v>0</v>
      </c>
      <c r="E442" s="1">
        <f>VLOOKUP(A442,temporalBoundaries!$A$2:$G$500,2,FALSE())</f>
        <v>1054</v>
      </c>
      <c r="F442" s="1">
        <f>VLOOKUP(A442,temporalBoundaries!$A$2:$G$500,3,FALSE())</f>
        <v>1801</v>
      </c>
      <c r="G442" s="1">
        <f t="shared" si="25"/>
        <v>747</v>
      </c>
      <c r="H442" s="1">
        <f t="shared" si="26"/>
        <v>2.2914438502673802</v>
      </c>
      <c r="I442" s="1">
        <f>VLOOKUP($A442,temporalBoundaries!$A$1:$E$470,4,FALSE())</f>
        <v>10540710</v>
      </c>
      <c r="J442" s="1">
        <f>VLOOKUP($A442,temporalBoundaries!$A$1:$E$470,5,FALSE())</f>
        <v>18010917</v>
      </c>
    </row>
    <row r="443" ht="15" hidden="1">
      <c r="A443" s="1" t="s">
        <v>1559</v>
      </c>
      <c r="B443" s="1">
        <v>1727</v>
      </c>
      <c r="C443" s="1">
        <v>0</v>
      </c>
      <c r="D443" s="5">
        <f t="shared" si="24"/>
        <v>0</v>
      </c>
      <c r="E443" s="1">
        <f>VLOOKUP(A443,temporalBoundaries!$A$2:$G$500,2,FALSE())</f>
        <v>969</v>
      </c>
      <c r="F443" s="1">
        <f>VLOOKUP(A443,temporalBoundaries!$A$2:$G$500,3,FALSE())</f>
        <v>1398</v>
      </c>
      <c r="G443" s="1">
        <f t="shared" si="25"/>
        <v>429</v>
      </c>
      <c r="H443" s="1">
        <f t="shared" si="26"/>
        <v>4.0162790697674398</v>
      </c>
      <c r="I443" s="1">
        <f>VLOOKUP($A443,temporalBoundaries!$A$1:$E$470,4,FALSE())</f>
        <v>9690708</v>
      </c>
      <c r="J443" s="1">
        <f>VLOOKUP($A443,temporalBoundaries!$A$1:$E$470,5,FALSE())</f>
        <v>13981227</v>
      </c>
    </row>
    <row r="444" ht="15" hidden="1">
      <c r="A444" s="1" t="s">
        <v>1143</v>
      </c>
      <c r="B444" s="1">
        <v>1798</v>
      </c>
      <c r="C444" s="1">
        <v>1746</v>
      </c>
      <c r="D444" s="5">
        <f t="shared" si="24"/>
        <v>97.107897664071203</v>
      </c>
      <c r="E444" s="1">
        <f>VLOOKUP(A444,temporalBoundaries!$A$2:$G$500,2,FALSE())</f>
        <v>1200</v>
      </c>
      <c r="F444" s="1">
        <f>VLOOKUP(A444,temporalBoundaries!$A$2:$G$500,3,FALSE())</f>
        <v>1796</v>
      </c>
      <c r="G444" s="1">
        <f t="shared" si="25"/>
        <v>596</v>
      </c>
      <c r="H444" s="1">
        <f t="shared" si="26"/>
        <v>3.0117252931323302</v>
      </c>
      <c r="I444" s="1">
        <f>VLOOKUP($A444,temporalBoundaries!$A$1:$E$470,4,FALSE())</f>
        <v>12000409</v>
      </c>
      <c r="J444" s="1">
        <f>VLOOKUP($A444,temporalBoundaries!$A$1:$E$470,5,FALSE())</f>
        <v>17960807</v>
      </c>
    </row>
    <row r="445" ht="15" hidden="1">
      <c r="A445" s="1" t="s">
        <v>1083</v>
      </c>
      <c r="B445" s="1">
        <v>1810</v>
      </c>
      <c r="C445" s="1">
        <v>1424</v>
      </c>
      <c r="D445" s="5">
        <f t="shared" si="24"/>
        <v>78.674033149171294</v>
      </c>
      <c r="E445" s="1">
        <f>VLOOKUP(A445,temporalBoundaries!$A$2:$G$500,2,FALSE())</f>
        <v>1203</v>
      </c>
      <c r="F445" s="1">
        <f>VLOOKUP(A445,temporalBoundaries!$A$2:$G$500,3,FALSE())</f>
        <v>1520</v>
      </c>
      <c r="G445" s="1">
        <f t="shared" si="25"/>
        <v>317</v>
      </c>
      <c r="H445" s="1">
        <f t="shared" si="26"/>
        <v>5.6918238993710704</v>
      </c>
      <c r="I445" s="1">
        <f>VLOOKUP($A445,temporalBoundaries!$A$1:$E$470,4,FALSE())</f>
        <v>12030327</v>
      </c>
      <c r="J445" s="1">
        <f>VLOOKUP($A445,temporalBoundaries!$A$1:$E$470,5,FALSE())</f>
        <v>15200821</v>
      </c>
    </row>
    <row r="446" ht="15" hidden="1">
      <c r="A446" s="1" t="s">
        <v>468</v>
      </c>
      <c r="B446" s="1">
        <v>1861</v>
      </c>
      <c r="C446" s="1">
        <v>659</v>
      </c>
      <c r="D446" s="5">
        <f t="shared" si="24"/>
        <v>35.411069317571197</v>
      </c>
      <c r="E446" s="1">
        <f>VLOOKUP(A446,temporalBoundaries!$A$2:$G$500,2,FALSE())</f>
        <v>1112</v>
      </c>
      <c r="F446" s="1">
        <f>VLOOKUP(A446,temporalBoundaries!$A$2:$G$500,3,FALSE())</f>
        <v>1852</v>
      </c>
      <c r="G446" s="1">
        <f t="shared" si="25"/>
        <v>740</v>
      </c>
      <c r="H446" s="1">
        <f t="shared" si="26"/>
        <v>2.5114709851552002</v>
      </c>
      <c r="I446" s="1">
        <f>VLOOKUP($A446,temporalBoundaries!$A$1:$E$470,4,FALSE())</f>
        <v>11121231</v>
      </c>
      <c r="J446" s="1">
        <f>VLOOKUP($A446,temporalBoundaries!$A$1:$E$470,5,FALSE())</f>
        <v>18521231</v>
      </c>
    </row>
    <row r="447" ht="15" hidden="1">
      <c r="A447" s="1" t="s">
        <v>1091</v>
      </c>
      <c r="B447" s="1">
        <v>1939</v>
      </c>
      <c r="C447" s="1">
        <v>1643</v>
      </c>
      <c r="D447" s="5">
        <f t="shared" si="24"/>
        <v>84.734399174832404</v>
      </c>
      <c r="E447" s="1">
        <f>VLOOKUP(A447,temporalBoundaries!$A$2:$G$500,2,FALSE())</f>
        <v>1139</v>
      </c>
      <c r="F447" s="1">
        <f>VLOOKUP(A447,temporalBoundaries!$A$2:$G$500,3,FALSE())</f>
        <v>1791</v>
      </c>
      <c r="G447" s="1">
        <f t="shared" si="25"/>
        <v>652</v>
      </c>
      <c r="H447" s="1">
        <f t="shared" si="26"/>
        <v>2.96937212863706</v>
      </c>
      <c r="I447" s="1">
        <f>VLOOKUP($A447,temporalBoundaries!$A$1:$E$470,4,FALSE())</f>
        <v>11399999</v>
      </c>
      <c r="J447" s="1">
        <f>VLOOKUP($A447,temporalBoundaries!$A$1:$E$470,5,FALSE())</f>
        <v>17910928</v>
      </c>
    </row>
    <row r="448" ht="15" hidden="1">
      <c r="A448" s="1" t="s">
        <v>567</v>
      </c>
      <c r="B448" s="1">
        <v>1943</v>
      </c>
      <c r="C448" s="1">
        <v>1709</v>
      </c>
      <c r="D448" s="5">
        <f t="shared" si="24"/>
        <v>87.956767884714395</v>
      </c>
      <c r="E448" s="1">
        <f>VLOOKUP(A448,temporalBoundaries!$A$2:$G$500,2,FALSE())</f>
        <v>1099</v>
      </c>
      <c r="F448" s="1">
        <f>VLOOKUP(A448,temporalBoundaries!$A$2:$G$500,3,FALSE())</f>
        <v>1820</v>
      </c>
      <c r="G448" s="1">
        <f t="shared" si="25"/>
        <v>721</v>
      </c>
      <c r="H448" s="1">
        <f t="shared" si="26"/>
        <v>2.6911357340720201</v>
      </c>
      <c r="I448" s="1">
        <f>VLOOKUP($A448,temporalBoundaries!$A$1:$E$470,4,FALSE())</f>
        <v>10990326</v>
      </c>
      <c r="J448" s="1">
        <f>VLOOKUP($A448,temporalBoundaries!$A$1:$E$470,5,FALSE())</f>
        <v>18200703</v>
      </c>
    </row>
    <row r="449" ht="15" hidden="1">
      <c r="A449" s="1" t="s">
        <v>445</v>
      </c>
      <c r="B449" s="1">
        <v>1972</v>
      </c>
      <c r="C449" s="1">
        <v>1551</v>
      </c>
      <c r="D449" s="5">
        <f t="shared" si="24"/>
        <v>78.651115618661294</v>
      </c>
      <c r="E449" s="1">
        <f>VLOOKUP(A449,temporalBoundaries!$A$2:$G$500,2,FALSE())</f>
        <v>1006</v>
      </c>
      <c r="F449" s="1">
        <f>VLOOKUP(A449,temporalBoundaries!$A$2:$G$500,3,FALSE())</f>
        <v>1908</v>
      </c>
      <c r="G449" s="1">
        <f t="shared" si="25"/>
        <v>902</v>
      </c>
      <c r="H449" s="1">
        <f t="shared" si="26"/>
        <v>2.1838316722037701</v>
      </c>
      <c r="I449" s="1">
        <f>VLOOKUP($A449,temporalBoundaries!$A$1:$E$470,4,FALSE())</f>
        <v>10061207</v>
      </c>
      <c r="J449" s="1">
        <f>VLOOKUP($A449,temporalBoundaries!$A$1:$E$470,5,FALSE())</f>
        <v>19080724</v>
      </c>
    </row>
    <row r="450" ht="15" hidden="1">
      <c r="A450" s="1" t="s">
        <v>663</v>
      </c>
      <c r="B450" s="1">
        <v>1975</v>
      </c>
      <c r="C450" s="1">
        <v>1952</v>
      </c>
      <c r="D450" s="5">
        <f t="shared" si="24"/>
        <v>98.835443037974699</v>
      </c>
      <c r="E450" s="1">
        <f>VLOOKUP(A450,temporalBoundaries!$A$2:$G$500,2,FALSE())</f>
        <v>1139</v>
      </c>
      <c r="F450" s="1">
        <f>VLOOKUP(A450,temporalBoundaries!$A$2:$G$500,3,FALSE())</f>
        <v>1806</v>
      </c>
      <c r="G450" s="1">
        <f t="shared" si="25"/>
        <v>667</v>
      </c>
      <c r="H450" s="1">
        <f t="shared" si="26"/>
        <v>2.9565868263473098</v>
      </c>
      <c r="I450" s="1">
        <f>VLOOKUP($A450,temporalBoundaries!$A$1:$E$470,4,FALSE())</f>
        <v>11390409</v>
      </c>
      <c r="J450" s="1">
        <f>VLOOKUP($A450,temporalBoundaries!$A$1:$E$470,5,FALSE())</f>
        <v>18060131</v>
      </c>
    </row>
    <row r="451" ht="15" hidden="1">
      <c r="A451" s="1" t="s">
        <v>1191</v>
      </c>
      <c r="B451" s="1">
        <v>1991</v>
      </c>
      <c r="C451" s="1">
        <v>638</v>
      </c>
      <c r="D451" s="5">
        <f t="shared" si="24"/>
        <v>32.044198895027598</v>
      </c>
      <c r="E451" s="1">
        <f>VLOOKUP(A451,temporalBoundaries!$A$2:$G$500,2,FALSE())</f>
        <v>1151</v>
      </c>
      <c r="F451" s="1">
        <f>VLOOKUP(A451,temporalBoundaries!$A$2:$G$500,3,FALSE())</f>
        <v>1795</v>
      </c>
      <c r="G451" s="1">
        <f t="shared" si="25"/>
        <v>644</v>
      </c>
      <c r="H451" s="1">
        <f t="shared" si="26"/>
        <v>3.08682170542636</v>
      </c>
      <c r="I451" s="1">
        <f>VLOOKUP($A451,temporalBoundaries!$A$1:$E$470,4,FALSE())</f>
        <v>11510202</v>
      </c>
      <c r="J451" s="1">
        <f>VLOOKUP($A451,temporalBoundaries!$A$1:$E$470,5,FALSE())</f>
        <v>17951030</v>
      </c>
    </row>
    <row r="452" ht="15" hidden="1">
      <c r="A452" s="1" t="s">
        <v>611</v>
      </c>
      <c r="B452" s="1">
        <v>2060</v>
      </c>
      <c r="C452" s="1">
        <v>661</v>
      </c>
      <c r="D452" s="5">
        <f t="shared" si="24"/>
        <v>32.087378640776699</v>
      </c>
      <c r="E452" s="1">
        <f>VLOOKUP(A452,temporalBoundaries!$A$2:$G$500,2,FALSE())</f>
        <v>1252</v>
      </c>
      <c r="F452" s="1">
        <f>VLOOKUP(A452,temporalBoundaries!$A$2:$G$500,3,FALSE())</f>
        <v>1260</v>
      </c>
      <c r="G452" s="1">
        <f t="shared" si="25"/>
        <v>8</v>
      </c>
      <c r="H452" s="1">
        <f t="shared" si="26"/>
        <v>228.888888888889</v>
      </c>
      <c r="I452" s="1">
        <f>VLOOKUP($A452,temporalBoundaries!$A$1:$E$470,4,FALSE())</f>
        <v>12520312</v>
      </c>
      <c r="J452" s="1">
        <f>VLOOKUP($A452,temporalBoundaries!$A$1:$E$470,5,FALSE())</f>
        <v>12601226</v>
      </c>
      <c r="K452" s="1" t="s">
        <v>1989</v>
      </c>
    </row>
    <row r="453" ht="15" hidden="1">
      <c r="A453" s="1" t="s">
        <v>1919</v>
      </c>
      <c r="B453" s="1">
        <v>2154</v>
      </c>
      <c r="C453" s="1">
        <v>0</v>
      </c>
      <c r="D453" s="5">
        <f t="shared" si="24"/>
        <v>0</v>
      </c>
      <c r="E453" s="1">
        <f>VLOOKUP(A453,temporalBoundaries!$A$2:$G$500,2,FALSE())</f>
        <v>816</v>
      </c>
      <c r="F453" s="1">
        <f>VLOOKUP(A453,temporalBoundaries!$A$2:$G$500,3,FALSE())</f>
        <v>1398</v>
      </c>
      <c r="G453" s="1">
        <f t="shared" si="25"/>
        <v>582</v>
      </c>
      <c r="H453" s="1">
        <f t="shared" si="26"/>
        <v>3.6946826758147502</v>
      </c>
      <c r="I453" s="1">
        <f>VLOOKUP($A453,temporalBoundaries!$A$1:$E$470,4,FALSE())</f>
        <v>8161117</v>
      </c>
      <c r="J453" s="1">
        <f>VLOOKUP($A453,temporalBoundaries!$A$1:$E$470,5,FALSE())</f>
        <v>13981114</v>
      </c>
    </row>
    <row r="454" ht="15" hidden="1">
      <c r="A454" s="1" t="s">
        <v>484</v>
      </c>
      <c r="B454" s="1">
        <v>2350</v>
      </c>
      <c r="C454" s="1">
        <v>470</v>
      </c>
      <c r="D454" s="5">
        <f t="shared" si="24"/>
        <v>20</v>
      </c>
      <c r="E454" s="1">
        <f>VLOOKUP(A454,temporalBoundaries!$A$2:$G$500,2,FALSE())</f>
        <v>1002</v>
      </c>
      <c r="F454" s="1">
        <f>VLOOKUP(A454,temporalBoundaries!$A$2:$G$500,3,FALSE())</f>
        <v>1730</v>
      </c>
      <c r="G454" s="1">
        <f t="shared" si="25"/>
        <v>728</v>
      </c>
      <c r="H454" s="1">
        <f t="shared" si="26"/>
        <v>3.22359396433471</v>
      </c>
      <c r="I454" s="1">
        <f>VLOOKUP($A454,temporalBoundaries!$A$1:$E$470,4,FALSE())</f>
        <v>10021101</v>
      </c>
      <c r="J454" s="1">
        <f>VLOOKUP($A454,temporalBoundaries!$A$1:$E$470,5,FALSE())</f>
        <v>17300613</v>
      </c>
    </row>
    <row r="455" ht="15" hidden="1">
      <c r="A455" s="1" t="s">
        <v>560</v>
      </c>
      <c r="B455" s="1">
        <v>2364</v>
      </c>
      <c r="C455" s="1">
        <v>2280</v>
      </c>
      <c r="D455" s="5">
        <f t="shared" si="24"/>
        <v>96.446700507614196</v>
      </c>
      <c r="E455" s="1">
        <f>VLOOKUP(A455,temporalBoundaries!$A$2:$G$500,2,FALSE())</f>
        <v>1264</v>
      </c>
      <c r="F455" s="1">
        <f>VLOOKUP(A455,temporalBoundaries!$A$2:$G$500,3,FALSE())</f>
        <v>1776</v>
      </c>
      <c r="G455" s="1">
        <f t="shared" si="25"/>
        <v>512</v>
      </c>
      <c r="H455" s="1">
        <f t="shared" si="26"/>
        <v>4.6081871345029199</v>
      </c>
      <c r="I455" s="1">
        <f>VLOOKUP($A455,temporalBoundaries!$A$1:$E$470,4,FALSE())</f>
        <v>12640418</v>
      </c>
      <c r="J455" s="1">
        <f>VLOOKUP($A455,temporalBoundaries!$A$1:$E$470,5,FALSE())</f>
        <v>17761128</v>
      </c>
    </row>
    <row r="456" ht="15" hidden="1">
      <c r="A456" s="1" t="s">
        <v>492</v>
      </c>
      <c r="B456" s="1">
        <v>2399</v>
      </c>
      <c r="C456" s="1">
        <v>1197</v>
      </c>
      <c r="D456" s="5">
        <f t="shared" si="24"/>
        <v>49.895789912463499</v>
      </c>
      <c r="E456" s="1">
        <f>VLOOKUP(A456,temporalBoundaries!$A$2:$G$500,2,FALSE())</f>
        <v>1258</v>
      </c>
      <c r="F456" s="1">
        <f>VLOOKUP(A456,temporalBoundaries!$A$2:$G$500,3,FALSE())</f>
        <v>1289</v>
      </c>
      <c r="G456" s="1">
        <f t="shared" si="25"/>
        <v>31</v>
      </c>
      <c r="H456" s="1">
        <f t="shared" si="26"/>
        <v>74.96875</v>
      </c>
      <c r="I456" s="1">
        <f>VLOOKUP($A456,temporalBoundaries!$A$1:$E$470,4,FALSE())</f>
        <v>12580107</v>
      </c>
      <c r="J456" s="1">
        <f>VLOOKUP($A456,temporalBoundaries!$A$1:$E$470,5,FALSE())</f>
        <v>12890101</v>
      </c>
      <c r="K456" s="1" t="s">
        <v>1989</v>
      </c>
    </row>
    <row r="457" ht="15" hidden="1">
      <c r="A457" s="1" t="s">
        <v>504</v>
      </c>
      <c r="B457" s="1">
        <v>2597</v>
      </c>
      <c r="C457" s="1">
        <v>2111</v>
      </c>
      <c r="D457" s="5">
        <f t="shared" si="24"/>
        <v>81.286099345398497</v>
      </c>
      <c r="E457" s="1">
        <f>VLOOKUP(A457,temporalBoundaries!$A$2:$G$500,2,FALSE())</f>
        <v>1183</v>
      </c>
      <c r="F457" s="1">
        <f>VLOOKUP(A457,temporalBoundaries!$A$2:$G$500,3,FALSE())</f>
        <v>1869</v>
      </c>
      <c r="G457" s="1">
        <f t="shared" si="25"/>
        <v>686</v>
      </c>
      <c r="H457" s="1">
        <f t="shared" si="26"/>
        <v>3.7802037845705998</v>
      </c>
      <c r="I457" s="1">
        <f>VLOOKUP($A457,temporalBoundaries!$A$1:$E$470,4,FALSE())</f>
        <v>11839999</v>
      </c>
      <c r="J457" s="1">
        <f>VLOOKUP($A457,temporalBoundaries!$A$1:$E$470,5,FALSE())</f>
        <v>18691101</v>
      </c>
    </row>
    <row r="458" ht="15" hidden="1">
      <c r="A458" s="1" t="s">
        <v>1131</v>
      </c>
      <c r="B458" s="1">
        <v>2640</v>
      </c>
      <c r="C458" s="1">
        <v>2552</v>
      </c>
      <c r="D458" s="5">
        <f t="shared" si="24"/>
        <v>96.6666666666667</v>
      </c>
      <c r="E458" s="1">
        <f>VLOOKUP(A458,temporalBoundaries!$A$2:$G$500,2,FALSE())</f>
        <v>790</v>
      </c>
      <c r="F458" s="1">
        <f>VLOOKUP(A458,temporalBoundaries!$A$2:$G$500,3,FALSE())</f>
        <v>1801</v>
      </c>
      <c r="G458" s="1">
        <f t="shared" si="25"/>
        <v>1011</v>
      </c>
      <c r="H458" s="1">
        <f t="shared" si="26"/>
        <v>2.60869565217391</v>
      </c>
      <c r="I458" s="1">
        <f>VLOOKUP($A458,temporalBoundaries!$A$1:$E$470,4,FALSE())</f>
        <v>7909999</v>
      </c>
      <c r="J458" s="1">
        <f>VLOOKUP($A458,temporalBoundaries!$A$1:$E$470,5,FALSE())</f>
        <v>18011031</v>
      </c>
    </row>
    <row r="459" ht="15" hidden="1">
      <c r="A459" s="1" t="s">
        <v>615</v>
      </c>
      <c r="B459" s="1">
        <v>2737</v>
      </c>
      <c r="C459" s="1">
        <v>2737</v>
      </c>
      <c r="D459" s="5">
        <f t="shared" si="24"/>
        <v>100</v>
      </c>
      <c r="E459" s="1">
        <f>VLOOKUP(A459,temporalBoundaries!$A$2:$G$500,2,FALSE())</f>
        <v>1138</v>
      </c>
      <c r="F459" s="1">
        <f>VLOOKUP(A459,temporalBoundaries!$A$2:$G$500,3,FALSE())</f>
        <v>1797</v>
      </c>
      <c r="G459" s="1">
        <f t="shared" si="25"/>
        <v>659</v>
      </c>
      <c r="H459" s="1">
        <f t="shared" si="26"/>
        <v>4.1469696969697001</v>
      </c>
      <c r="I459" s="1">
        <f>VLOOKUP($A459,temporalBoundaries!$A$1:$E$470,4,FALSE())</f>
        <v>11380430</v>
      </c>
      <c r="J459" s="1">
        <f>VLOOKUP($A459,temporalBoundaries!$A$1:$E$470,5,FALSE())</f>
        <v>17971118</v>
      </c>
    </row>
    <row r="460" ht="15" hidden="1">
      <c r="A460" s="1" t="s">
        <v>528</v>
      </c>
      <c r="B460" s="1">
        <v>2934</v>
      </c>
      <c r="C460" s="1">
        <v>1628</v>
      </c>
      <c r="D460" s="5">
        <f t="shared" si="24"/>
        <v>55.487389229720499</v>
      </c>
      <c r="E460" s="1">
        <f>VLOOKUP(A460,temporalBoundaries!$A$2:$G$500,2,FALSE())</f>
        <v>1137</v>
      </c>
      <c r="F460" s="1">
        <f>VLOOKUP(A460,temporalBoundaries!$A$2:$G$500,3,FALSE())</f>
        <v>1857</v>
      </c>
      <c r="G460" s="1">
        <f t="shared" si="25"/>
        <v>720</v>
      </c>
      <c r="H460" s="1">
        <f t="shared" si="26"/>
        <v>4.0693481276005601</v>
      </c>
      <c r="I460" s="1">
        <f>VLOOKUP($A460,temporalBoundaries!$A$1:$E$470,4,FALSE())</f>
        <v>11371231</v>
      </c>
      <c r="J460" s="1">
        <f>VLOOKUP($A460,temporalBoundaries!$A$1:$E$470,5,FALSE())</f>
        <v>18571216</v>
      </c>
    </row>
    <row r="461" ht="15" hidden="1">
      <c r="A461" s="1" t="s">
        <v>452</v>
      </c>
      <c r="B461" s="1">
        <v>3047</v>
      </c>
      <c r="C461" s="1">
        <v>1269</v>
      </c>
      <c r="D461" s="5">
        <f t="shared" si="24"/>
        <v>41.647522152937299</v>
      </c>
      <c r="E461" s="1">
        <f>VLOOKUP(A461,temporalBoundaries!$A$2:$G$500,2,FALSE())</f>
        <v>1094</v>
      </c>
      <c r="F461" s="1">
        <f>VLOOKUP(A461,temporalBoundaries!$A$2:$G$500,3,FALSE())</f>
        <v>1478</v>
      </c>
      <c r="G461" s="1">
        <f t="shared" si="25"/>
        <v>384</v>
      </c>
      <c r="H461" s="1">
        <f t="shared" si="26"/>
        <v>7.9142857142857199</v>
      </c>
      <c r="I461" s="1">
        <f>VLOOKUP($A461,temporalBoundaries!$A$1:$E$470,4,FALSE())</f>
        <v>10940729</v>
      </c>
      <c r="J461" s="1">
        <f>VLOOKUP($A461,temporalBoundaries!$A$1:$E$470,5,FALSE())</f>
        <v>14780523</v>
      </c>
    </row>
    <row r="462" ht="15" hidden="1">
      <c r="A462" s="1" t="s">
        <v>512</v>
      </c>
      <c r="B462" s="1">
        <v>3763</v>
      </c>
      <c r="C462" s="1">
        <v>3734</v>
      </c>
      <c r="D462" s="5">
        <f t="shared" si="24"/>
        <v>99.229338293914395</v>
      </c>
      <c r="E462" s="1">
        <f>VLOOKUP(A462,temporalBoundaries!$A$2:$G$500,2,FALSE())</f>
        <v>1072</v>
      </c>
      <c r="F462" s="1">
        <f>VLOOKUP(A462,temporalBoundaries!$A$2:$G$500,3,FALSE())</f>
        <v>1951</v>
      </c>
      <c r="G462" s="1">
        <f t="shared" si="25"/>
        <v>879</v>
      </c>
      <c r="H462" s="1">
        <f t="shared" si="26"/>
        <v>4.2761363636363603</v>
      </c>
      <c r="I462" s="1">
        <f>VLOOKUP($A462,temporalBoundaries!$A$1:$E$470,4,FALSE())</f>
        <v>10720819</v>
      </c>
      <c r="J462" s="1">
        <f>VLOOKUP($A462,temporalBoundaries!$A$1:$E$470,5,FALSE())</f>
        <v>19510922</v>
      </c>
    </row>
    <row r="463" ht="15" hidden="1">
      <c r="A463" s="1" t="s">
        <v>496</v>
      </c>
      <c r="B463" s="1">
        <v>3989</v>
      </c>
      <c r="C463" s="1">
        <v>2109</v>
      </c>
      <c r="D463" s="5">
        <f t="shared" si="24"/>
        <v>52.870393582351497</v>
      </c>
      <c r="E463" s="1">
        <f>VLOOKUP(A463,temporalBoundaries!$A$2:$G$500,2,FALSE())</f>
        <v>993</v>
      </c>
      <c r="F463" s="1">
        <f>VLOOKUP(A463,temporalBoundaries!$A$2:$G$500,3,FALSE())</f>
        <v>1600</v>
      </c>
      <c r="G463" s="1">
        <f t="shared" si="25"/>
        <v>607</v>
      </c>
      <c r="H463" s="1">
        <f t="shared" si="26"/>
        <v>6.5608552631579</v>
      </c>
      <c r="I463" s="1">
        <f>VLOOKUP($A463,temporalBoundaries!$A$1:$E$470,4,FALSE())</f>
        <v>9931231</v>
      </c>
      <c r="J463" s="1">
        <f>VLOOKUP($A463,temporalBoundaries!$A$1:$E$470,5,FALSE())</f>
        <v>16001211</v>
      </c>
    </row>
    <row r="464" ht="15" hidden="1">
      <c r="A464" s="1" t="s">
        <v>671</v>
      </c>
      <c r="B464" s="1">
        <v>4437</v>
      </c>
      <c r="C464" s="1">
        <v>4018</v>
      </c>
      <c r="D464" s="5">
        <f t="shared" si="24"/>
        <v>90.5566824430922</v>
      </c>
      <c r="E464" s="1">
        <f>VLOOKUP(A464,temporalBoundaries!$A$2:$G$500,2,FALSE())</f>
        <v>1004</v>
      </c>
      <c r="F464" s="1">
        <f>VLOOKUP(A464,temporalBoundaries!$A$2:$G$500,3,FALSE())</f>
        <v>1597</v>
      </c>
      <c r="G464" s="1">
        <f t="shared" si="25"/>
        <v>593</v>
      </c>
      <c r="H464" s="1">
        <f t="shared" si="26"/>
        <v>7.4696969696969697</v>
      </c>
      <c r="I464" s="1">
        <f>VLOOKUP($A464,temporalBoundaries!$A$1:$E$470,4,FALSE())</f>
        <v>10040617</v>
      </c>
      <c r="J464" s="1">
        <f>VLOOKUP($A464,temporalBoundaries!$A$1:$E$470,5,FALSE())</f>
        <v>15970713</v>
      </c>
    </row>
    <row r="465" ht="15" hidden="1">
      <c r="A465" s="1" t="s">
        <v>1127</v>
      </c>
      <c r="B465" s="1">
        <v>4735</v>
      </c>
      <c r="C465" s="1">
        <v>4606</v>
      </c>
      <c r="D465" s="5">
        <f t="shared" si="24"/>
        <v>97.275607180570205</v>
      </c>
      <c r="E465" s="1">
        <f>VLOOKUP(A465,temporalBoundaries!$A$2:$G$500,2,FALSE())</f>
        <v>794</v>
      </c>
      <c r="F465" s="1">
        <f>VLOOKUP(A465,temporalBoundaries!$A$2:$G$500,3,FALSE())</f>
        <v>1800</v>
      </c>
      <c r="G465" s="1">
        <f t="shared" si="25"/>
        <v>1006</v>
      </c>
      <c r="H465" s="1">
        <f t="shared" si="26"/>
        <v>4.7020854021847098</v>
      </c>
      <c r="I465" s="1">
        <f>VLOOKUP($A465,temporalBoundaries!$A$1:$E$470,4,FALSE())</f>
        <v>7940222</v>
      </c>
      <c r="J465" s="1">
        <f>VLOOKUP($A465,temporalBoundaries!$A$1:$E$470,5,FALSE())</f>
        <v>18000125</v>
      </c>
    </row>
    <row r="466" ht="15" hidden="1">
      <c r="A466" s="1" t="s">
        <v>1399</v>
      </c>
      <c r="B466" s="1">
        <v>4885</v>
      </c>
      <c r="C466" s="1">
        <v>4880</v>
      </c>
      <c r="D466" s="5">
        <f t="shared" si="24"/>
        <v>99.8976458546571</v>
      </c>
      <c r="E466" s="1">
        <f>VLOOKUP(A466,temporalBoundaries!$A$2:$G$500,2,FALSE())</f>
        <v>1246</v>
      </c>
      <c r="F466" s="1">
        <f>VLOOKUP(A466,temporalBoundaries!$A$2:$G$500,3,FALSE())</f>
        <v>1526</v>
      </c>
      <c r="G466" s="1">
        <f t="shared" si="25"/>
        <v>280</v>
      </c>
      <c r="H466" s="1">
        <f t="shared" si="26"/>
        <v>17.384341637010699</v>
      </c>
      <c r="I466" s="1">
        <f>VLOOKUP($A466,temporalBoundaries!$A$1:$E$470,4,FALSE())</f>
        <v>12461126</v>
      </c>
      <c r="J466" s="1">
        <f>VLOOKUP($A466,temporalBoundaries!$A$1:$E$470,5,FALSE())</f>
        <v>15260719</v>
      </c>
    </row>
    <row r="467" ht="15" hidden="1">
      <c r="A467" s="1" t="s">
        <v>552</v>
      </c>
      <c r="B467" s="1">
        <v>4988</v>
      </c>
      <c r="C467" s="1">
        <v>1340</v>
      </c>
      <c r="D467" s="5">
        <f t="shared" si="24"/>
        <v>26.864474739374501</v>
      </c>
      <c r="E467" s="1">
        <f>VLOOKUP(A467,temporalBoundaries!$A$2:$G$500,2,FALSE())</f>
        <v>1002</v>
      </c>
      <c r="F467" s="1">
        <f>VLOOKUP(A467,temporalBoundaries!$A$2:$G$500,3,FALSE())</f>
        <v>1002</v>
      </c>
      <c r="G467" s="1">
        <f t="shared" si="25"/>
        <v>0</v>
      </c>
      <c r="H467" s="1">
        <f t="shared" si="26"/>
        <v>4988</v>
      </c>
      <c r="I467" s="1">
        <f>VLOOKUP($A467,temporalBoundaries!$A$1:$E$470,4,FALSE())</f>
        <v>10020720</v>
      </c>
      <c r="J467" s="1">
        <f>VLOOKUP($A467,temporalBoundaries!$A$1:$E$470,5,FALSE())</f>
        <v>10020720</v>
      </c>
      <c r="K467" s="1" t="s">
        <v>1989</v>
      </c>
    </row>
    <row r="468" ht="15" hidden="1">
      <c r="A468" s="1" t="s">
        <v>556</v>
      </c>
      <c r="B468" s="1">
        <v>5351</v>
      </c>
      <c r="C468" s="1">
        <v>3853</v>
      </c>
      <c r="D468" s="5">
        <f t="shared" si="24"/>
        <v>72.005232666791201</v>
      </c>
      <c r="E468" s="1">
        <f>VLOOKUP(A468,temporalBoundaries!$A$2:$G$500,2,FALSE())</f>
        <v>1005</v>
      </c>
      <c r="F468" s="1">
        <f>VLOOKUP(A468,temporalBoundaries!$A$2:$G$500,3,FALSE())</f>
        <v>1981</v>
      </c>
      <c r="G468" s="1">
        <f t="shared" si="25"/>
        <v>976</v>
      </c>
      <c r="H468" s="1">
        <f t="shared" si="26"/>
        <v>5.4769703172978499</v>
      </c>
      <c r="I468" s="1">
        <f>VLOOKUP($A468,temporalBoundaries!$A$1:$E$470,4,FALSE())</f>
        <v>10051207</v>
      </c>
      <c r="J468" s="1">
        <f>VLOOKUP($A468,temporalBoundaries!$A$1:$E$470,5,FALSE())</f>
        <v>19810403</v>
      </c>
    </row>
    <row r="469" ht="15" hidden="1">
      <c r="A469" s="1" t="s">
        <v>1695</v>
      </c>
      <c r="B469" s="1">
        <v>5419</v>
      </c>
      <c r="C469" s="1">
        <v>0</v>
      </c>
      <c r="D469" s="5">
        <f t="shared" si="24"/>
        <v>0</v>
      </c>
      <c r="E469" s="1">
        <f>VLOOKUP(A469,temporalBoundaries!$A$2:$G$500,2,FALSE())</f>
        <v>884</v>
      </c>
      <c r="F469" s="1">
        <f>VLOOKUP(A469,temporalBoundaries!$A$2:$G$500,3,FALSE())</f>
        <v>1390</v>
      </c>
      <c r="G469" s="1">
        <f t="shared" si="25"/>
        <v>506</v>
      </c>
      <c r="H469" s="1">
        <f t="shared" si="26"/>
        <v>10.688362919132199</v>
      </c>
      <c r="I469" s="1">
        <f>VLOOKUP($A469,temporalBoundaries!$A$1:$E$470,4,FALSE())</f>
        <v>8840331</v>
      </c>
      <c r="J469" s="1">
        <f>VLOOKUP($A469,temporalBoundaries!$A$1:$E$470,5,FALSE())</f>
        <v>13900930</v>
      </c>
    </row>
    <row r="470" ht="15" hidden="1">
      <c r="A470" s="1" t="s">
        <v>1079</v>
      </c>
      <c r="B470" s="1">
        <v>5472</v>
      </c>
      <c r="C470" s="1">
        <v>5288</v>
      </c>
      <c r="D470" s="5">
        <f t="shared" si="24"/>
        <v>96.637426900584799</v>
      </c>
      <c r="E470" s="1">
        <f>VLOOKUP(A470,temporalBoundaries!$A$2:$G$500,2,FALSE())</f>
        <v>1073</v>
      </c>
      <c r="F470" s="1">
        <f>VLOOKUP(A470,temporalBoundaries!$A$2:$G$500,3,FALSE())</f>
        <v>1802</v>
      </c>
      <c r="G470" s="1">
        <f t="shared" si="25"/>
        <v>729</v>
      </c>
      <c r="H470" s="1">
        <f t="shared" si="26"/>
        <v>7.4958904109589</v>
      </c>
      <c r="I470" s="1">
        <f>VLOOKUP($A470,temporalBoundaries!$A$1:$E$470,4,FALSE())</f>
        <v>10730303</v>
      </c>
      <c r="J470" s="1">
        <f>VLOOKUP($A470,temporalBoundaries!$A$1:$E$470,5,FALSE())</f>
        <v>18020131</v>
      </c>
    </row>
    <row r="471" ht="15">
      <c r="D471" s="5"/>
    </row>
    <row r="472" ht="15">
      <c r="D472" s="5"/>
    </row>
    <row r="473" ht="15">
      <c r="D473" s="5"/>
    </row>
    <row r="474" ht="15">
      <c r="D474" s="5"/>
    </row>
    <row r="475" ht="15">
      <c r="D475" s="5"/>
    </row>
    <row r="476" ht="15">
      <c r="D476" s="5"/>
    </row>
    <row r="477" ht="15">
      <c r="D477" s="5"/>
    </row>
    <row r="478" ht="15">
      <c r="D478" s="5"/>
    </row>
    <row r="479" ht="15">
      <c r="D479" s="5"/>
    </row>
    <row r="480" ht="15">
      <c r="D480" s="5"/>
    </row>
    <row r="481" ht="15">
      <c r="D481" s="5"/>
    </row>
    <row r="482" ht="15">
      <c r="D482" s="5"/>
    </row>
    <row r="483" ht="15">
      <c r="D483" s="5"/>
    </row>
    <row r="484" ht="15">
      <c r="D484" s="5"/>
    </row>
    <row r="485" ht="15">
      <c r="D485" s="5"/>
    </row>
    <row r="486" ht="15">
      <c r="D486" s="5"/>
    </row>
    <row r="487" ht="15">
      <c r="D487" s="5"/>
    </row>
    <row r="488" ht="15">
      <c r="D488" s="5"/>
    </row>
    <row r="489" ht="15">
      <c r="D489" s="5"/>
    </row>
    <row r="490" ht="15">
      <c r="D490" s="5"/>
    </row>
    <row r="491" ht="15">
      <c r="D491" s="5"/>
    </row>
    <row r="492" ht="15">
      <c r="D492" s="5"/>
    </row>
    <row r="493" ht="15">
      <c r="D493" s="5"/>
    </row>
    <row r="494" ht="15">
      <c r="D494" s="5"/>
    </row>
    <row r="495" ht="15">
      <c r="D495" s="5"/>
    </row>
    <row r="496" ht="15">
      <c r="D496" s="5"/>
    </row>
    <row r="497" ht="15">
      <c r="D497" s="5"/>
    </row>
    <row r="498" ht="15">
      <c r="D498" s="5"/>
    </row>
    <row r="499" ht="15">
      <c r="D499" s="5"/>
    </row>
    <row r="500" ht="15">
      <c r="D500" s="5"/>
    </row>
    <row r="501" ht="15">
      <c r="D501" s="5"/>
    </row>
    <row r="502" ht="15">
      <c r="D502" s="5"/>
    </row>
    <row r="503" ht="15">
      <c r="D503" s="5"/>
    </row>
    <row r="504" ht="15">
      <c r="D504" s="5"/>
    </row>
    <row r="505" ht="15">
      <c r="D505" s="5"/>
    </row>
    <row r="506" ht="15">
      <c r="D506" s="5"/>
    </row>
    <row r="507" ht="15">
      <c r="D507" s="5"/>
    </row>
    <row r="508" ht="15">
      <c r="D508" s="5"/>
    </row>
    <row r="509" ht="15">
      <c r="D509" s="5"/>
    </row>
    <row r="510" ht="15">
      <c r="D510" s="5"/>
    </row>
    <row r="511" ht="15">
      <c r="D511" s="5"/>
    </row>
    <row r="512" ht="15">
      <c r="D512" s="5"/>
    </row>
    <row r="513" ht="15">
      <c r="D513" s="5"/>
    </row>
    <row r="514" ht="15">
      <c r="D514" s="5"/>
    </row>
    <row r="515" ht="15">
      <c r="D515" s="5"/>
    </row>
    <row r="516" ht="15">
      <c r="D516" s="5"/>
    </row>
    <row r="517" ht="15">
      <c r="D517" s="5"/>
    </row>
    <row r="518" ht="15">
      <c r="D518" s="5"/>
    </row>
    <row r="519" ht="15">
      <c r="D519" s="5"/>
    </row>
    <row r="520" ht="15">
      <c r="D520" s="5"/>
    </row>
    <row r="521" ht="15">
      <c r="D521" s="5"/>
    </row>
    <row r="522" ht="15">
      <c r="D522" s="5"/>
    </row>
    <row r="523" ht="15">
      <c r="D523" s="5"/>
    </row>
    <row r="524" ht="15">
      <c r="D524" s="5"/>
    </row>
    <row r="525" ht="15">
      <c r="D525" s="5"/>
    </row>
    <row r="526" ht="15">
      <c r="D526" s="5"/>
    </row>
    <row r="527" ht="15">
      <c r="D527" s="5"/>
    </row>
    <row r="528" ht="15">
      <c r="D528" s="5"/>
    </row>
    <row r="529" ht="15">
      <c r="D529" s="5"/>
    </row>
    <row r="530" ht="15">
      <c r="D530" s="5"/>
    </row>
    <row r="531" ht="15">
      <c r="D531" s="5"/>
    </row>
    <row r="532" ht="15">
      <c r="D532" s="5"/>
    </row>
    <row r="533" ht="15">
      <c r="D533" s="5"/>
    </row>
    <row r="534" ht="15">
      <c r="D534" s="5"/>
    </row>
    <row r="535" ht="15">
      <c r="D535" s="5"/>
    </row>
    <row r="536" ht="15">
      <c r="D536" s="5"/>
    </row>
    <row r="537" ht="15">
      <c r="D537" s="5"/>
    </row>
    <row r="538" ht="15">
      <c r="D538" s="5"/>
    </row>
    <row r="539" ht="15">
      <c r="D539" s="5"/>
    </row>
    <row r="540" ht="15">
      <c r="D540" s="5"/>
    </row>
    <row r="541" ht="15">
      <c r="D541" s="5"/>
    </row>
    <row r="542" ht="15">
      <c r="D542" s="5"/>
    </row>
    <row r="543" ht="15">
      <c r="D543" s="5"/>
    </row>
    <row r="544" ht="15">
      <c r="D544" s="5"/>
    </row>
    <row r="545" ht="15">
      <c r="D545" s="5"/>
    </row>
    <row r="546" ht="15">
      <c r="D546" s="5"/>
    </row>
    <row r="547" ht="15">
      <c r="D547" s="5"/>
    </row>
    <row r="548" ht="15">
      <c r="D548" s="5"/>
    </row>
    <row r="549" ht="15">
      <c r="D549" s="5"/>
    </row>
    <row r="550" ht="15">
      <c r="D550" s="5"/>
    </row>
    <row r="551" ht="15">
      <c r="D551" s="5"/>
    </row>
    <row r="552" ht="15">
      <c r="D552" s="5"/>
    </row>
    <row r="553" ht="15">
      <c r="D553" s="5"/>
    </row>
    <row r="554" ht="15">
      <c r="D554" s="5"/>
    </row>
    <row r="555" ht="15">
      <c r="D555" s="5"/>
    </row>
    <row r="556" ht="15">
      <c r="D556" s="5"/>
    </row>
    <row r="557" ht="15">
      <c r="D557" s="5"/>
    </row>
    <row r="558" ht="15">
      <c r="D558" s="5"/>
    </row>
    <row r="559" ht="15">
      <c r="D559" s="5"/>
    </row>
    <row r="560" ht="15">
      <c r="D560" s="5"/>
    </row>
    <row r="561" ht="15">
      <c r="D561" s="5"/>
    </row>
    <row r="562" ht="15">
      <c r="D562" s="5"/>
    </row>
    <row r="563" ht="15">
      <c r="D563" s="5"/>
    </row>
    <row r="564" ht="15">
      <c r="D564" s="5"/>
    </row>
    <row r="565" ht="15">
      <c r="D565" s="5"/>
    </row>
    <row r="566" ht="15">
      <c r="D566" s="5"/>
    </row>
    <row r="567" ht="15">
      <c r="D567" s="5"/>
    </row>
    <row r="568" ht="15">
      <c r="D568" s="5"/>
    </row>
    <row r="569" ht="15">
      <c r="D569" s="5"/>
    </row>
    <row r="570" ht="15">
      <c r="D570" s="5"/>
    </row>
    <row r="571" ht="15">
      <c r="D571" s="5"/>
    </row>
    <row r="572" ht="15">
      <c r="D572" s="5"/>
    </row>
    <row r="573" ht="15">
      <c r="D573" s="5"/>
    </row>
    <row r="574" ht="15">
      <c r="D574" s="5"/>
    </row>
    <row r="575" ht="15">
      <c r="D575" s="5"/>
    </row>
    <row r="576" ht="15">
      <c r="D576" s="5"/>
    </row>
    <row r="577" ht="15">
      <c r="D577" s="5"/>
    </row>
    <row r="578" ht="15">
      <c r="D578" s="5"/>
    </row>
    <row r="579" ht="15">
      <c r="D579" s="5"/>
    </row>
    <row r="580" ht="15">
      <c r="D580" s="5"/>
    </row>
    <row r="581" ht="15">
      <c r="D581" s="5"/>
    </row>
    <row r="582" ht="15">
      <c r="D582" s="5"/>
    </row>
    <row r="583" ht="15">
      <c r="D583" s="5"/>
    </row>
    <row r="584" ht="15">
      <c r="D584" s="5"/>
    </row>
    <row r="585" ht="15">
      <c r="D585" s="5"/>
    </row>
    <row r="586" ht="15">
      <c r="D586" s="5"/>
    </row>
    <row r="587" ht="15">
      <c r="D587" s="5"/>
    </row>
    <row r="588" ht="15">
      <c r="D588" s="5"/>
    </row>
    <row r="589" ht="15">
      <c r="D589" s="5"/>
    </row>
    <row r="590" ht="15">
      <c r="D590" s="5"/>
    </row>
    <row r="591" ht="15">
      <c r="D591" s="5"/>
    </row>
    <row r="592" ht="15">
      <c r="D592" s="5"/>
    </row>
    <row r="593" ht="15">
      <c r="D593" s="5"/>
    </row>
    <row r="594" ht="15">
      <c r="D594" s="5"/>
    </row>
    <row r="595" ht="15">
      <c r="D595" s="5"/>
    </row>
    <row r="596" ht="15">
      <c r="D596" s="5"/>
    </row>
    <row r="597" ht="15">
      <c r="D597" s="5"/>
    </row>
    <row r="598" ht="15">
      <c r="D598" s="5"/>
    </row>
    <row r="599" ht="15">
      <c r="D599" s="5"/>
    </row>
    <row r="600" ht="15">
      <c r="D600" s="5"/>
    </row>
    <row r="601" ht="15">
      <c r="D601" s="5"/>
    </row>
    <row r="602" ht="15">
      <c r="D602" s="5"/>
    </row>
    <row r="603" ht="15">
      <c r="D603" s="5"/>
    </row>
    <row r="604" ht="15">
      <c r="D604" s="5"/>
    </row>
    <row r="605" ht="15">
      <c r="D605" s="5"/>
    </row>
    <row r="606" ht="15">
      <c r="D606" s="5"/>
    </row>
    <row r="607" ht="15">
      <c r="D607" s="5"/>
    </row>
    <row r="608" ht="15">
      <c r="D608" s="5"/>
    </row>
    <row r="609" ht="15">
      <c r="D609" s="5"/>
    </row>
    <row r="610" ht="15">
      <c r="D610" s="5"/>
    </row>
    <row r="611" ht="15">
      <c r="D611" s="5"/>
    </row>
    <row r="612" ht="15">
      <c r="D612" s="5"/>
    </row>
    <row r="613" ht="15">
      <c r="D613" s="5"/>
    </row>
    <row r="614" ht="15">
      <c r="D614" s="5"/>
    </row>
    <row r="615" ht="15">
      <c r="D615" s="5"/>
    </row>
    <row r="616" ht="15">
      <c r="D616" s="5"/>
    </row>
    <row r="617" ht="15">
      <c r="D617" s="5"/>
    </row>
    <row r="618" ht="15">
      <c r="D618" s="5"/>
    </row>
    <row r="619" ht="15">
      <c r="D619" s="5"/>
    </row>
    <row r="620" ht="15">
      <c r="D620" s="5"/>
    </row>
    <row r="621" ht="15">
      <c r="D621" s="5"/>
    </row>
    <row r="622" ht="15">
      <c r="D622" s="5"/>
    </row>
    <row r="623" ht="15">
      <c r="D623" s="5"/>
    </row>
    <row r="624" ht="15">
      <c r="D624" s="5"/>
    </row>
    <row r="625" ht="15">
      <c r="D625" s="5"/>
    </row>
    <row r="626" ht="15">
      <c r="D626" s="5"/>
    </row>
    <row r="627" ht="15">
      <c r="D627" s="5"/>
    </row>
    <row r="628" ht="15">
      <c r="D628" s="5"/>
    </row>
    <row r="629" ht="15">
      <c r="D629" s="5"/>
    </row>
    <row r="630" ht="15">
      <c r="D630" s="5"/>
    </row>
    <row r="631" ht="15">
      <c r="D631" s="5"/>
    </row>
    <row r="632" ht="15">
      <c r="D632" s="5"/>
    </row>
    <row r="633" ht="15">
      <c r="D633" s="5"/>
    </row>
    <row r="634" ht="15">
      <c r="D634" s="5"/>
    </row>
    <row r="635" ht="15">
      <c r="D635" s="5"/>
    </row>
    <row r="636" ht="15">
      <c r="D636" s="5"/>
    </row>
    <row r="637" ht="15">
      <c r="D637" s="5"/>
    </row>
    <row r="638" ht="15">
      <c r="D638" s="5"/>
    </row>
    <row r="639" ht="15">
      <c r="D639" s="5"/>
    </row>
    <row r="640" ht="15">
      <c r="D640" s="5"/>
    </row>
    <row r="641" ht="15">
      <c r="D641" s="5"/>
    </row>
    <row r="642" ht="15">
      <c r="D642" s="5"/>
    </row>
    <row r="643" ht="15">
      <c r="D643" s="5"/>
    </row>
    <row r="644" ht="15">
      <c r="D644" s="5"/>
    </row>
    <row r="645" ht="15">
      <c r="D645" s="5"/>
    </row>
    <row r="646" ht="15">
      <c r="D646" s="5"/>
    </row>
    <row r="647" ht="15">
      <c r="D647" s="5"/>
    </row>
    <row r="648" ht="15">
      <c r="D648" s="5"/>
    </row>
    <row r="649" ht="15">
      <c r="D649" s="5"/>
    </row>
    <row r="650" ht="15">
      <c r="D650" s="5"/>
    </row>
    <row r="651" ht="15">
      <c r="D651" s="5"/>
    </row>
    <row r="652" ht="15">
      <c r="D652" s="5"/>
    </row>
    <row r="653" ht="15">
      <c r="D653" s="5"/>
    </row>
    <row r="654" ht="15">
      <c r="D654" s="5"/>
    </row>
    <row r="655" ht="15">
      <c r="D655" s="5"/>
    </row>
    <row r="656" ht="15">
      <c r="D656" s="5"/>
    </row>
    <row r="657" ht="15">
      <c r="D657" s="5"/>
    </row>
    <row r="658" ht="15">
      <c r="D658" s="5"/>
    </row>
    <row r="659" ht="15">
      <c r="D659" s="5"/>
    </row>
    <row r="660" ht="15">
      <c r="D660" s="5"/>
    </row>
    <row r="661" ht="15">
      <c r="D661" s="5"/>
    </row>
    <row r="662" ht="15">
      <c r="D662" s="5"/>
    </row>
    <row r="663" ht="15">
      <c r="D663" s="5"/>
    </row>
    <row r="664" ht="15">
      <c r="D664" s="5"/>
    </row>
    <row r="665" ht="15">
      <c r="D665" s="5"/>
    </row>
    <row r="666" ht="15">
      <c r="D666" s="5"/>
    </row>
    <row r="667" ht="15">
      <c r="D667" s="5"/>
    </row>
    <row r="668" ht="15">
      <c r="D668" s="5"/>
    </row>
    <row r="669" ht="15">
      <c r="D669" s="5"/>
    </row>
    <row r="670" ht="15">
      <c r="D670" s="5"/>
    </row>
    <row r="671" ht="15">
      <c r="D671" s="5"/>
    </row>
    <row r="672" ht="15">
      <c r="D672" s="5"/>
    </row>
    <row r="673" ht="15">
      <c r="D673" s="5"/>
    </row>
    <row r="674" ht="15">
      <c r="D674" s="5"/>
    </row>
    <row r="675" ht="15">
      <c r="D675" s="5"/>
    </row>
    <row r="676" ht="15">
      <c r="D676" s="5"/>
    </row>
    <row r="677" ht="15">
      <c r="D677" s="5"/>
    </row>
    <row r="678" ht="15">
      <c r="D678" s="5"/>
    </row>
    <row r="679" ht="15">
      <c r="D679" s="5"/>
    </row>
    <row r="680" ht="15">
      <c r="D680" s="5"/>
    </row>
    <row r="681" ht="15">
      <c r="D681" s="5"/>
    </row>
    <row r="682" ht="15">
      <c r="D682" s="5"/>
    </row>
    <row r="683" ht="15">
      <c r="D683" s="5"/>
    </row>
    <row r="684" ht="15">
      <c r="D684" s="5"/>
    </row>
    <row r="685" ht="15">
      <c r="D685" s="5"/>
    </row>
    <row r="686" ht="15">
      <c r="D686" s="5"/>
    </row>
    <row r="687" ht="15">
      <c r="D687" s="5"/>
    </row>
    <row r="688" ht="15">
      <c r="D688" s="5"/>
    </row>
    <row r="689" ht="15">
      <c r="D689" s="5"/>
    </row>
    <row r="690" ht="15">
      <c r="D690" s="5"/>
    </row>
    <row r="691" ht="15">
      <c r="D691" s="5"/>
    </row>
    <row r="692" ht="15">
      <c r="D692" s="5"/>
    </row>
    <row r="693" ht="15">
      <c r="D693" s="5"/>
    </row>
    <row r="694" ht="15">
      <c r="D694" s="5"/>
    </row>
    <row r="695" ht="15">
      <c r="D695" s="5"/>
    </row>
    <row r="696" ht="15">
      <c r="D696" s="5"/>
    </row>
    <row r="697" ht="15">
      <c r="D697" s="5"/>
    </row>
    <row r="698" ht="15">
      <c r="D698" s="5"/>
    </row>
    <row r="699" ht="15">
      <c r="D699" s="5"/>
    </row>
    <row r="700" ht="15">
      <c r="D700" s="5"/>
    </row>
    <row r="701" ht="15">
      <c r="D701" s="5"/>
    </row>
    <row r="702" ht="15">
      <c r="D702" s="5"/>
    </row>
    <row r="703" ht="15">
      <c r="D703" s="5"/>
    </row>
    <row r="704" ht="15">
      <c r="D704" s="5"/>
    </row>
    <row r="705" ht="15">
      <c r="D705" s="5"/>
    </row>
    <row r="706" ht="15">
      <c r="D706" s="5"/>
    </row>
    <row r="707" ht="15">
      <c r="D707" s="5"/>
    </row>
    <row r="708" ht="15">
      <c r="D708" s="5"/>
    </row>
    <row r="709" ht="15">
      <c r="D709" s="5"/>
    </row>
    <row r="710" ht="15">
      <c r="D710" s="5"/>
    </row>
    <row r="711" ht="15">
      <c r="D711" s="5"/>
    </row>
    <row r="712" ht="15">
      <c r="D712" s="5"/>
    </row>
    <row r="713" ht="15">
      <c r="D713" s="5"/>
    </row>
    <row r="714" ht="15">
      <c r="D714" s="5"/>
    </row>
    <row r="715" ht="15">
      <c r="D715" s="5"/>
    </row>
    <row r="716" ht="15">
      <c r="D716" s="5"/>
    </row>
    <row r="717" ht="15">
      <c r="D717" s="5"/>
    </row>
    <row r="718" ht="15">
      <c r="D718" s="5"/>
    </row>
    <row r="719" ht="15">
      <c r="D719" s="5"/>
    </row>
    <row r="720" ht="15">
      <c r="D720" s="5"/>
    </row>
    <row r="721" ht="15">
      <c r="D721" s="5"/>
    </row>
    <row r="722" ht="15">
      <c r="D722" s="5"/>
    </row>
    <row r="723" ht="15">
      <c r="D723" s="5"/>
    </row>
    <row r="724" ht="15">
      <c r="D724" s="5"/>
    </row>
    <row r="725" ht="15">
      <c r="D725" s="5"/>
    </row>
    <row r="726" ht="15">
      <c r="D726" s="5"/>
    </row>
    <row r="727" ht="15">
      <c r="D727" s="5"/>
    </row>
    <row r="728" ht="15">
      <c r="D728" s="5"/>
    </row>
    <row r="729" ht="15">
      <c r="D729" s="5"/>
    </row>
    <row r="730" ht="15">
      <c r="D730" s="5"/>
    </row>
    <row r="731" ht="15">
      <c r="D731" s="5"/>
    </row>
    <row r="732" ht="15">
      <c r="D732" s="5"/>
    </row>
    <row r="733" ht="15">
      <c r="D733" s="5"/>
    </row>
    <row r="734" ht="15">
      <c r="D734" s="5"/>
    </row>
    <row r="735" ht="15">
      <c r="D735" s="5"/>
    </row>
    <row r="736" ht="15">
      <c r="D736" s="5"/>
    </row>
    <row r="737" ht="15">
      <c r="D737" s="5"/>
    </row>
    <row r="738" ht="15">
      <c r="D738" s="5"/>
    </row>
    <row r="739" ht="15">
      <c r="D739" s="5"/>
    </row>
    <row r="740" ht="15">
      <c r="D740" s="5"/>
    </row>
    <row r="741" ht="15">
      <c r="D741" s="5"/>
    </row>
    <row r="742" ht="15">
      <c r="D742" s="5"/>
    </row>
    <row r="743" ht="15">
      <c r="D743" s="5"/>
    </row>
    <row r="744" ht="15">
      <c r="D744" s="5"/>
    </row>
    <row r="745" ht="15">
      <c r="D745" s="5"/>
    </row>
    <row r="746" ht="15">
      <c r="D746" s="5"/>
    </row>
    <row r="747" ht="15">
      <c r="D747" s="5"/>
    </row>
    <row r="748" ht="15">
      <c r="D748" s="5"/>
    </row>
    <row r="749" ht="15">
      <c r="D749" s="5"/>
    </row>
    <row r="750" ht="15">
      <c r="D750" s="5"/>
    </row>
    <row r="751" ht="15">
      <c r="D751" s="5"/>
    </row>
    <row r="752" ht="15">
      <c r="D752" s="5"/>
    </row>
    <row r="753" ht="15">
      <c r="D753" s="5"/>
    </row>
    <row r="754" ht="15">
      <c r="D754" s="5"/>
    </row>
    <row r="755" ht="15">
      <c r="D755" s="5"/>
    </row>
    <row r="756" ht="15">
      <c r="D756" s="5"/>
    </row>
    <row r="757" ht="15">
      <c r="D757" s="5"/>
    </row>
    <row r="758" ht="15">
      <c r="D758" s="5"/>
    </row>
    <row r="759" ht="15">
      <c r="D759" s="5"/>
    </row>
    <row r="760" ht="15">
      <c r="D760" s="5"/>
    </row>
    <row r="761" ht="15">
      <c r="D761" s="5"/>
    </row>
    <row r="762" ht="15">
      <c r="D762" s="5"/>
    </row>
    <row r="763" ht="15">
      <c r="D763" s="5"/>
    </row>
    <row r="764" ht="15">
      <c r="D764" s="5"/>
    </row>
    <row r="765" ht="15">
      <c r="D765" s="5"/>
    </row>
    <row r="766" ht="15">
      <c r="D766" s="5"/>
    </row>
    <row r="767" ht="15">
      <c r="D767" s="5"/>
    </row>
    <row r="768" ht="15">
      <c r="D768" s="5"/>
    </row>
    <row r="769" ht="15">
      <c r="D769" s="5"/>
    </row>
    <row r="770" ht="15">
      <c r="D770" s="5"/>
    </row>
    <row r="771" ht="15">
      <c r="D771" s="5"/>
    </row>
    <row r="772" ht="15">
      <c r="D772" s="5"/>
    </row>
    <row r="773" ht="15">
      <c r="D773" s="5"/>
    </row>
    <row r="774" ht="15">
      <c r="D774" s="5"/>
    </row>
    <row r="775" ht="15">
      <c r="D775" s="5"/>
    </row>
    <row r="776" ht="15">
      <c r="D776" s="5"/>
    </row>
    <row r="777" ht="15">
      <c r="D777" s="5"/>
    </row>
    <row r="778" ht="15">
      <c r="D778" s="5"/>
    </row>
    <row r="779" ht="15">
      <c r="D779" s="5"/>
    </row>
    <row r="780" ht="15">
      <c r="D780" s="5"/>
    </row>
    <row r="781" ht="15">
      <c r="D781" s="5"/>
    </row>
    <row r="782" ht="15">
      <c r="D782" s="5"/>
    </row>
    <row r="783" ht="15">
      <c r="D783" s="5"/>
    </row>
    <row r="784" ht="15">
      <c r="D784" s="5"/>
    </row>
    <row r="785" ht="15">
      <c r="D785" s="5"/>
    </row>
    <row r="786" ht="15">
      <c r="D786" s="5"/>
    </row>
    <row r="787" ht="15">
      <c r="D787" s="5"/>
    </row>
    <row r="788" ht="15">
      <c r="D788" s="5"/>
    </row>
    <row r="789" ht="15">
      <c r="D789" s="5"/>
    </row>
    <row r="790" ht="15">
      <c r="D790" s="5"/>
    </row>
    <row r="791" ht="15">
      <c r="D791" s="5"/>
    </row>
    <row r="792" ht="15">
      <c r="D792" s="5"/>
    </row>
    <row r="793" ht="15">
      <c r="D793" s="5"/>
    </row>
    <row r="794" ht="15">
      <c r="D794" s="5"/>
    </row>
    <row r="795" ht="15">
      <c r="D795" s="5"/>
    </row>
    <row r="796" ht="15">
      <c r="D796" s="5"/>
    </row>
    <row r="797" ht="15">
      <c r="D797" s="5"/>
    </row>
    <row r="798" ht="15">
      <c r="D798" s="5"/>
    </row>
    <row r="799" ht="15">
      <c r="D799" s="5"/>
    </row>
    <row r="800" ht="15">
      <c r="D800" s="5"/>
    </row>
    <row r="801" ht="15">
      <c r="D801" s="5"/>
    </row>
    <row r="802" ht="15">
      <c r="D802" s="5"/>
    </row>
    <row r="803" ht="15">
      <c r="D803" s="5"/>
    </row>
    <row r="804" ht="15">
      <c r="D804" s="5"/>
    </row>
    <row r="805" ht="15">
      <c r="D805" s="5"/>
    </row>
    <row r="806" ht="15">
      <c r="D806" s="5"/>
    </row>
    <row r="807" ht="15">
      <c r="D807" s="5"/>
    </row>
    <row r="808" ht="15">
      <c r="D808" s="5"/>
    </row>
    <row r="809" ht="15">
      <c r="D809" s="5"/>
    </row>
    <row r="810" ht="15">
      <c r="D810" s="5"/>
    </row>
    <row r="811" ht="15">
      <c r="D811" s="5"/>
    </row>
    <row r="812" ht="15">
      <c r="D812" s="5"/>
    </row>
    <row r="813" ht="15">
      <c r="D813" s="5"/>
    </row>
    <row r="814" ht="15">
      <c r="D814" s="5"/>
    </row>
    <row r="815" ht="15">
      <c r="D815" s="5"/>
    </row>
    <row r="816" ht="15">
      <c r="D816" s="5"/>
    </row>
    <row r="817" ht="15">
      <c r="D817" s="5"/>
    </row>
    <row r="818" ht="15">
      <c r="D818" s="5"/>
    </row>
    <row r="819" ht="15">
      <c r="D819" s="5"/>
    </row>
    <row r="820" ht="15">
      <c r="D820" s="5"/>
    </row>
    <row r="821" ht="15">
      <c r="D821" s="5"/>
    </row>
    <row r="822" ht="15">
      <c r="D822" s="5"/>
    </row>
    <row r="823" ht="15">
      <c r="D823" s="5"/>
    </row>
    <row r="824" ht="15">
      <c r="D824" s="5"/>
    </row>
    <row r="825" ht="15">
      <c r="D825" s="5"/>
    </row>
    <row r="826" ht="15">
      <c r="D826" s="5"/>
    </row>
    <row r="827" ht="15">
      <c r="D827" s="5"/>
    </row>
    <row r="828" ht="15">
      <c r="D828" s="5"/>
    </row>
    <row r="829" ht="15">
      <c r="D829" s="5"/>
    </row>
    <row r="830" ht="15">
      <c r="D830" s="5"/>
    </row>
    <row r="831" ht="15">
      <c r="D831" s="5"/>
    </row>
    <row r="832" ht="15">
      <c r="D832" s="5"/>
    </row>
    <row r="833" ht="15">
      <c r="D833" s="5"/>
    </row>
    <row r="834" ht="15">
      <c r="D834" s="5"/>
    </row>
    <row r="835" ht="15">
      <c r="D835" s="5"/>
    </row>
    <row r="836" ht="15">
      <c r="D836" s="5"/>
    </row>
    <row r="837" ht="15">
      <c r="D837" s="5"/>
    </row>
    <row r="838" ht="15">
      <c r="D838" s="5"/>
    </row>
    <row r="839" ht="15">
      <c r="D839" s="5"/>
    </row>
    <row r="840" ht="15">
      <c r="D840" s="5"/>
    </row>
    <row r="841" ht="15">
      <c r="D841" s="5"/>
    </row>
    <row r="842" ht="15">
      <c r="D842" s="5"/>
    </row>
    <row r="843" ht="15">
      <c r="D843" s="5"/>
    </row>
    <row r="844" ht="15">
      <c r="D844" s="5"/>
    </row>
    <row r="845" ht="15">
      <c r="D845" s="5"/>
    </row>
    <row r="846" ht="15">
      <c r="D846" s="5"/>
    </row>
    <row r="847" ht="15">
      <c r="D847" s="5"/>
    </row>
    <row r="848" ht="15">
      <c r="D848" s="5"/>
    </row>
    <row r="849" ht="15">
      <c r="D849" s="5"/>
    </row>
    <row r="850" ht="15">
      <c r="D850" s="5"/>
    </row>
    <row r="851" ht="15">
      <c r="D851" s="5"/>
    </row>
    <row r="852" ht="15">
      <c r="D852" s="5"/>
    </row>
    <row r="853" ht="15">
      <c r="D853" s="5"/>
    </row>
    <row r="854" ht="15">
      <c r="D854" s="5"/>
    </row>
    <row r="855" ht="15">
      <c r="D855" s="5"/>
    </row>
    <row r="856" ht="15">
      <c r="D856" s="5"/>
    </row>
    <row r="857" ht="15">
      <c r="D857" s="5"/>
    </row>
    <row r="858" ht="15">
      <c r="D858" s="5"/>
    </row>
    <row r="859" ht="15">
      <c r="D859" s="5"/>
    </row>
    <row r="860" ht="15">
      <c r="D860" s="5"/>
    </row>
    <row r="861" ht="15">
      <c r="D861" s="5"/>
    </row>
    <row r="862" ht="15">
      <c r="D862" s="5"/>
    </row>
    <row r="863" ht="15">
      <c r="D863" s="5"/>
    </row>
    <row r="864" ht="15">
      <c r="D864" s="5"/>
    </row>
    <row r="865" ht="15">
      <c r="D865" s="5"/>
    </row>
    <row r="866" ht="15">
      <c r="D866" s="5"/>
    </row>
    <row r="867" ht="15">
      <c r="D867" s="5"/>
    </row>
    <row r="868" ht="15">
      <c r="D868" s="5"/>
    </row>
    <row r="869" ht="15">
      <c r="D869" s="5"/>
    </row>
    <row r="870" ht="15">
      <c r="D870" s="5"/>
    </row>
    <row r="871" ht="15">
      <c r="D871" s="5"/>
    </row>
    <row r="872" ht="15">
      <c r="D872" s="5"/>
    </row>
    <row r="873" ht="15">
      <c r="D873" s="5"/>
    </row>
    <row r="874" ht="15">
      <c r="D874" s="5"/>
    </row>
    <row r="875" ht="15">
      <c r="D875" s="5"/>
    </row>
    <row r="876" ht="15">
      <c r="D876" s="5"/>
    </row>
    <row r="877" ht="15">
      <c r="D877" s="5"/>
    </row>
    <row r="878" ht="15">
      <c r="D878" s="5"/>
    </row>
    <row r="879" ht="15">
      <c r="D879" s="5"/>
    </row>
    <row r="880" ht="15">
      <c r="D880" s="5"/>
    </row>
    <row r="881" ht="15">
      <c r="D881" s="5"/>
    </row>
    <row r="882" ht="15">
      <c r="D882" s="5"/>
    </row>
    <row r="883" ht="15">
      <c r="D883" s="5"/>
    </row>
    <row r="884" ht="15">
      <c r="D884" s="5"/>
    </row>
    <row r="885" ht="15">
      <c r="D885" s="5"/>
    </row>
    <row r="886" ht="15">
      <c r="D886" s="5"/>
    </row>
    <row r="887" ht="15">
      <c r="D887" s="5"/>
    </row>
    <row r="888" ht="15">
      <c r="D888" s="5"/>
    </row>
    <row r="889" ht="15">
      <c r="D889" s="5"/>
    </row>
    <row r="890" ht="15">
      <c r="D890" s="5"/>
    </row>
    <row r="891" ht="15">
      <c r="D891" s="5"/>
    </row>
    <row r="892" ht="15">
      <c r="D892" s="5"/>
    </row>
    <row r="893" ht="15">
      <c r="D893" s="5"/>
    </row>
    <row r="894" ht="15">
      <c r="D894" s="5"/>
    </row>
    <row r="895" ht="15">
      <c r="D895" s="5"/>
    </row>
    <row r="896" ht="15">
      <c r="D896" s="5"/>
    </row>
    <row r="897" ht="15">
      <c r="D897" s="5"/>
    </row>
    <row r="898" ht="15">
      <c r="D898" s="5"/>
    </row>
    <row r="899" ht="15">
      <c r="D899" s="5"/>
    </row>
    <row r="900" ht="15">
      <c r="D900" s="5"/>
    </row>
    <row r="901" ht="15">
      <c r="D901" s="5"/>
    </row>
    <row r="902" ht="15">
      <c r="D902" s="5"/>
    </row>
    <row r="903" ht="15">
      <c r="D903" s="5"/>
    </row>
    <row r="904" ht="15">
      <c r="D904" s="5"/>
    </row>
    <row r="905" ht="15">
      <c r="D905" s="5"/>
    </row>
    <row r="906" ht="15">
      <c r="D906" s="5"/>
    </row>
    <row r="907" ht="15">
      <c r="D907" s="5"/>
    </row>
    <row r="908" ht="15">
      <c r="D908" s="5"/>
    </row>
    <row r="909" ht="15">
      <c r="D909" s="5"/>
    </row>
    <row r="910" ht="15">
      <c r="D910" s="5"/>
    </row>
    <row r="911" ht="15">
      <c r="D911" s="5"/>
    </row>
    <row r="912" ht="15">
      <c r="D912" s="5"/>
    </row>
    <row r="913" ht="15">
      <c r="D913" s="5"/>
    </row>
    <row r="914" ht="15">
      <c r="D914" s="5"/>
    </row>
    <row r="915" ht="15">
      <c r="D915" s="5"/>
    </row>
    <row r="916" ht="15">
      <c r="D916" s="5"/>
    </row>
    <row r="917" ht="15">
      <c r="D917" s="5"/>
    </row>
    <row r="918" ht="15">
      <c r="D918" s="5"/>
    </row>
    <row r="919" ht="15">
      <c r="D919" s="5"/>
    </row>
    <row r="920" ht="15">
      <c r="D920" s="5"/>
    </row>
    <row r="921" ht="15">
      <c r="D921" s="5"/>
    </row>
    <row r="922" ht="15">
      <c r="D922" s="5"/>
    </row>
    <row r="923" ht="15">
      <c r="D923" s="5"/>
    </row>
    <row r="924" ht="15">
      <c r="D924" s="5"/>
    </row>
    <row r="925" ht="15">
      <c r="D925" s="5"/>
    </row>
    <row r="926" ht="15">
      <c r="D926" s="5"/>
    </row>
    <row r="927" ht="15">
      <c r="D927" s="5"/>
    </row>
    <row r="928" ht="15">
      <c r="D928" s="5"/>
    </row>
    <row r="929" ht="15">
      <c r="D929" s="5"/>
    </row>
    <row r="930" ht="15">
      <c r="D930" s="5"/>
    </row>
    <row r="931" ht="15">
      <c r="D931" s="5"/>
    </row>
    <row r="932" ht="15">
      <c r="D932" s="5"/>
    </row>
    <row r="933" ht="15">
      <c r="D933" s="5"/>
    </row>
    <row r="934" ht="15">
      <c r="D934" s="5"/>
    </row>
    <row r="935" ht="15">
      <c r="D935" s="5"/>
    </row>
    <row r="936" ht="15">
      <c r="D936" s="5"/>
    </row>
    <row r="937" ht="15">
      <c r="D937" s="5"/>
    </row>
    <row r="938" ht="15">
      <c r="D938" s="5"/>
    </row>
    <row r="939" ht="15">
      <c r="D939" s="5"/>
    </row>
    <row r="940" ht="15">
      <c r="D940" s="5"/>
    </row>
    <row r="941" ht="15">
      <c r="D941" s="5"/>
    </row>
    <row r="942" ht="15">
      <c r="D942" s="5"/>
    </row>
    <row r="943" ht="15">
      <c r="D943" s="5"/>
    </row>
    <row r="944" ht="15">
      <c r="D944" s="5"/>
    </row>
    <row r="945" ht="15">
      <c r="D945" s="5"/>
    </row>
    <row r="946" ht="15">
      <c r="D946" s="5"/>
    </row>
    <row r="947" ht="15">
      <c r="D947" s="5"/>
    </row>
    <row r="948" ht="15">
      <c r="D948" s="5"/>
    </row>
    <row r="949" ht="15">
      <c r="D949" s="5"/>
    </row>
    <row r="950" ht="15">
      <c r="D950" s="5"/>
    </row>
    <row r="951" ht="15">
      <c r="D951" s="5"/>
    </row>
    <row r="952" ht="15">
      <c r="D952" s="5"/>
    </row>
    <row r="953" ht="15">
      <c r="D953" s="5"/>
    </row>
    <row r="954" ht="15">
      <c r="D954" s="5"/>
    </row>
    <row r="955" ht="15">
      <c r="D955" s="5"/>
    </row>
    <row r="956" ht="15">
      <c r="D956" s="5"/>
    </row>
    <row r="957" ht="15">
      <c r="D957" s="5"/>
    </row>
    <row r="958" ht="15">
      <c r="D958" s="5"/>
    </row>
    <row r="959" ht="15">
      <c r="D959" s="5"/>
    </row>
    <row r="960" ht="15">
      <c r="D960" s="5"/>
    </row>
    <row r="961" ht="15">
      <c r="D961" s="5"/>
    </row>
    <row r="962" ht="15">
      <c r="D962" s="5"/>
    </row>
    <row r="963" ht="15">
      <c r="D963" s="5"/>
    </row>
    <row r="964" ht="15">
      <c r="D964" s="5"/>
    </row>
    <row r="965" ht="15">
      <c r="D965" s="5"/>
    </row>
    <row r="966" ht="15">
      <c r="D966" s="5"/>
    </row>
    <row r="967" ht="15">
      <c r="D967" s="5"/>
    </row>
    <row r="968" ht="15">
      <c r="D968" s="5"/>
    </row>
    <row r="969" ht="15">
      <c r="D969" s="5"/>
    </row>
    <row r="970" ht="15">
      <c r="D970" s="5"/>
    </row>
    <row r="971" ht="15">
      <c r="D971" s="5"/>
    </row>
    <row r="972" ht="15">
      <c r="D972" s="5"/>
    </row>
    <row r="973" ht="15">
      <c r="D973" s="5"/>
    </row>
    <row r="974" ht="15">
      <c r="D974" s="5"/>
    </row>
    <row r="975" ht="15">
      <c r="D975" s="5"/>
    </row>
    <row r="976" ht="15">
      <c r="D976" s="5"/>
    </row>
    <row r="977" ht="15">
      <c r="D977" s="5"/>
    </row>
    <row r="978" ht="15">
      <c r="D978" s="5"/>
    </row>
    <row r="979" ht="15">
      <c r="D979" s="5"/>
    </row>
    <row r="980" ht="15">
      <c r="D980" s="5"/>
    </row>
    <row r="981" ht="15">
      <c r="D981" s="5"/>
    </row>
    <row r="982" ht="15">
      <c r="D982" s="5"/>
    </row>
    <row r="983" ht="15">
      <c r="D983" s="5"/>
    </row>
    <row r="984" ht="15">
      <c r="D984" s="5"/>
    </row>
    <row r="985" ht="15">
      <c r="D985" s="5"/>
    </row>
    <row r="986" ht="15">
      <c r="D986" s="5"/>
    </row>
    <row r="987" ht="15">
      <c r="D987" s="5"/>
    </row>
    <row r="988" ht="15">
      <c r="D988" s="5"/>
    </row>
    <row r="989" ht="15">
      <c r="D989" s="5"/>
    </row>
    <row r="990" ht="15">
      <c r="D990" s="5"/>
    </row>
    <row r="991" ht="15">
      <c r="D991" s="5"/>
    </row>
    <row r="992" ht="15">
      <c r="D992" s="5"/>
    </row>
    <row r="993" ht="15">
      <c r="D993" s="5"/>
    </row>
    <row r="994" ht="15">
      <c r="D994" s="5"/>
    </row>
    <row r="995" ht="15">
      <c r="D995" s="5"/>
    </row>
    <row r="996" ht="15">
      <c r="D996" s="5"/>
    </row>
    <row r="997" ht="15">
      <c r="D997" s="5"/>
    </row>
    <row r="998" ht="15">
      <c r="D998" s="5"/>
    </row>
    <row r="999" ht="15">
      <c r="D999" s="5"/>
    </row>
    <row r="1000" ht="15">
      <c r="D1000" s="5"/>
    </row>
  </sheetData>
  <autoFilter ref="A1:K470">
    <filterColumn colId="1">
      <filters>
        <filter val="3"/>
        <filter val="4"/>
        <filter val="5"/>
      </filters>
    </filterColumn>
    <sortState ref="A2:K470">
      <sortCondition descending="1" ref="A2:A470"/>
    </sortState>
  </autoFilter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B3" activeCellId="0" sqref="B3"/>
    </sheetView>
  </sheetViews>
  <sheetFormatPr defaultColWidth="14.4296875" defaultRowHeight="15" customHeight="1"/>
  <cols>
    <col customWidth="1" min="1" max="1" style="1" width="81.299999999999997"/>
    <col customWidth="1" min="2" max="2" style="1" width="14.140000000000001"/>
    <col customWidth="1" min="3" max="3" style="1" width="11.43"/>
    <col customWidth="1" min="4" max="5" style="1" width="14.140000000000001"/>
  </cols>
  <sheetData>
    <row r="1" ht="15">
      <c r="A1" s="6" t="s">
        <v>1</v>
      </c>
      <c r="B1" s="7" t="s">
        <v>1997</v>
      </c>
      <c r="C1" s="7" t="s">
        <v>1998</v>
      </c>
      <c r="D1" s="7" t="s">
        <v>1999</v>
      </c>
      <c r="E1" s="7" t="s">
        <v>2000</v>
      </c>
      <c r="F1" s="6" t="s">
        <v>4</v>
      </c>
      <c r="G1" s="6" t="s">
        <v>5</v>
      </c>
      <c r="H1" s="1" t="s">
        <v>1985</v>
      </c>
      <c r="I1" s="1" t="s">
        <v>2001</v>
      </c>
    </row>
    <row r="2" ht="15" hidden="1">
      <c r="A2" s="6" t="s">
        <v>532</v>
      </c>
      <c r="B2" s="8">
        <f t="shared" ref="B2:B3" si="27">FLOOR(F2/1000,1)</f>
        <v>10</v>
      </c>
      <c r="C2" s="8"/>
      <c r="D2" s="8">
        <f>VLOOKUP(A2,fonds!$B$2:$F$495,4,FALSE())</f>
        <v>10000</v>
      </c>
      <c r="E2" s="8">
        <f>VLOOKUP($A2,fonds!$B$2:$F$495,5,FALSE())</f>
        <v>16001223</v>
      </c>
      <c r="F2" s="8">
        <v>10000</v>
      </c>
      <c r="G2" s="8">
        <v>16001223</v>
      </c>
      <c r="H2" s="9">
        <f t="shared" ref="H2:H9" si="28">G2-F2</f>
        <v>15991223</v>
      </c>
      <c r="I2" s="1" t="s">
        <v>2002</v>
      </c>
    </row>
    <row r="3" ht="15" hidden="1">
      <c r="A3" s="6" t="s">
        <v>1059</v>
      </c>
      <c r="B3" s="8">
        <f t="shared" si="27"/>
        <v>1640</v>
      </c>
      <c r="C3" s="8"/>
      <c r="D3" s="8">
        <f>VLOOKUP(A3,fonds!$B$2:$F$495,4,FALSE())</f>
        <v>1640729</v>
      </c>
      <c r="E3" s="8">
        <f>VLOOKUP($A3,fonds!$B$2:$F$495,5,FALSE())</f>
        <v>17930129</v>
      </c>
      <c r="F3" s="8">
        <v>1640729</v>
      </c>
      <c r="G3" s="8">
        <v>17930129</v>
      </c>
      <c r="H3" s="9">
        <f t="shared" si="28"/>
        <v>16289400</v>
      </c>
      <c r="I3" s="1" t="s">
        <v>2002</v>
      </c>
    </row>
    <row r="4" ht="15">
      <c r="A4" s="6" t="s">
        <v>1851</v>
      </c>
      <c r="B4" s="8">
        <f t="shared" ref="B4:B9" si="29">FLOOR(F4/10000,1)</f>
        <v>748</v>
      </c>
      <c r="C4" s="8">
        <f t="shared" ref="C4:C9" si="30">FLOOR(G4/10000,1)</f>
        <v>1398</v>
      </c>
      <c r="D4" s="8">
        <f>VLOOKUP(A4,fonds!$B$2:$F$495,4,FALSE())</f>
        <v>7480908</v>
      </c>
      <c r="E4" s="8">
        <f>VLOOKUP($A4,fonds!$B$2:$F$495,5,FALSE())</f>
        <v>13980413</v>
      </c>
      <c r="F4" s="10">
        <v>7480908</v>
      </c>
      <c r="G4" s="10">
        <v>13980413</v>
      </c>
      <c r="H4" s="1">
        <f t="shared" si="28"/>
        <v>6499505</v>
      </c>
    </row>
    <row r="5" ht="15">
      <c r="A5" s="6" t="s">
        <v>1511</v>
      </c>
      <c r="B5" s="8">
        <f t="shared" si="29"/>
        <v>790</v>
      </c>
      <c r="C5" s="8">
        <f t="shared" si="30"/>
        <v>1398</v>
      </c>
      <c r="D5" s="8">
        <f>VLOOKUP(A5,fonds!$B$2:$F$495,4,FALSE())</f>
        <v>7900714</v>
      </c>
      <c r="E5" s="8">
        <f>VLOOKUP($A5,fonds!$B$2:$F$495,5,FALSE())</f>
        <v>13980723</v>
      </c>
      <c r="F5" s="10">
        <v>7900714</v>
      </c>
      <c r="G5" s="10">
        <v>13980723</v>
      </c>
      <c r="H5" s="1">
        <f t="shared" si="28"/>
        <v>6080009</v>
      </c>
    </row>
    <row r="6" ht="15">
      <c r="A6" s="6" t="s">
        <v>1131</v>
      </c>
      <c r="B6" s="8">
        <f t="shared" si="29"/>
        <v>790</v>
      </c>
      <c r="C6" s="8">
        <f t="shared" si="30"/>
        <v>1801</v>
      </c>
      <c r="D6" s="8">
        <f>VLOOKUP(A6,fonds!$B$2:$F$495,4,FALSE())</f>
        <v>7909999</v>
      </c>
      <c r="E6" s="8">
        <f>VLOOKUP($A6,fonds!$B$2:$F$495,5,FALSE())</f>
        <v>18011031</v>
      </c>
      <c r="F6" s="10">
        <v>7909999</v>
      </c>
      <c r="G6" s="10">
        <v>18011031</v>
      </c>
      <c r="H6" s="1">
        <f t="shared" si="28"/>
        <v>10101032</v>
      </c>
    </row>
    <row r="7" ht="15">
      <c r="A7" s="6" t="s">
        <v>1127</v>
      </c>
      <c r="B7" s="8">
        <f t="shared" si="29"/>
        <v>794</v>
      </c>
      <c r="C7" s="8">
        <f t="shared" si="30"/>
        <v>1800</v>
      </c>
      <c r="D7" s="8">
        <f>VLOOKUP(A7,fonds!$B$2:$F$495,4,FALSE())</f>
        <v>7940222</v>
      </c>
      <c r="E7" s="8">
        <f>VLOOKUP($A7,fonds!$B$2:$F$495,5,FALSE())</f>
        <v>18000125</v>
      </c>
      <c r="F7" s="10">
        <v>7940222</v>
      </c>
      <c r="G7" s="10">
        <v>18000125</v>
      </c>
      <c r="H7" s="1">
        <f t="shared" si="28"/>
        <v>10059903</v>
      </c>
    </row>
    <row r="8" ht="15">
      <c r="A8" s="6" t="s">
        <v>1919</v>
      </c>
      <c r="B8" s="8">
        <f t="shared" si="29"/>
        <v>816</v>
      </c>
      <c r="C8" s="8">
        <f t="shared" si="30"/>
        <v>1398</v>
      </c>
      <c r="D8" s="8">
        <f>VLOOKUP(A8,fonds!$B$2:$F$495,4,FALSE())</f>
        <v>8161117</v>
      </c>
      <c r="E8" s="8">
        <f>VLOOKUP($A8,fonds!$B$2:$F$495,5,FALSE())</f>
        <v>13981114</v>
      </c>
      <c r="F8" s="10">
        <v>8161117</v>
      </c>
      <c r="G8" s="10">
        <v>13981114</v>
      </c>
      <c r="H8" s="1">
        <f t="shared" si="28"/>
        <v>5819997</v>
      </c>
    </row>
    <row r="9" ht="15">
      <c r="A9" s="6" t="s">
        <v>197</v>
      </c>
      <c r="B9" s="8">
        <f t="shared" si="29"/>
        <v>839</v>
      </c>
      <c r="C9" s="8">
        <f t="shared" si="30"/>
        <v>839</v>
      </c>
      <c r="D9" s="8">
        <f>VLOOKUP(A9,fonds!$B$2:$F$495,4,FALSE())</f>
        <v>8390421</v>
      </c>
      <c r="E9" s="8">
        <f>VLOOKUP($A9,fonds!$B$2:$F$495,5,FALSE())</f>
        <v>8390421</v>
      </c>
      <c r="F9" s="10">
        <v>8390421</v>
      </c>
      <c r="G9" s="10">
        <v>8390421</v>
      </c>
      <c r="H9" s="1">
        <f t="shared" si="28"/>
        <v>0</v>
      </c>
    </row>
    <row r="10" ht="15">
      <c r="A10" s="6" t="s">
        <v>520</v>
      </c>
      <c r="B10" s="8">
        <f t="shared" ref="B10:B73" si="31">FLOOR(F10/10000,1)</f>
        <v>860</v>
      </c>
      <c r="C10" s="8">
        <f t="shared" ref="C10:C73" si="32">FLOOR(G10/10000,1)</f>
        <v>1400</v>
      </c>
      <c r="D10" s="8">
        <f>VLOOKUP(A10,fonds!$B$2:$F$495,4,FALSE())</f>
        <v>8600508</v>
      </c>
      <c r="E10" s="8">
        <f>VLOOKUP($A10,fonds!$B$2:$F$495,5,FALSE())</f>
        <v>14001129</v>
      </c>
      <c r="F10" s="10">
        <v>8600508</v>
      </c>
      <c r="G10" s="10">
        <v>14001129</v>
      </c>
      <c r="H10" s="1">
        <f t="shared" ref="H10:H73" si="33">G10-F10</f>
        <v>5400621</v>
      </c>
    </row>
    <row r="11" ht="15">
      <c r="A11" s="6" t="s">
        <v>667</v>
      </c>
      <c r="B11" s="8">
        <f t="shared" si="31"/>
        <v>861</v>
      </c>
      <c r="C11" s="8">
        <f t="shared" si="32"/>
        <v>1500</v>
      </c>
      <c r="D11" s="8">
        <f>VLOOKUP(A11,fonds!$B$2:$F$495,4,FALSE())</f>
        <v>8610306</v>
      </c>
      <c r="E11" s="8">
        <f>VLOOKUP($A11,fonds!$B$2:$F$495,5,FALSE())</f>
        <v>15001103</v>
      </c>
      <c r="F11" s="10">
        <v>8610306</v>
      </c>
      <c r="G11" s="10">
        <v>15001103</v>
      </c>
      <c r="H11" s="1">
        <f t="shared" si="33"/>
        <v>6390797</v>
      </c>
    </row>
    <row r="12" ht="15">
      <c r="A12" s="6" t="s">
        <v>1695</v>
      </c>
      <c r="B12" s="8">
        <f t="shared" si="31"/>
        <v>884</v>
      </c>
      <c r="C12" s="8">
        <f t="shared" si="32"/>
        <v>1390</v>
      </c>
      <c r="D12" s="8">
        <f>VLOOKUP(A12,fonds!$B$2:$F$495,4,FALSE())</f>
        <v>8840331</v>
      </c>
      <c r="E12" s="8">
        <f>VLOOKUP($A12,fonds!$B$2:$F$495,5,FALSE())</f>
        <v>13900930</v>
      </c>
      <c r="F12" s="10">
        <v>8840331</v>
      </c>
      <c r="G12" s="10">
        <v>13900930</v>
      </c>
      <c r="H12" s="1">
        <f t="shared" si="33"/>
        <v>5060599</v>
      </c>
    </row>
    <row r="13" ht="15">
      <c r="A13" s="6" t="s">
        <v>1323</v>
      </c>
      <c r="B13" s="8">
        <f t="shared" si="31"/>
        <v>886</v>
      </c>
      <c r="C13" s="8">
        <f t="shared" si="32"/>
        <v>1600</v>
      </c>
      <c r="D13" s="8">
        <f>VLOOKUP(A13,fonds!$B$2:$F$495,4,FALSE())</f>
        <v>8860817</v>
      </c>
      <c r="E13" s="8">
        <f>VLOOKUP($A13,fonds!$B$2:$F$495,5,FALSE())</f>
        <v>16000621</v>
      </c>
      <c r="F13" s="10">
        <v>8860817</v>
      </c>
      <c r="G13" s="10">
        <v>16000621</v>
      </c>
      <c r="H13" s="1">
        <f t="shared" si="33"/>
        <v>7139804</v>
      </c>
    </row>
    <row r="14" ht="15">
      <c r="A14" s="6" t="s">
        <v>253</v>
      </c>
      <c r="B14" s="8">
        <f t="shared" si="31"/>
        <v>909</v>
      </c>
      <c r="C14" s="8">
        <f t="shared" si="32"/>
        <v>909</v>
      </c>
      <c r="D14" s="8">
        <f>VLOOKUP(A14,fonds!$B$2:$F$495,4,FALSE())</f>
        <v>9090219</v>
      </c>
      <c r="E14" s="8">
        <f>VLOOKUP($A14,fonds!$B$2:$F$495,5,FALSE())</f>
        <v>9090219</v>
      </c>
      <c r="F14" s="10">
        <v>9090219</v>
      </c>
      <c r="G14" s="10">
        <v>9090219</v>
      </c>
      <c r="H14" s="1">
        <f t="shared" si="33"/>
        <v>0</v>
      </c>
      <c r="I14" s="1" t="s">
        <v>2002</v>
      </c>
    </row>
    <row r="15" ht="15">
      <c r="A15" s="6" t="s">
        <v>1927</v>
      </c>
      <c r="B15" s="8">
        <f t="shared" si="31"/>
        <v>911</v>
      </c>
      <c r="C15" s="8">
        <f t="shared" si="32"/>
        <v>1675</v>
      </c>
      <c r="D15" s="8">
        <f>VLOOKUP(A15,fonds!$B$2:$F$495,4,FALSE())</f>
        <v>9110327</v>
      </c>
      <c r="E15" s="8">
        <f>VLOOKUP($A15,fonds!$B$2:$F$495,5,FALSE())</f>
        <v>16750108</v>
      </c>
      <c r="F15" s="8">
        <v>9110327</v>
      </c>
      <c r="G15" s="11">
        <v>16750108</v>
      </c>
      <c r="H15" s="9">
        <f t="shared" si="33"/>
        <v>7639781</v>
      </c>
    </row>
    <row r="16" ht="15">
      <c r="A16" s="6" t="s">
        <v>1351</v>
      </c>
      <c r="B16" s="8">
        <f t="shared" si="31"/>
        <v>921</v>
      </c>
      <c r="C16" s="8">
        <f t="shared" si="32"/>
        <v>1686</v>
      </c>
      <c r="D16" s="8">
        <f>VLOOKUP(A16,fonds!$B$2:$F$495,4,FALSE())</f>
        <v>9211012</v>
      </c>
      <c r="E16" s="8">
        <f>VLOOKUP($A16,fonds!$B$2:$F$495,5,FALSE())</f>
        <v>16860820</v>
      </c>
      <c r="F16" s="10">
        <v>9211012</v>
      </c>
      <c r="G16" s="10">
        <v>16860820</v>
      </c>
      <c r="H16" s="1">
        <f t="shared" si="33"/>
        <v>7649808</v>
      </c>
    </row>
    <row r="17" ht="15">
      <c r="A17" s="6" t="s">
        <v>1699</v>
      </c>
      <c r="B17" s="8">
        <f t="shared" si="31"/>
        <v>943</v>
      </c>
      <c r="C17" s="8">
        <f t="shared" si="32"/>
        <v>1398</v>
      </c>
      <c r="D17" s="8">
        <f>VLOOKUP(A17,fonds!$B$2:$F$495,4,FALSE())</f>
        <v>9431231</v>
      </c>
      <c r="E17" s="8">
        <f>VLOOKUP($A17,fonds!$B$2:$F$495,5,FALSE())</f>
        <v>13980809</v>
      </c>
      <c r="F17" s="10">
        <v>9431231</v>
      </c>
      <c r="G17" s="10">
        <v>13980809</v>
      </c>
      <c r="H17" s="1">
        <f t="shared" si="33"/>
        <v>4549578</v>
      </c>
    </row>
    <row r="18" ht="15">
      <c r="A18" s="6" t="s">
        <v>1707</v>
      </c>
      <c r="B18" s="8">
        <f t="shared" si="31"/>
        <v>945</v>
      </c>
      <c r="C18" s="8">
        <f t="shared" si="32"/>
        <v>1395</v>
      </c>
      <c r="D18" s="8">
        <f>VLOOKUP(A18,fonds!$B$2:$F$495,4,FALSE())</f>
        <v>9451115</v>
      </c>
      <c r="E18" s="8">
        <f>VLOOKUP($A18,fonds!$B$2:$F$495,5,FALSE())</f>
        <v>13950108</v>
      </c>
      <c r="F18" s="10">
        <v>9451115</v>
      </c>
      <c r="G18" s="10">
        <v>13950108</v>
      </c>
      <c r="H18" s="1">
        <f t="shared" si="33"/>
        <v>4498993</v>
      </c>
    </row>
    <row r="19" ht="15">
      <c r="A19" s="6" t="s">
        <v>1375</v>
      </c>
      <c r="B19" s="8">
        <f t="shared" si="31"/>
        <v>951</v>
      </c>
      <c r="C19" s="8">
        <f t="shared" si="32"/>
        <v>1631</v>
      </c>
      <c r="D19" s="8">
        <f>VLOOKUP(A19,fonds!$B$2:$F$495,4,FALSE())</f>
        <v>9510825</v>
      </c>
      <c r="E19" s="8">
        <f>VLOOKUP($A19,fonds!$B$2:$F$495,5,FALSE())</f>
        <v>16310717</v>
      </c>
      <c r="F19" s="10">
        <v>9510825</v>
      </c>
      <c r="G19" s="10">
        <v>16310717</v>
      </c>
      <c r="H19" s="1">
        <f t="shared" si="33"/>
        <v>6799892</v>
      </c>
    </row>
    <row r="20" ht="15">
      <c r="A20" s="6" t="s">
        <v>1443</v>
      </c>
      <c r="B20" s="8">
        <f t="shared" si="31"/>
        <v>960</v>
      </c>
      <c r="C20" s="8">
        <f t="shared" si="32"/>
        <v>1398</v>
      </c>
      <c r="D20" s="8">
        <f>VLOOKUP(A20,fonds!$B$2:$F$495,4,FALSE())</f>
        <v>9600424</v>
      </c>
      <c r="E20" s="8">
        <f>VLOOKUP($A20,fonds!$B$2:$F$495,5,FALSE())</f>
        <v>13981017</v>
      </c>
      <c r="F20" s="10">
        <v>9600424</v>
      </c>
      <c r="G20" s="10">
        <v>13981017</v>
      </c>
      <c r="H20" s="1">
        <f t="shared" si="33"/>
        <v>4380593</v>
      </c>
    </row>
    <row r="21" ht="15">
      <c r="A21" s="6" t="s">
        <v>1343</v>
      </c>
      <c r="B21" s="8">
        <f t="shared" si="31"/>
        <v>963</v>
      </c>
      <c r="C21" s="8">
        <f t="shared" si="32"/>
        <v>1717</v>
      </c>
      <c r="D21" s="8">
        <f>VLOOKUP(A21,fonds!$B$2:$F$495,4,FALSE())</f>
        <v>9630624</v>
      </c>
      <c r="E21" s="8">
        <f>VLOOKUP($A21,fonds!$B$2:$F$495,5,FALSE())</f>
        <v>17170605</v>
      </c>
      <c r="F21" s="10">
        <v>9630624</v>
      </c>
      <c r="G21" s="10">
        <v>17170605</v>
      </c>
      <c r="H21" s="1">
        <f t="shared" si="33"/>
        <v>7539981</v>
      </c>
    </row>
    <row r="22" ht="15">
      <c r="A22" s="6" t="s">
        <v>1559</v>
      </c>
      <c r="B22" s="8">
        <f t="shared" si="31"/>
        <v>969</v>
      </c>
      <c r="C22" s="8">
        <f t="shared" si="32"/>
        <v>1398</v>
      </c>
      <c r="D22" s="8">
        <f>VLOOKUP(A22,fonds!$B$2:$F$495,4,FALSE())</f>
        <v>9690708</v>
      </c>
      <c r="E22" s="8">
        <f>VLOOKUP($A22,fonds!$B$2:$F$495,5,FALSE())</f>
        <v>13981227</v>
      </c>
      <c r="F22" s="10">
        <v>9690708</v>
      </c>
      <c r="G22" s="10">
        <v>13981227</v>
      </c>
      <c r="H22" s="1">
        <f t="shared" si="33"/>
        <v>4290519</v>
      </c>
    </row>
    <row r="23" ht="15">
      <c r="A23" s="6" t="s">
        <v>1379</v>
      </c>
      <c r="B23" s="8">
        <f t="shared" si="31"/>
        <v>986</v>
      </c>
      <c r="C23" s="8">
        <f t="shared" si="32"/>
        <v>1377</v>
      </c>
      <c r="D23" s="8">
        <f>VLOOKUP(A23,fonds!$B$2:$F$495,4,FALSE())</f>
        <v>9861219</v>
      </c>
      <c r="E23" s="8">
        <f>VLOOKUP($A23,fonds!$B$2:$F$495,5,FALSE())</f>
        <v>13770510</v>
      </c>
      <c r="F23" s="10">
        <v>9861219</v>
      </c>
      <c r="G23" s="10">
        <v>13770510</v>
      </c>
      <c r="H23" s="1">
        <f t="shared" si="33"/>
        <v>3909291</v>
      </c>
    </row>
    <row r="24" ht="15">
      <c r="A24" s="6" t="s">
        <v>1483</v>
      </c>
      <c r="B24" s="8">
        <f t="shared" si="31"/>
        <v>989</v>
      </c>
      <c r="C24" s="8">
        <f t="shared" si="32"/>
        <v>1398</v>
      </c>
      <c r="D24" s="8">
        <f>VLOOKUP(A24,fonds!$B$2:$F$495,4,FALSE())</f>
        <v>9890331</v>
      </c>
      <c r="E24" s="8">
        <f>VLOOKUP($A24,fonds!$B$2:$F$495,5,FALSE())</f>
        <v>13981016</v>
      </c>
      <c r="F24" s="10">
        <v>9890331</v>
      </c>
      <c r="G24" s="10">
        <v>13981016</v>
      </c>
      <c r="H24" s="1">
        <f t="shared" si="33"/>
        <v>4090685</v>
      </c>
    </row>
    <row r="25" ht="15" hidden="1">
      <c r="A25" s="6" t="s">
        <v>879</v>
      </c>
      <c r="B25" s="8">
        <f t="shared" si="31"/>
        <v>993</v>
      </c>
      <c r="C25" s="8">
        <f t="shared" si="32"/>
        <v>1948</v>
      </c>
      <c r="D25" s="8">
        <f>VLOOKUP(A25,fonds!$B$2:$F$495,4,FALSE())</f>
        <v>9930114</v>
      </c>
      <c r="E25" s="8">
        <f>VLOOKUP($A25,fonds!$B$2:$F$495,5,FALSE())</f>
        <v>19480408</v>
      </c>
      <c r="F25" s="10">
        <v>9930114</v>
      </c>
      <c r="G25" s="10">
        <v>19480408</v>
      </c>
      <c r="H25" s="1">
        <f t="shared" si="33"/>
        <v>9550294</v>
      </c>
    </row>
    <row r="26" ht="15" hidden="1">
      <c r="A26" s="6" t="s">
        <v>496</v>
      </c>
      <c r="B26" s="8">
        <f t="shared" si="31"/>
        <v>993</v>
      </c>
      <c r="C26" s="8">
        <f t="shared" si="32"/>
        <v>1600</v>
      </c>
      <c r="D26" s="8">
        <f>VLOOKUP(A26,fonds!$B$2:$F$495,4,FALSE())</f>
        <v>9931231</v>
      </c>
      <c r="E26" s="8">
        <f>VLOOKUP($A26,fonds!$B$2:$F$495,5,FALSE())</f>
        <v>16001211</v>
      </c>
      <c r="F26" s="10">
        <v>9931231</v>
      </c>
      <c r="G26" s="10">
        <v>16001211</v>
      </c>
      <c r="H26" s="1">
        <f t="shared" si="33"/>
        <v>6069980</v>
      </c>
    </row>
    <row r="27" ht="15" hidden="1">
      <c r="A27" s="6" t="s">
        <v>448</v>
      </c>
      <c r="B27" s="8">
        <f t="shared" si="31"/>
        <v>995</v>
      </c>
      <c r="C27" s="8">
        <f t="shared" si="32"/>
        <v>1784</v>
      </c>
      <c r="D27" s="8">
        <f>VLOOKUP(A27,fonds!$B$2:$F$495,4,FALSE())</f>
        <v>9959999</v>
      </c>
      <c r="E27" s="8">
        <f>VLOOKUP($A27,fonds!$B$2:$F$495,5,FALSE())</f>
        <v>17840321</v>
      </c>
      <c r="F27" s="10">
        <v>9959999</v>
      </c>
      <c r="G27" s="10">
        <v>17840321</v>
      </c>
      <c r="H27" s="1">
        <f t="shared" si="33"/>
        <v>7880322</v>
      </c>
    </row>
    <row r="28" ht="15" hidden="1">
      <c r="A28" s="6" t="s">
        <v>1951</v>
      </c>
      <c r="B28" s="8">
        <f t="shared" si="31"/>
        <v>997</v>
      </c>
      <c r="C28" s="8">
        <f t="shared" si="32"/>
        <v>1717</v>
      </c>
      <c r="D28" s="8">
        <f>VLOOKUP(A28,fonds!$B$2:$F$495,4,FALSE())</f>
        <v>9970112</v>
      </c>
      <c r="E28" s="8">
        <f>VLOOKUP($A28,fonds!$B$2:$F$495,5,FALSE())</f>
        <v>17170507</v>
      </c>
      <c r="F28" s="10">
        <v>9970112</v>
      </c>
      <c r="G28" s="10">
        <v>17170507</v>
      </c>
      <c r="H28" s="1">
        <f t="shared" si="33"/>
        <v>7200395</v>
      </c>
    </row>
    <row r="29" ht="15">
      <c r="A29" s="6" t="s">
        <v>1043</v>
      </c>
      <c r="B29" s="8">
        <f t="shared" si="31"/>
        <v>1001</v>
      </c>
      <c r="C29" s="8">
        <f t="shared" si="32"/>
        <v>1801</v>
      </c>
      <c r="D29" s="8">
        <f>VLOOKUP(A29,fonds!$B$2:$F$495,4,FALSE())</f>
        <v>10019999</v>
      </c>
      <c r="E29" s="8">
        <f>VLOOKUP($A29,fonds!$B$2:$F$495,5,FALSE())</f>
        <v>18010602</v>
      </c>
      <c r="F29" s="10">
        <v>10019999</v>
      </c>
      <c r="G29" s="10">
        <v>18010602</v>
      </c>
      <c r="H29" s="1">
        <f t="shared" si="33"/>
        <v>7990603</v>
      </c>
    </row>
    <row r="30" ht="15">
      <c r="A30" s="6" t="s">
        <v>552</v>
      </c>
      <c r="B30" s="8">
        <f t="shared" si="31"/>
        <v>1002</v>
      </c>
      <c r="C30" s="8">
        <f t="shared" si="32"/>
        <v>1002</v>
      </c>
      <c r="D30" s="8">
        <f>VLOOKUP(A30,fonds!$B$2:$F$495,4,FALSE())</f>
        <v>10020720</v>
      </c>
      <c r="E30" s="8">
        <f>VLOOKUP($A30,fonds!$B$2:$F$495,5,FALSE())</f>
        <v>10020720</v>
      </c>
      <c r="F30" s="10">
        <v>10020720</v>
      </c>
      <c r="G30" s="10">
        <v>10020720</v>
      </c>
      <c r="H30" s="1">
        <f t="shared" si="33"/>
        <v>0</v>
      </c>
      <c r="I30" s="1" t="s">
        <v>2002</v>
      </c>
    </row>
    <row r="31" ht="15">
      <c r="A31" s="6" t="s">
        <v>484</v>
      </c>
      <c r="B31" s="8">
        <f t="shared" si="31"/>
        <v>1002</v>
      </c>
      <c r="C31" s="8">
        <f t="shared" si="32"/>
        <v>1730</v>
      </c>
      <c r="D31" s="8">
        <f>VLOOKUP(A31,fonds!$B$2:$F$495,4,FALSE())</f>
        <v>10021101</v>
      </c>
      <c r="E31" s="8">
        <f>VLOOKUP($A31,fonds!$B$2:$F$495,5,FALSE())</f>
        <v>17300613</v>
      </c>
      <c r="F31" s="10">
        <v>10021101</v>
      </c>
      <c r="G31" s="10">
        <v>17300613</v>
      </c>
      <c r="H31" s="1">
        <f t="shared" si="33"/>
        <v>7279512</v>
      </c>
    </row>
    <row r="32" ht="15">
      <c r="A32" s="6" t="s">
        <v>556</v>
      </c>
      <c r="B32" s="8">
        <f t="shared" si="31"/>
        <v>1005</v>
      </c>
      <c r="C32" s="8">
        <f t="shared" si="32"/>
        <v>1981</v>
      </c>
      <c r="D32" s="8">
        <f>VLOOKUP(A32,fonds!$B$2:$F$495,4,FALSE())</f>
        <v>10051207</v>
      </c>
      <c r="E32" s="8">
        <f>VLOOKUP($A32,fonds!$B$2:$F$495,5,FALSE())</f>
        <v>19810403</v>
      </c>
      <c r="F32" s="10">
        <v>10051207</v>
      </c>
      <c r="G32" s="10">
        <v>19810403</v>
      </c>
      <c r="H32" s="1">
        <f t="shared" si="33"/>
        <v>9759196</v>
      </c>
    </row>
    <row r="33" ht="15">
      <c r="A33" s="6" t="s">
        <v>445</v>
      </c>
      <c r="B33" s="8">
        <f t="shared" si="31"/>
        <v>1006</v>
      </c>
      <c r="C33" s="8">
        <f t="shared" si="32"/>
        <v>1908</v>
      </c>
      <c r="D33" s="8">
        <f>VLOOKUP(A33,fonds!$B$2:$F$495,4,FALSE())</f>
        <v>10061207</v>
      </c>
      <c r="E33" s="8">
        <f>VLOOKUP($A33,fonds!$B$2:$F$495,5,FALSE())</f>
        <v>19080724</v>
      </c>
      <c r="F33" s="10">
        <v>10061207</v>
      </c>
      <c r="G33" s="10">
        <v>19080724</v>
      </c>
      <c r="H33" s="1">
        <f t="shared" si="33"/>
        <v>9019517</v>
      </c>
    </row>
    <row r="34" ht="15">
      <c r="A34" s="6" t="s">
        <v>1363</v>
      </c>
      <c r="B34" s="8">
        <f t="shared" si="31"/>
        <v>1007</v>
      </c>
      <c r="C34" s="8">
        <f t="shared" si="32"/>
        <v>1486</v>
      </c>
      <c r="D34" s="8">
        <f>VLOOKUP(A34,fonds!$B$2:$F$495,4,FALSE())</f>
        <v>10070423</v>
      </c>
      <c r="E34" s="8">
        <f>VLOOKUP($A34,fonds!$B$2:$F$495,5,FALSE())</f>
        <v>14860109</v>
      </c>
      <c r="F34" s="10">
        <v>10070423</v>
      </c>
      <c r="G34" s="10">
        <v>14860109</v>
      </c>
      <c r="H34" s="1">
        <f t="shared" si="33"/>
        <v>4789686</v>
      </c>
    </row>
    <row r="35" ht="15">
      <c r="A35" s="6" t="s">
        <v>1287</v>
      </c>
      <c r="B35" s="8">
        <f t="shared" si="31"/>
        <v>1007</v>
      </c>
      <c r="C35" s="8">
        <f t="shared" si="32"/>
        <v>1761</v>
      </c>
      <c r="D35" s="8">
        <f>VLOOKUP(A35,fonds!$B$2:$F$495,4,FALSE())</f>
        <v>10070527</v>
      </c>
      <c r="E35" s="8">
        <f>VLOOKUP($A35,fonds!$B$2:$F$495,5,FALSE())</f>
        <v>17610530</v>
      </c>
      <c r="F35" s="10">
        <v>10070527</v>
      </c>
      <c r="G35" s="10">
        <v>17610530</v>
      </c>
      <c r="H35" s="1">
        <f t="shared" si="33"/>
        <v>7540003</v>
      </c>
    </row>
    <row r="36" ht="15">
      <c r="A36" s="6" t="s">
        <v>1611</v>
      </c>
      <c r="B36" s="8">
        <f t="shared" si="31"/>
        <v>1007</v>
      </c>
      <c r="C36" s="8">
        <f t="shared" si="32"/>
        <v>1398</v>
      </c>
      <c r="D36" s="8">
        <f>VLOOKUP(A36,fonds!$B$2:$F$495,4,FALSE())</f>
        <v>10070930</v>
      </c>
      <c r="E36" s="8">
        <f>VLOOKUP($A36,fonds!$B$2:$F$495,5,FALSE())</f>
        <v>13981206</v>
      </c>
      <c r="F36" s="10">
        <v>10070930</v>
      </c>
      <c r="G36" s="10">
        <v>13981206</v>
      </c>
      <c r="H36" s="1">
        <f t="shared" si="33"/>
        <v>3910276</v>
      </c>
    </row>
    <row r="37" ht="15">
      <c r="A37" s="6" t="s">
        <v>1135</v>
      </c>
      <c r="B37" s="8">
        <f t="shared" si="31"/>
        <v>1010</v>
      </c>
      <c r="C37" s="8">
        <f t="shared" si="32"/>
        <v>1801</v>
      </c>
      <c r="D37" s="8">
        <f>VLOOKUP(A37,fonds!$B$2:$F$495,4,FALSE())</f>
        <v>10100419</v>
      </c>
      <c r="E37" s="8">
        <f>VLOOKUP($A37,fonds!$B$2:$F$495,5,FALSE())</f>
        <v>18010521</v>
      </c>
      <c r="F37" s="10">
        <v>10100419</v>
      </c>
      <c r="G37" s="10">
        <v>18010521</v>
      </c>
      <c r="H37" s="1">
        <f t="shared" si="33"/>
        <v>7910102</v>
      </c>
    </row>
    <row r="38" ht="15">
      <c r="A38" s="6" t="s">
        <v>1635</v>
      </c>
      <c r="B38" s="8">
        <f t="shared" si="31"/>
        <v>1015</v>
      </c>
      <c r="C38" s="8">
        <f t="shared" si="32"/>
        <v>1398</v>
      </c>
      <c r="D38" s="8">
        <f>VLOOKUP(A38,fonds!$B$2:$F$495,4,FALSE())</f>
        <v>10150531</v>
      </c>
      <c r="E38" s="8">
        <f>VLOOKUP($A38,fonds!$B$2:$F$495,5,FALSE())</f>
        <v>13980413</v>
      </c>
      <c r="F38" s="10">
        <v>10150531</v>
      </c>
      <c r="G38" s="10">
        <v>13980413</v>
      </c>
      <c r="H38" s="1">
        <f t="shared" si="33"/>
        <v>3829882</v>
      </c>
    </row>
    <row r="39" ht="15">
      <c r="A39" s="6" t="s">
        <v>1959</v>
      </c>
      <c r="B39" s="8">
        <f t="shared" si="31"/>
        <v>1015</v>
      </c>
      <c r="C39" s="8">
        <f t="shared" si="32"/>
        <v>1717</v>
      </c>
      <c r="D39" s="8">
        <f>VLOOKUP(A39,fonds!$B$2:$F$495,4,FALSE())</f>
        <v>10150601</v>
      </c>
      <c r="E39" s="8">
        <f>VLOOKUP($A39,fonds!$B$2:$F$495,5,FALSE())</f>
        <v>17170320</v>
      </c>
      <c r="F39" s="10">
        <v>10150601</v>
      </c>
      <c r="G39" s="10">
        <v>17170320</v>
      </c>
      <c r="H39" s="1">
        <f t="shared" si="33"/>
        <v>7019719</v>
      </c>
    </row>
    <row r="40" ht="15">
      <c r="A40" s="6" t="s">
        <v>1783</v>
      </c>
      <c r="B40" s="8">
        <f t="shared" si="31"/>
        <v>1017</v>
      </c>
      <c r="C40" s="8">
        <f t="shared" si="32"/>
        <v>1394</v>
      </c>
      <c r="D40" s="8">
        <f>VLOOKUP(A40,fonds!$B$2:$F$495,4,FALSE())</f>
        <v>10170630</v>
      </c>
      <c r="E40" s="8">
        <f>VLOOKUP($A40,fonds!$B$2:$F$495,5,FALSE())</f>
        <v>13941227</v>
      </c>
      <c r="F40" s="10">
        <v>10170630</v>
      </c>
      <c r="G40" s="10">
        <v>13941227</v>
      </c>
      <c r="H40" s="1">
        <f t="shared" si="33"/>
        <v>3770597</v>
      </c>
    </row>
    <row r="41" ht="15">
      <c r="A41" s="6" t="s">
        <v>1683</v>
      </c>
      <c r="B41" s="8">
        <f t="shared" si="31"/>
        <v>1019</v>
      </c>
      <c r="C41" s="8">
        <f t="shared" si="32"/>
        <v>1398</v>
      </c>
      <c r="D41" s="8">
        <f>VLOOKUP(A41,fonds!$B$2:$F$495,4,FALSE())</f>
        <v>10191213</v>
      </c>
      <c r="E41" s="8">
        <f>VLOOKUP($A41,fonds!$B$2:$F$495,5,FALSE())</f>
        <v>13981223</v>
      </c>
      <c r="F41" s="10">
        <v>10191213</v>
      </c>
      <c r="G41" s="10">
        <v>13981223</v>
      </c>
      <c r="H41" s="1">
        <f t="shared" si="33"/>
        <v>3790010</v>
      </c>
    </row>
    <row r="42" ht="15">
      <c r="A42" s="6" t="s">
        <v>1339</v>
      </c>
      <c r="B42" s="8">
        <f t="shared" si="31"/>
        <v>1025</v>
      </c>
      <c r="C42" s="8">
        <f t="shared" si="32"/>
        <v>1680</v>
      </c>
      <c r="D42" s="8">
        <f>VLOOKUP(A42,fonds!$B$2:$F$495,4,FALSE())</f>
        <v>10250831</v>
      </c>
      <c r="E42" s="8">
        <f>VLOOKUP($A42,fonds!$B$2:$F$495,5,FALSE())</f>
        <v>16800415</v>
      </c>
      <c r="F42" s="8">
        <v>10250831</v>
      </c>
      <c r="G42" s="11">
        <v>16800415</v>
      </c>
      <c r="H42" s="9">
        <f t="shared" si="33"/>
        <v>6549584</v>
      </c>
    </row>
    <row r="43" ht="15">
      <c r="A43" s="6" t="s">
        <v>1747</v>
      </c>
      <c r="B43" s="8">
        <f t="shared" si="31"/>
        <v>1030</v>
      </c>
      <c r="C43" s="8">
        <f t="shared" si="32"/>
        <v>1397</v>
      </c>
      <c r="D43" s="8">
        <f>VLOOKUP(A43,fonds!$B$2:$F$495,4,FALSE())</f>
        <v>10300331</v>
      </c>
      <c r="E43" s="8">
        <f>VLOOKUP($A43,fonds!$B$2:$F$495,5,FALSE())</f>
        <v>13970130</v>
      </c>
      <c r="F43" s="10">
        <v>10300331</v>
      </c>
      <c r="G43" s="10">
        <v>13970130</v>
      </c>
      <c r="H43" s="1">
        <f t="shared" si="33"/>
        <v>3669799</v>
      </c>
    </row>
    <row r="44" ht="15">
      <c r="A44" s="6" t="s">
        <v>1175</v>
      </c>
      <c r="B44" s="8">
        <f t="shared" si="31"/>
        <v>1036</v>
      </c>
      <c r="C44" s="8">
        <f t="shared" si="32"/>
        <v>1760</v>
      </c>
      <c r="D44" s="8">
        <f>VLOOKUP(A44,fonds!$B$2:$F$495,4,FALSE())</f>
        <v>10361112</v>
      </c>
      <c r="E44" s="8">
        <f>VLOOKUP($A44,fonds!$B$2:$F$495,5,FALSE())</f>
        <v>17601010</v>
      </c>
      <c r="F44" s="10">
        <v>10361112</v>
      </c>
      <c r="G44" s="10">
        <v>17601010</v>
      </c>
      <c r="H44" s="1">
        <f t="shared" si="33"/>
        <v>7239898</v>
      </c>
    </row>
    <row r="45" ht="15">
      <c r="A45" s="6" t="s">
        <v>1471</v>
      </c>
      <c r="B45" s="8">
        <f t="shared" si="31"/>
        <v>1040</v>
      </c>
      <c r="C45" s="8">
        <f t="shared" si="32"/>
        <v>1397</v>
      </c>
      <c r="D45" s="8">
        <f>VLOOKUP(A45,fonds!$B$2:$F$495,4,FALSE())</f>
        <v>10401104</v>
      </c>
      <c r="E45" s="8">
        <f>VLOOKUP($A45,fonds!$B$2:$F$495,5,FALSE())</f>
        <v>13970112</v>
      </c>
      <c r="F45" s="10">
        <v>10401104</v>
      </c>
      <c r="G45" s="10">
        <v>13970112</v>
      </c>
      <c r="H45" s="1">
        <f t="shared" si="33"/>
        <v>3569008</v>
      </c>
    </row>
    <row r="46" ht="15">
      <c r="A46" s="6" t="s">
        <v>747</v>
      </c>
      <c r="B46" s="8">
        <f t="shared" si="31"/>
        <v>1045</v>
      </c>
      <c r="C46" s="8">
        <f t="shared" si="32"/>
        <v>1908</v>
      </c>
      <c r="D46" s="8">
        <f>VLOOKUP(A46,fonds!$B$2:$F$495,4,FALSE())</f>
        <v>10451017</v>
      </c>
      <c r="E46" s="8">
        <f>VLOOKUP($A46,fonds!$B$2:$F$495,5,FALSE())</f>
        <v>19081126</v>
      </c>
      <c r="F46" s="10">
        <v>10451017</v>
      </c>
      <c r="G46" s="10">
        <v>19081126</v>
      </c>
      <c r="H46" s="1">
        <f t="shared" si="33"/>
        <v>8630109</v>
      </c>
    </row>
    <row r="47" ht="15">
      <c r="A47" s="6" t="s">
        <v>1631</v>
      </c>
      <c r="B47" s="8">
        <f t="shared" si="31"/>
        <v>1047</v>
      </c>
      <c r="C47" s="8">
        <f t="shared" si="32"/>
        <v>1398</v>
      </c>
      <c r="D47" s="8">
        <f>VLOOKUP(A47,fonds!$B$2:$F$495,4,FALSE())</f>
        <v>10470103</v>
      </c>
      <c r="E47" s="8">
        <f>VLOOKUP($A47,fonds!$B$2:$F$495,5,FALSE())</f>
        <v>13981128</v>
      </c>
      <c r="F47" s="10">
        <v>10470103</v>
      </c>
      <c r="G47" s="10">
        <v>13981128</v>
      </c>
      <c r="H47" s="1">
        <f t="shared" si="33"/>
        <v>3511025</v>
      </c>
    </row>
    <row r="48" ht="15">
      <c r="A48" s="6" t="s">
        <v>1291</v>
      </c>
      <c r="B48" s="8">
        <f t="shared" si="31"/>
        <v>1054</v>
      </c>
      <c r="C48" s="8">
        <f t="shared" si="32"/>
        <v>1801</v>
      </c>
      <c r="D48" s="8">
        <f>VLOOKUP(A48,fonds!$B$2:$F$495,4,FALSE())</f>
        <v>10540710</v>
      </c>
      <c r="E48" s="8">
        <f>VLOOKUP($A48,fonds!$B$2:$F$495,5,FALSE())</f>
        <v>18010917</v>
      </c>
      <c r="F48" s="10">
        <v>10540710</v>
      </c>
      <c r="G48" s="10">
        <v>18010917</v>
      </c>
      <c r="H48" s="1">
        <f t="shared" si="33"/>
        <v>7470207</v>
      </c>
    </row>
    <row r="49" ht="15">
      <c r="A49" s="6" t="s">
        <v>1403</v>
      </c>
      <c r="B49" s="8">
        <f t="shared" si="31"/>
        <v>1055</v>
      </c>
      <c r="C49" s="8">
        <f t="shared" si="32"/>
        <v>1522</v>
      </c>
      <c r="D49" s="8">
        <f>VLOOKUP(A49,fonds!$B$2:$F$495,4,FALSE())</f>
        <v>10551231</v>
      </c>
      <c r="E49" s="8">
        <f>VLOOKUP($A49,fonds!$B$2:$F$495,5,FALSE())</f>
        <v>15220916</v>
      </c>
      <c r="F49" s="10">
        <v>10551231</v>
      </c>
      <c r="G49" s="10">
        <v>15220916</v>
      </c>
      <c r="H49" s="1">
        <f t="shared" si="33"/>
        <v>4669685</v>
      </c>
    </row>
    <row r="50" ht="15">
      <c r="A50" s="6" t="s">
        <v>1543</v>
      </c>
      <c r="B50" s="8">
        <f t="shared" si="31"/>
        <v>1066</v>
      </c>
      <c r="C50" s="8">
        <f t="shared" si="32"/>
        <v>1397</v>
      </c>
      <c r="D50" s="8">
        <f>VLOOKUP(A50,fonds!$B$2:$F$495,4,FALSE())</f>
        <v>10660227</v>
      </c>
      <c r="E50" s="8">
        <f>VLOOKUP($A50,fonds!$B$2:$F$495,5,FALSE())</f>
        <v>13971211</v>
      </c>
      <c r="F50" s="10">
        <v>10660227</v>
      </c>
      <c r="G50" s="10">
        <v>13971211</v>
      </c>
      <c r="H50" s="1">
        <f t="shared" si="33"/>
        <v>3310984</v>
      </c>
    </row>
    <row r="51" ht="15">
      <c r="A51" s="6" t="s">
        <v>1491</v>
      </c>
      <c r="B51" s="8">
        <f t="shared" si="31"/>
        <v>1066</v>
      </c>
      <c r="C51" s="8">
        <f t="shared" si="32"/>
        <v>1398</v>
      </c>
      <c r="D51" s="8">
        <f>VLOOKUP(A51,fonds!$B$2:$F$495,4,FALSE())</f>
        <v>10661231</v>
      </c>
      <c r="E51" s="8">
        <f>VLOOKUP($A51,fonds!$B$2:$F$495,5,FALSE())</f>
        <v>13980130</v>
      </c>
      <c r="F51" s="10">
        <v>10661231</v>
      </c>
      <c r="G51" s="10">
        <v>13980130</v>
      </c>
      <c r="H51" s="1">
        <f t="shared" si="33"/>
        <v>3318899</v>
      </c>
    </row>
    <row r="52" ht="15">
      <c r="A52" s="6" t="s">
        <v>512</v>
      </c>
      <c r="B52" s="8">
        <f t="shared" si="31"/>
        <v>1072</v>
      </c>
      <c r="C52" s="8">
        <f t="shared" si="32"/>
        <v>1951</v>
      </c>
      <c r="D52" s="8">
        <f>VLOOKUP(A52,fonds!$B$2:$F$495,4,FALSE())</f>
        <v>10720819</v>
      </c>
      <c r="E52" s="8">
        <f>VLOOKUP($A52,fonds!$B$2:$F$495,5,FALSE())</f>
        <v>19510922</v>
      </c>
      <c r="F52" s="10">
        <v>10720819</v>
      </c>
      <c r="G52" s="10">
        <v>19510922</v>
      </c>
      <c r="H52" s="1">
        <f t="shared" si="33"/>
        <v>8790103</v>
      </c>
    </row>
    <row r="53" ht="15">
      <c r="A53" s="6" t="s">
        <v>1079</v>
      </c>
      <c r="B53" s="8">
        <f t="shared" si="31"/>
        <v>1073</v>
      </c>
      <c r="C53" s="8">
        <f t="shared" si="32"/>
        <v>1802</v>
      </c>
      <c r="D53" s="8">
        <f>VLOOKUP(A53,fonds!$B$2:$F$495,4,FALSE())</f>
        <v>10730303</v>
      </c>
      <c r="E53" s="8">
        <f>VLOOKUP($A53,fonds!$B$2:$F$495,5,FALSE())</f>
        <v>18020131</v>
      </c>
      <c r="F53" s="10">
        <v>10730303</v>
      </c>
      <c r="G53" s="10">
        <v>18020131</v>
      </c>
      <c r="H53" s="1">
        <f t="shared" si="33"/>
        <v>7289828</v>
      </c>
    </row>
    <row r="54" ht="15">
      <c r="A54" s="6" t="s">
        <v>1371</v>
      </c>
      <c r="B54" s="8">
        <f t="shared" si="31"/>
        <v>1075</v>
      </c>
      <c r="C54" s="8">
        <f t="shared" si="32"/>
        <v>1298</v>
      </c>
      <c r="D54" s="8">
        <f>VLOOKUP(A54,fonds!$B$2:$F$495,4,FALSE())</f>
        <v>10750212</v>
      </c>
      <c r="E54" s="8">
        <f>VLOOKUP($A54,fonds!$B$2:$F$495,5,FALSE())</f>
        <v>12980810</v>
      </c>
      <c r="F54" s="10">
        <v>10750212</v>
      </c>
      <c r="G54" s="10">
        <v>12980810</v>
      </c>
      <c r="H54" s="1">
        <f t="shared" si="33"/>
        <v>2230598</v>
      </c>
    </row>
    <row r="55" ht="15">
      <c r="A55" s="6" t="s">
        <v>1679</v>
      </c>
      <c r="B55" s="8">
        <f t="shared" si="31"/>
        <v>1075</v>
      </c>
      <c r="C55" s="8">
        <f t="shared" si="32"/>
        <v>1390</v>
      </c>
      <c r="D55" s="8">
        <f>VLOOKUP(A55,fonds!$B$2:$F$495,4,FALSE())</f>
        <v>10751001</v>
      </c>
      <c r="E55" s="8">
        <f>VLOOKUP($A55,fonds!$B$2:$F$495,5,FALSE())</f>
        <v>13900412</v>
      </c>
      <c r="F55" s="10">
        <v>10751001</v>
      </c>
      <c r="G55" s="10">
        <v>13900412</v>
      </c>
      <c r="H55" s="1">
        <f t="shared" si="33"/>
        <v>3149411</v>
      </c>
    </row>
    <row r="56" ht="15">
      <c r="A56" s="6" t="s">
        <v>1551</v>
      </c>
      <c r="B56" s="8">
        <f t="shared" si="31"/>
        <v>1078</v>
      </c>
      <c r="C56" s="8">
        <f t="shared" si="32"/>
        <v>1396</v>
      </c>
      <c r="D56" s="8">
        <f>VLOOKUP(A56,fonds!$B$2:$F$495,4,FALSE())</f>
        <v>10780827</v>
      </c>
      <c r="E56" s="8">
        <f>VLOOKUP($A56,fonds!$B$2:$F$495,5,FALSE())</f>
        <v>13960221</v>
      </c>
      <c r="F56" s="10">
        <v>10780827</v>
      </c>
      <c r="G56" s="10">
        <v>13960221</v>
      </c>
      <c r="H56" s="1">
        <f t="shared" si="33"/>
        <v>3179394</v>
      </c>
    </row>
    <row r="57" ht="15">
      <c r="A57" s="6" t="s">
        <v>1391</v>
      </c>
      <c r="B57" s="8">
        <f t="shared" si="31"/>
        <v>1082</v>
      </c>
      <c r="C57" s="8">
        <f t="shared" si="32"/>
        <v>1526</v>
      </c>
      <c r="D57" s="8">
        <f>VLOOKUP(A57,fonds!$B$2:$F$495,4,FALSE())</f>
        <v>10820429</v>
      </c>
      <c r="E57" s="8">
        <f>VLOOKUP($A57,fonds!$B$2:$F$495,5,FALSE())</f>
        <v>15260201</v>
      </c>
      <c r="F57" s="10">
        <v>10820429</v>
      </c>
      <c r="G57" s="10">
        <v>15260201</v>
      </c>
      <c r="H57" s="1">
        <f t="shared" si="33"/>
        <v>4439772</v>
      </c>
    </row>
    <row r="58" ht="15">
      <c r="A58" s="6" t="s">
        <v>1335</v>
      </c>
      <c r="B58" s="8">
        <f t="shared" si="31"/>
        <v>1082</v>
      </c>
      <c r="C58" s="8">
        <f t="shared" si="32"/>
        <v>1483</v>
      </c>
      <c r="D58" s="8">
        <f>VLOOKUP(A58,fonds!$B$2:$F$495,4,FALSE())</f>
        <v>10821218</v>
      </c>
      <c r="E58" s="8">
        <f>VLOOKUP($A58,fonds!$B$2:$F$495,5,FALSE())</f>
        <v>14831026</v>
      </c>
      <c r="F58" s="10">
        <v>10821218</v>
      </c>
      <c r="G58" s="10">
        <v>14831026</v>
      </c>
      <c r="H58" s="1">
        <f t="shared" si="33"/>
        <v>4009808</v>
      </c>
    </row>
    <row r="59" ht="15">
      <c r="A59" s="6" t="s">
        <v>1163</v>
      </c>
      <c r="B59" s="8">
        <f t="shared" si="31"/>
        <v>1093</v>
      </c>
      <c r="C59" s="8">
        <f t="shared" si="32"/>
        <v>1801</v>
      </c>
      <c r="D59" s="8">
        <f>VLOOKUP(A59,fonds!$B$2:$F$495,4,FALSE())</f>
        <v>10930101</v>
      </c>
      <c r="E59" s="8">
        <f>VLOOKUP($A59,fonds!$B$2:$F$495,5,FALSE())</f>
        <v>18010827</v>
      </c>
      <c r="F59" s="10">
        <v>10930101</v>
      </c>
      <c r="G59" s="10">
        <v>18010827</v>
      </c>
      <c r="H59" s="1">
        <f t="shared" si="33"/>
        <v>7080726</v>
      </c>
    </row>
    <row r="60" ht="15">
      <c r="A60" s="6" t="s">
        <v>1355</v>
      </c>
      <c r="B60" s="8">
        <f t="shared" si="31"/>
        <v>1093</v>
      </c>
      <c r="C60" s="8">
        <f t="shared" si="32"/>
        <v>1400</v>
      </c>
      <c r="D60" s="8">
        <f>VLOOKUP(A60,fonds!$B$2:$F$495,4,FALSE())</f>
        <v>10930606</v>
      </c>
      <c r="E60" s="8">
        <f>VLOOKUP($A60,fonds!$B$2:$F$495,5,FALSE())</f>
        <v>14000414</v>
      </c>
      <c r="F60" s="10">
        <v>10930606</v>
      </c>
      <c r="G60" s="10">
        <v>14000414</v>
      </c>
      <c r="H60" s="1">
        <f t="shared" si="33"/>
        <v>3069808</v>
      </c>
    </row>
    <row r="61" ht="15">
      <c r="A61" s="6" t="s">
        <v>452</v>
      </c>
      <c r="B61" s="8">
        <f t="shared" si="31"/>
        <v>1094</v>
      </c>
      <c r="C61" s="8">
        <f t="shared" si="32"/>
        <v>1478</v>
      </c>
      <c r="D61" s="8">
        <f>VLOOKUP(A61,fonds!$B$2:$F$495,4,FALSE())</f>
        <v>10940729</v>
      </c>
      <c r="E61" s="8">
        <f>VLOOKUP($A61,fonds!$B$2:$F$495,5,FALSE())</f>
        <v>14780523</v>
      </c>
      <c r="F61" s="10">
        <v>10940729</v>
      </c>
      <c r="G61" s="10">
        <v>14780523</v>
      </c>
      <c r="H61" s="1">
        <f t="shared" si="33"/>
        <v>3839794</v>
      </c>
    </row>
    <row r="62" ht="15">
      <c r="A62" s="6" t="s">
        <v>1567</v>
      </c>
      <c r="B62" s="8">
        <f t="shared" si="31"/>
        <v>1094</v>
      </c>
      <c r="C62" s="8">
        <f t="shared" si="32"/>
        <v>1403</v>
      </c>
      <c r="D62" s="8">
        <f>VLOOKUP(A62,fonds!$B$2:$F$495,4,FALSE())</f>
        <v>10941030</v>
      </c>
      <c r="E62" s="8">
        <f>VLOOKUP($A62,fonds!$B$2:$F$495,5,FALSE())</f>
        <v>14030310</v>
      </c>
      <c r="F62" s="10">
        <v>10941030</v>
      </c>
      <c r="G62" s="10">
        <v>14030310</v>
      </c>
      <c r="H62" s="1">
        <f t="shared" si="33"/>
        <v>3089280</v>
      </c>
    </row>
    <row r="63" ht="15">
      <c r="A63" s="6" t="s">
        <v>571</v>
      </c>
      <c r="B63" s="8">
        <f t="shared" si="31"/>
        <v>1095</v>
      </c>
      <c r="C63" s="8">
        <f t="shared" si="32"/>
        <v>1516</v>
      </c>
      <c r="D63" s="8">
        <f>VLOOKUP(A63,fonds!$B$2:$F$495,4,FALSE())</f>
        <v>10950308</v>
      </c>
      <c r="E63" s="8">
        <f>VLOOKUP($A63,fonds!$B$2:$F$495,5,FALSE())</f>
        <v>15160915</v>
      </c>
      <c r="F63" s="10">
        <v>10950308</v>
      </c>
      <c r="G63" s="10">
        <v>15160915</v>
      </c>
      <c r="H63" s="1">
        <f t="shared" si="33"/>
        <v>4210607</v>
      </c>
    </row>
    <row r="64" ht="15">
      <c r="A64" s="6" t="s">
        <v>1359</v>
      </c>
      <c r="B64" s="8">
        <f t="shared" si="31"/>
        <v>1096</v>
      </c>
      <c r="C64" s="8">
        <f t="shared" si="32"/>
        <v>1222</v>
      </c>
      <c r="D64" s="8">
        <f>VLOOKUP(A64,fonds!$B$2:$F$495,4,FALSE())</f>
        <v>10960408</v>
      </c>
      <c r="E64" s="8">
        <f>VLOOKUP($A64,fonds!$B$2:$F$495,5,FALSE())</f>
        <v>12220401</v>
      </c>
      <c r="F64" s="10">
        <v>10960408</v>
      </c>
      <c r="G64" s="10">
        <v>12220401</v>
      </c>
      <c r="H64" s="1">
        <f t="shared" si="33"/>
        <v>1259993</v>
      </c>
    </row>
    <row r="65" ht="15">
      <c r="A65" s="6" t="s">
        <v>575</v>
      </c>
      <c r="B65" s="8">
        <f t="shared" si="31"/>
        <v>1099</v>
      </c>
      <c r="C65" s="8">
        <f t="shared" si="32"/>
        <v>1658</v>
      </c>
      <c r="D65" s="8">
        <f>VLOOKUP(A65,fonds!$B$2:$F$495,4,FALSE())</f>
        <v>10990125</v>
      </c>
      <c r="E65" s="8">
        <f>VLOOKUP($A65,fonds!$B$2:$F$495,5,FALSE())</f>
        <v>16580920</v>
      </c>
      <c r="F65" s="10">
        <v>10990125</v>
      </c>
      <c r="G65" s="10">
        <v>16580920</v>
      </c>
      <c r="H65" s="1">
        <f t="shared" si="33"/>
        <v>5590795</v>
      </c>
    </row>
    <row r="66" ht="15">
      <c r="A66" s="6" t="s">
        <v>567</v>
      </c>
      <c r="B66" s="8">
        <f t="shared" si="31"/>
        <v>1099</v>
      </c>
      <c r="C66" s="8">
        <f t="shared" si="32"/>
        <v>1820</v>
      </c>
      <c r="D66" s="8">
        <f>VLOOKUP(A66,fonds!$B$2:$F$495,4,FALSE())</f>
        <v>10990326</v>
      </c>
      <c r="E66" s="8">
        <f>VLOOKUP($A66,fonds!$B$2:$F$495,5,FALSE())</f>
        <v>18200703</v>
      </c>
      <c r="F66" s="10">
        <v>10990326</v>
      </c>
      <c r="G66" s="10">
        <v>18200703</v>
      </c>
      <c r="H66" s="1">
        <f t="shared" si="33"/>
        <v>7210377</v>
      </c>
    </row>
    <row r="67" ht="15">
      <c r="A67" s="6" t="s">
        <v>377</v>
      </c>
      <c r="B67" s="8">
        <f t="shared" si="31"/>
        <v>1099</v>
      </c>
      <c r="C67" s="8">
        <f t="shared" si="32"/>
        <v>1666</v>
      </c>
      <c r="D67" s="8">
        <f>VLOOKUP(A67,fonds!$B$2:$F$495,4,FALSE())</f>
        <v>10990326</v>
      </c>
      <c r="E67" s="8">
        <f>VLOOKUP($A67,fonds!$B$2:$F$495,5,FALSE())</f>
        <v>16661018</v>
      </c>
      <c r="F67" s="10">
        <v>10990326</v>
      </c>
      <c r="G67" s="10">
        <v>16661018</v>
      </c>
      <c r="H67" s="1">
        <f t="shared" si="33"/>
        <v>5670692</v>
      </c>
    </row>
    <row r="68" ht="15">
      <c r="A68" s="6" t="s">
        <v>1867</v>
      </c>
      <c r="B68" s="8">
        <f t="shared" si="31"/>
        <v>1100</v>
      </c>
      <c r="C68" s="8">
        <f t="shared" si="32"/>
        <v>1397</v>
      </c>
      <c r="D68" s="8">
        <f>VLOOKUP(A68,fonds!$B$2:$F$495,4,FALSE())</f>
        <v>11001130</v>
      </c>
      <c r="E68" s="8">
        <f>VLOOKUP($A68,fonds!$B$2:$F$495,5,FALSE())</f>
        <v>13970925</v>
      </c>
      <c r="F68" s="10">
        <v>11001130</v>
      </c>
      <c r="G68" s="10">
        <v>13970925</v>
      </c>
      <c r="H68" s="1">
        <f t="shared" si="33"/>
        <v>2969795</v>
      </c>
    </row>
    <row r="69" ht="15">
      <c r="A69" s="6" t="s">
        <v>1319</v>
      </c>
      <c r="B69" s="8">
        <f t="shared" si="31"/>
        <v>1101</v>
      </c>
      <c r="C69" s="8">
        <f t="shared" si="32"/>
        <v>1699</v>
      </c>
      <c r="D69" s="8">
        <f>VLOOKUP(A69,fonds!$B$2:$F$495,4,FALSE())</f>
        <v>11010401</v>
      </c>
      <c r="E69" s="8">
        <f>VLOOKUP($A69,fonds!$B$2:$F$495,5,FALSE())</f>
        <v>16990101</v>
      </c>
      <c r="F69" s="10">
        <v>11010401</v>
      </c>
      <c r="G69" s="10">
        <v>16990101</v>
      </c>
      <c r="H69" s="1">
        <f t="shared" si="33"/>
        <v>5979700</v>
      </c>
    </row>
    <row r="70" ht="15">
      <c r="A70" s="6" t="s">
        <v>583</v>
      </c>
      <c r="B70" s="8">
        <f t="shared" si="31"/>
        <v>1102</v>
      </c>
      <c r="C70" s="8">
        <f t="shared" si="32"/>
        <v>1564</v>
      </c>
      <c r="D70" s="8">
        <f>VLOOKUP(A70,fonds!$B$2:$F$495,4,FALSE())</f>
        <v>11020503</v>
      </c>
      <c r="E70" s="8">
        <f>VLOOKUP($A70,fonds!$B$2:$F$495,5,FALSE())</f>
        <v>15640718</v>
      </c>
      <c r="F70" s="10">
        <v>11020503</v>
      </c>
      <c r="G70" s="10">
        <v>15640718</v>
      </c>
      <c r="H70" s="1">
        <f t="shared" si="33"/>
        <v>4620215</v>
      </c>
    </row>
    <row r="71" ht="15">
      <c r="A71" s="6" t="s">
        <v>421</v>
      </c>
      <c r="B71" s="8">
        <f t="shared" si="31"/>
        <v>1104</v>
      </c>
      <c r="C71" s="8">
        <f t="shared" si="32"/>
        <v>1802</v>
      </c>
      <c r="D71" s="8">
        <f>VLOOKUP(A71,fonds!$B$2:$F$495,4,FALSE())</f>
        <v>11040227</v>
      </c>
      <c r="E71" s="8">
        <f>VLOOKUP($A71,fonds!$B$2:$F$495,5,FALSE())</f>
        <v>18020520</v>
      </c>
      <c r="F71" s="10">
        <v>11040227</v>
      </c>
      <c r="G71" s="10">
        <v>18020520</v>
      </c>
      <c r="H71" s="1">
        <f t="shared" si="33"/>
        <v>6980293</v>
      </c>
    </row>
    <row r="72" ht="15">
      <c r="A72" s="6" t="s">
        <v>599</v>
      </c>
      <c r="B72" s="8">
        <f t="shared" si="31"/>
        <v>1106</v>
      </c>
      <c r="C72" s="8">
        <f t="shared" si="32"/>
        <v>1780</v>
      </c>
      <c r="D72" s="8">
        <f>VLOOKUP(A72,fonds!$B$2:$F$495,4,FALSE())</f>
        <v>11069999</v>
      </c>
      <c r="E72" s="8">
        <f>VLOOKUP($A72,fonds!$B$2:$F$495,5,FALSE())</f>
        <v>17800603</v>
      </c>
      <c r="F72" s="10">
        <v>11069999</v>
      </c>
      <c r="G72" s="10">
        <v>17800603</v>
      </c>
      <c r="H72" s="1">
        <f t="shared" si="33"/>
        <v>6730604</v>
      </c>
    </row>
    <row r="73" ht="15">
      <c r="A73" s="6" t="s">
        <v>209</v>
      </c>
      <c r="B73" s="8">
        <f t="shared" si="31"/>
        <v>1106</v>
      </c>
      <c r="C73" s="8">
        <f t="shared" si="32"/>
        <v>1601</v>
      </c>
      <c r="D73" s="8">
        <f>VLOOKUP(A73,fonds!$B$2:$F$495,4,FALSE())</f>
        <v>11069999</v>
      </c>
      <c r="E73" s="8">
        <f>VLOOKUP($A73,fonds!$B$2:$F$495,5,FALSE())</f>
        <v>16010102</v>
      </c>
      <c r="F73" s="10">
        <v>11069999</v>
      </c>
      <c r="G73" s="10">
        <v>16010102</v>
      </c>
      <c r="H73" s="1">
        <f t="shared" si="33"/>
        <v>4940103</v>
      </c>
    </row>
    <row r="74" ht="15">
      <c r="A74" s="6" t="s">
        <v>1771</v>
      </c>
      <c r="B74" s="8">
        <f t="shared" ref="B74:B99" si="34">FLOOR(F74/10000,1)</f>
        <v>1107</v>
      </c>
      <c r="C74" s="8">
        <f t="shared" ref="C74:C99" si="35">FLOOR(G74/10000,1)</f>
        <v>1397</v>
      </c>
      <c r="D74" s="8">
        <f>VLOOKUP(A74,fonds!$B$2:$F$495,4,FALSE())</f>
        <v>11070921</v>
      </c>
      <c r="E74" s="8">
        <f>VLOOKUP($A74,fonds!$B$2:$F$495,5,FALSE())</f>
        <v>13970913</v>
      </c>
      <c r="F74" s="10">
        <v>11070921</v>
      </c>
      <c r="G74" s="10">
        <v>13970913</v>
      </c>
      <c r="H74" s="1">
        <f t="shared" ref="H74:H99" si="36">G74-F74</f>
        <v>2899992</v>
      </c>
    </row>
    <row r="75" ht="15">
      <c r="A75" s="6" t="s">
        <v>1183</v>
      </c>
      <c r="B75" s="8">
        <f t="shared" si="34"/>
        <v>1109</v>
      </c>
      <c r="C75" s="8">
        <f t="shared" si="35"/>
        <v>1612</v>
      </c>
      <c r="D75" s="8">
        <f>VLOOKUP(A75,fonds!$B$2:$F$495,4,FALSE())</f>
        <v>11090414</v>
      </c>
      <c r="E75" s="8">
        <f>VLOOKUP($A75,fonds!$B$2:$F$495,5,FALSE())</f>
        <v>16121124</v>
      </c>
      <c r="F75" s="10">
        <v>11090414</v>
      </c>
      <c r="G75" s="10">
        <v>16121124</v>
      </c>
      <c r="H75" s="1">
        <f t="shared" si="36"/>
        <v>5030710</v>
      </c>
    </row>
    <row r="76" ht="15">
      <c r="A76" s="6" t="s">
        <v>548</v>
      </c>
      <c r="B76" s="8">
        <f t="shared" si="34"/>
        <v>1109</v>
      </c>
      <c r="C76" s="8">
        <f t="shared" si="35"/>
        <v>1959</v>
      </c>
      <c r="D76" s="8">
        <f>VLOOKUP(A76,fonds!$B$2:$F$495,4,FALSE())</f>
        <v>11090424</v>
      </c>
      <c r="E76" s="8">
        <f>VLOOKUP($A76,fonds!$B$2:$F$495,5,FALSE())</f>
        <v>19590510</v>
      </c>
      <c r="F76" s="10">
        <v>11090424</v>
      </c>
      <c r="G76" s="10">
        <v>19590510</v>
      </c>
      <c r="H76" s="1">
        <f t="shared" si="36"/>
        <v>8500086</v>
      </c>
    </row>
    <row r="77" ht="15">
      <c r="A77" s="6" t="s">
        <v>468</v>
      </c>
      <c r="B77" s="8">
        <f t="shared" si="34"/>
        <v>1112</v>
      </c>
      <c r="C77" s="8">
        <f t="shared" si="35"/>
        <v>1852</v>
      </c>
      <c r="D77" s="8">
        <f>VLOOKUP(A77,fonds!$B$2:$F$495,4,FALSE())</f>
        <v>11121231</v>
      </c>
      <c r="E77" s="8">
        <f>VLOOKUP($A77,fonds!$B$2:$F$495,5,FALSE())</f>
        <v>18521231</v>
      </c>
      <c r="F77" s="10">
        <v>11121231</v>
      </c>
      <c r="G77" s="10">
        <v>18521231</v>
      </c>
      <c r="H77" s="1">
        <f t="shared" si="36"/>
        <v>7400000</v>
      </c>
    </row>
    <row r="78" ht="15">
      <c r="A78" s="6" t="s">
        <v>1067</v>
      </c>
      <c r="B78" s="8">
        <f t="shared" si="34"/>
        <v>1114</v>
      </c>
      <c r="C78" s="8">
        <f t="shared" si="35"/>
        <v>1792</v>
      </c>
      <c r="D78" s="8">
        <f>VLOOKUP(A78,fonds!$B$2:$F$495,4,FALSE())</f>
        <v>11141231</v>
      </c>
      <c r="E78" s="8">
        <f>VLOOKUP($A78,fonds!$B$2:$F$495,5,FALSE())</f>
        <v>17920522</v>
      </c>
      <c r="F78" s="10">
        <v>11141231</v>
      </c>
      <c r="G78" s="10">
        <v>17920522</v>
      </c>
      <c r="H78" s="1">
        <f t="shared" si="36"/>
        <v>6779291</v>
      </c>
    </row>
    <row r="79" ht="15">
      <c r="A79" s="6" t="s">
        <v>1187</v>
      </c>
      <c r="B79" s="8">
        <f t="shared" si="34"/>
        <v>1115</v>
      </c>
      <c r="C79" s="8">
        <f t="shared" si="35"/>
        <v>1797</v>
      </c>
      <c r="D79" s="8">
        <f>VLOOKUP(A79,fonds!$B$2:$F$495,4,FALSE())</f>
        <v>11151101</v>
      </c>
      <c r="E79" s="8">
        <f>VLOOKUP($A79,fonds!$B$2:$F$495,5,FALSE())</f>
        <v>17970127</v>
      </c>
      <c r="F79" s="10">
        <v>11151101</v>
      </c>
      <c r="G79" s="10">
        <v>17970127</v>
      </c>
      <c r="H79" s="1">
        <f t="shared" si="36"/>
        <v>6819026</v>
      </c>
    </row>
    <row r="80" ht="15">
      <c r="A80" s="6" t="s">
        <v>831</v>
      </c>
      <c r="B80" s="8">
        <f t="shared" si="34"/>
        <v>1115</v>
      </c>
      <c r="C80" s="8">
        <f t="shared" si="35"/>
        <v>1526</v>
      </c>
      <c r="D80" s="8">
        <f>VLOOKUP(A80,fonds!$B$2:$F$495,4,FALSE())</f>
        <v>11151231</v>
      </c>
      <c r="E80" s="8">
        <f>VLOOKUP($A80,fonds!$B$2:$F$495,5,FALSE())</f>
        <v>15261123</v>
      </c>
      <c r="F80" s="10">
        <v>11151231</v>
      </c>
      <c r="G80" s="10">
        <v>15261123</v>
      </c>
      <c r="H80" s="1">
        <f t="shared" si="36"/>
        <v>4109892</v>
      </c>
    </row>
    <row r="81" ht="15">
      <c r="A81" s="6" t="s">
        <v>563</v>
      </c>
      <c r="B81" s="8">
        <f t="shared" si="34"/>
        <v>1122</v>
      </c>
      <c r="C81" s="8">
        <f t="shared" si="35"/>
        <v>1650</v>
      </c>
      <c r="D81" s="8">
        <f>VLOOKUP(A81,fonds!$B$2:$F$495,4,FALSE())</f>
        <v>11220123</v>
      </c>
      <c r="E81" s="8">
        <f>VLOOKUP($A81,fonds!$B$2:$F$495,5,FALSE())</f>
        <v>16500601</v>
      </c>
      <c r="F81" s="10">
        <v>11220123</v>
      </c>
      <c r="G81" s="10">
        <v>16500601</v>
      </c>
      <c r="H81" s="1">
        <f t="shared" si="36"/>
        <v>5280478</v>
      </c>
    </row>
    <row r="82" ht="15">
      <c r="A82" s="6" t="s">
        <v>257</v>
      </c>
      <c r="B82" s="8">
        <f t="shared" si="34"/>
        <v>1122</v>
      </c>
      <c r="C82" s="8">
        <f t="shared" si="35"/>
        <v>1588</v>
      </c>
      <c r="D82" s="8">
        <f>VLOOKUP(A82,fonds!$B$2:$F$495,4,FALSE())</f>
        <v>11220327</v>
      </c>
      <c r="E82" s="8">
        <f>VLOOKUP($A82,fonds!$B$2:$F$495,5,FALSE())</f>
        <v>15880503</v>
      </c>
      <c r="F82" s="10">
        <v>11220327</v>
      </c>
      <c r="G82" s="10">
        <v>15880503</v>
      </c>
      <c r="H82" s="1">
        <f t="shared" si="36"/>
        <v>4660176</v>
      </c>
    </row>
    <row r="83" ht="15">
      <c r="A83" s="6" t="s">
        <v>1367</v>
      </c>
      <c r="B83" s="8">
        <f t="shared" si="34"/>
        <v>1124</v>
      </c>
      <c r="C83" s="8">
        <f t="shared" si="35"/>
        <v>1556</v>
      </c>
      <c r="D83" s="8">
        <f>VLOOKUP(A83,fonds!$B$2:$F$495,4,FALSE())</f>
        <v>11240113</v>
      </c>
      <c r="E83" s="8">
        <f>VLOOKUP($A83,fonds!$B$2:$F$495,5,FALSE())</f>
        <v>15569999</v>
      </c>
      <c r="F83" s="10">
        <v>11240113</v>
      </c>
      <c r="G83" s="10">
        <v>15569999</v>
      </c>
      <c r="H83" s="1">
        <f t="shared" si="36"/>
        <v>4329886</v>
      </c>
    </row>
    <row r="84" ht="15">
      <c r="A84" s="6" t="s">
        <v>1627</v>
      </c>
      <c r="B84" s="8">
        <f t="shared" si="34"/>
        <v>1124</v>
      </c>
      <c r="C84" s="8">
        <f t="shared" si="35"/>
        <v>1398</v>
      </c>
      <c r="D84" s="8">
        <f>VLOOKUP(A84,fonds!$B$2:$F$495,4,FALSE())</f>
        <v>11241031</v>
      </c>
      <c r="E84" s="8">
        <f>VLOOKUP($A84,fonds!$B$2:$F$495,5,FALSE())</f>
        <v>13981110</v>
      </c>
      <c r="F84" s="10">
        <v>11241031</v>
      </c>
      <c r="G84" s="10">
        <v>13981110</v>
      </c>
      <c r="H84" s="1">
        <f t="shared" si="36"/>
        <v>2740079</v>
      </c>
    </row>
    <row r="85" ht="15">
      <c r="A85" s="6" t="s">
        <v>1963</v>
      </c>
      <c r="B85" s="8">
        <f t="shared" si="34"/>
        <v>1125</v>
      </c>
      <c r="C85" s="8">
        <f t="shared" si="35"/>
        <v>1641</v>
      </c>
      <c r="D85" s="8">
        <f>VLOOKUP(A85,fonds!$B$2:$F$495,4,FALSE())</f>
        <v>11250799</v>
      </c>
      <c r="E85" s="8">
        <f>VLOOKUP($A85,fonds!$B$2:$F$495,5,FALSE())</f>
        <v>16410703</v>
      </c>
      <c r="F85" s="10">
        <v>11250799</v>
      </c>
      <c r="G85" s="10">
        <v>16410703</v>
      </c>
      <c r="H85" s="1">
        <f t="shared" si="36"/>
        <v>5159904</v>
      </c>
    </row>
    <row r="86" ht="15">
      <c r="A86" s="6" t="s">
        <v>1587</v>
      </c>
      <c r="B86" s="8">
        <f t="shared" si="34"/>
        <v>1132</v>
      </c>
      <c r="C86" s="8">
        <f t="shared" si="35"/>
        <v>1378</v>
      </c>
      <c r="D86" s="8">
        <f>VLOOKUP(A86,fonds!$B$2:$F$495,4,FALSE())</f>
        <v>11320626</v>
      </c>
      <c r="E86" s="8">
        <f>VLOOKUP($A86,fonds!$B$2:$F$495,5,FALSE())</f>
        <v>13781114</v>
      </c>
      <c r="F86" s="10">
        <v>11320626</v>
      </c>
      <c r="G86" s="10">
        <v>13781114</v>
      </c>
      <c r="H86" s="1">
        <f t="shared" si="36"/>
        <v>2460488</v>
      </c>
    </row>
    <row r="87" ht="15">
      <c r="A87" s="6" t="s">
        <v>1055</v>
      </c>
      <c r="B87" s="8">
        <f t="shared" si="34"/>
        <v>1133</v>
      </c>
      <c r="C87" s="8">
        <f t="shared" si="35"/>
        <v>1796</v>
      </c>
      <c r="D87" s="8">
        <f>VLOOKUP(A87,fonds!$B$2:$F$495,4,FALSE())</f>
        <v>11331010</v>
      </c>
      <c r="E87" s="8">
        <f>VLOOKUP($A87,fonds!$B$2:$F$495,5,FALSE())</f>
        <v>17960609</v>
      </c>
      <c r="F87" s="10">
        <v>11331010</v>
      </c>
      <c r="G87" s="10">
        <v>17960609</v>
      </c>
      <c r="H87" s="1">
        <f t="shared" si="36"/>
        <v>6629599</v>
      </c>
    </row>
    <row r="88" ht="15">
      <c r="A88" s="6" t="s">
        <v>1711</v>
      </c>
      <c r="B88" s="8">
        <f t="shared" si="34"/>
        <v>1134</v>
      </c>
      <c r="C88" s="8">
        <f t="shared" si="35"/>
        <v>1457</v>
      </c>
      <c r="D88" s="8">
        <f>VLOOKUP(A88,fonds!$B$2:$F$495,4,FALSE())</f>
        <v>11340428</v>
      </c>
      <c r="E88" s="8">
        <f>VLOOKUP($A88,fonds!$B$2:$F$495,5,FALSE())</f>
        <v>14570502</v>
      </c>
      <c r="F88" s="10">
        <v>11340428</v>
      </c>
      <c r="G88" s="10">
        <v>14570502</v>
      </c>
      <c r="H88" s="1">
        <f t="shared" si="36"/>
        <v>3230074</v>
      </c>
    </row>
    <row r="89" ht="15">
      <c r="A89" s="6" t="s">
        <v>1151</v>
      </c>
      <c r="B89" s="8">
        <f t="shared" si="34"/>
        <v>1137</v>
      </c>
      <c r="C89" s="8">
        <f t="shared" si="35"/>
        <v>1800</v>
      </c>
      <c r="D89" s="8">
        <f>VLOOKUP(A89,fonds!$B$2:$F$495,4,FALSE())</f>
        <v>11370101</v>
      </c>
      <c r="E89" s="8">
        <f>VLOOKUP($A89,fonds!$B$2:$F$495,5,FALSE())</f>
        <v>18000501</v>
      </c>
      <c r="F89" s="10">
        <v>11370101</v>
      </c>
      <c r="G89" s="10">
        <v>18000501</v>
      </c>
      <c r="H89" s="1">
        <f t="shared" si="36"/>
        <v>6630400</v>
      </c>
    </row>
    <row r="90" ht="15">
      <c r="A90" s="6" t="s">
        <v>528</v>
      </c>
      <c r="B90" s="8">
        <f t="shared" si="34"/>
        <v>1137</v>
      </c>
      <c r="C90" s="8">
        <f t="shared" si="35"/>
        <v>1857</v>
      </c>
      <c r="D90" s="8">
        <f>VLOOKUP(A90,fonds!$B$2:$F$495,4,FALSE())</f>
        <v>11371231</v>
      </c>
      <c r="E90" s="8">
        <f>VLOOKUP($A90,fonds!$B$2:$F$495,5,FALSE())</f>
        <v>18571216</v>
      </c>
      <c r="F90" s="10">
        <v>11371231</v>
      </c>
      <c r="G90" s="10">
        <v>18571216</v>
      </c>
      <c r="H90" s="1">
        <f t="shared" si="36"/>
        <v>7199985</v>
      </c>
    </row>
    <row r="91" ht="15">
      <c r="A91" s="6" t="s">
        <v>1515</v>
      </c>
      <c r="B91" s="8">
        <f t="shared" si="34"/>
        <v>1138</v>
      </c>
      <c r="C91" s="8">
        <f t="shared" si="35"/>
        <v>1396</v>
      </c>
      <c r="D91" s="8">
        <f>VLOOKUP(A91,fonds!$B$2:$F$495,4,FALSE())</f>
        <v>11380131</v>
      </c>
      <c r="E91" s="8">
        <f>VLOOKUP($A91,fonds!$B$2:$F$495,5,FALSE())</f>
        <v>13960410</v>
      </c>
      <c r="F91" s="10">
        <v>11380131</v>
      </c>
      <c r="G91" s="10">
        <v>13960410</v>
      </c>
      <c r="H91" s="1">
        <f t="shared" si="36"/>
        <v>2580279</v>
      </c>
    </row>
    <row r="92" ht="15">
      <c r="A92" s="6" t="s">
        <v>615</v>
      </c>
      <c r="B92" s="8">
        <f t="shared" si="34"/>
        <v>1138</v>
      </c>
      <c r="C92" s="8">
        <f t="shared" si="35"/>
        <v>1797</v>
      </c>
      <c r="D92" s="8">
        <f>VLOOKUP(A92,fonds!$B$2:$F$495,4,FALSE())</f>
        <v>11380430</v>
      </c>
      <c r="E92" s="8">
        <f>VLOOKUP($A92,fonds!$B$2:$F$495,5,FALSE())</f>
        <v>17971118</v>
      </c>
      <c r="F92" s="10">
        <v>11380430</v>
      </c>
      <c r="G92" s="10">
        <v>17971118</v>
      </c>
      <c r="H92" s="1">
        <f t="shared" si="36"/>
        <v>6590688</v>
      </c>
    </row>
    <row r="93" ht="15">
      <c r="A93" s="6" t="s">
        <v>1327</v>
      </c>
      <c r="B93" s="8">
        <f t="shared" si="34"/>
        <v>1139</v>
      </c>
      <c r="C93" s="8">
        <f t="shared" si="35"/>
        <v>1389</v>
      </c>
      <c r="D93" s="8">
        <f>VLOOKUP(A93,fonds!$B$2:$F$495,4,FALSE())</f>
        <v>11390109</v>
      </c>
      <c r="E93" s="8">
        <f>VLOOKUP($A93,fonds!$B$2:$F$495,5,FALSE())</f>
        <v>13890721</v>
      </c>
      <c r="F93" s="10">
        <v>11390109</v>
      </c>
      <c r="G93" s="10">
        <v>13890721</v>
      </c>
      <c r="H93" s="1">
        <f t="shared" si="36"/>
        <v>2500612</v>
      </c>
    </row>
    <row r="94" ht="15">
      <c r="A94" s="6" t="s">
        <v>663</v>
      </c>
      <c r="B94" s="8">
        <f t="shared" si="34"/>
        <v>1139</v>
      </c>
      <c r="C94" s="8">
        <f t="shared" si="35"/>
        <v>1806</v>
      </c>
      <c r="D94" s="8">
        <f>VLOOKUP(A94,fonds!$B$2:$F$495,4,FALSE())</f>
        <v>11390409</v>
      </c>
      <c r="E94" s="8">
        <f>VLOOKUP($A94,fonds!$B$2:$F$495,5,FALSE())</f>
        <v>18060131</v>
      </c>
      <c r="F94" s="10">
        <v>11390409</v>
      </c>
      <c r="G94" s="10">
        <v>18060131</v>
      </c>
      <c r="H94" s="1">
        <f t="shared" si="36"/>
        <v>6669722</v>
      </c>
    </row>
    <row r="95" ht="15">
      <c r="A95" s="6" t="s">
        <v>249</v>
      </c>
      <c r="B95" s="8">
        <f t="shared" si="34"/>
        <v>1139</v>
      </c>
      <c r="C95" s="8">
        <f t="shared" si="35"/>
        <v>1139</v>
      </c>
      <c r="D95" s="8">
        <f>VLOOKUP(A95,fonds!$B$2:$F$495,4,FALSE())</f>
        <v>11391231</v>
      </c>
      <c r="E95" s="8">
        <f>VLOOKUP($A95,fonds!$B$2:$F$495,5,FALSE())</f>
        <v>11391231</v>
      </c>
      <c r="F95" s="10">
        <v>11391231</v>
      </c>
      <c r="G95" s="10">
        <v>11391231</v>
      </c>
      <c r="H95" s="1">
        <f t="shared" si="36"/>
        <v>0</v>
      </c>
    </row>
    <row r="96" ht="15">
      <c r="A96" s="6" t="s">
        <v>1091</v>
      </c>
      <c r="B96" s="8">
        <f t="shared" si="34"/>
        <v>1139</v>
      </c>
      <c r="C96" s="8">
        <f t="shared" si="35"/>
        <v>1791</v>
      </c>
      <c r="D96" s="8">
        <f>VLOOKUP(A96,fonds!$B$2:$F$495,4,FALSE())</f>
        <v>11399999</v>
      </c>
      <c r="E96" s="8">
        <f>VLOOKUP($A96,fonds!$B$2:$F$495,5,FALSE())</f>
        <v>17910928</v>
      </c>
      <c r="F96" s="10">
        <v>11399999</v>
      </c>
      <c r="G96" s="10">
        <v>17910928</v>
      </c>
      <c r="H96" s="1">
        <f t="shared" si="36"/>
        <v>6510929</v>
      </c>
    </row>
    <row r="97" ht="15">
      <c r="A97" s="6" t="s">
        <v>1295</v>
      </c>
      <c r="B97" s="8">
        <f t="shared" si="34"/>
        <v>1139</v>
      </c>
      <c r="C97" s="8">
        <f t="shared" si="35"/>
        <v>1774</v>
      </c>
      <c r="D97" s="8">
        <f>VLOOKUP(A97,fonds!$B$2:$F$495,4,FALSE())</f>
        <v>11399999</v>
      </c>
      <c r="E97" s="8">
        <f>VLOOKUP($A97,fonds!$B$2:$F$495,5,FALSE())</f>
        <v>17740601</v>
      </c>
      <c r="F97" s="10">
        <v>11399999</v>
      </c>
      <c r="G97" s="10">
        <v>17740601</v>
      </c>
      <c r="H97" s="1">
        <f t="shared" si="36"/>
        <v>6340602</v>
      </c>
    </row>
    <row r="98" ht="15">
      <c r="A98" s="6" t="s">
        <v>1687</v>
      </c>
      <c r="B98" s="8">
        <f t="shared" si="34"/>
        <v>1141</v>
      </c>
      <c r="C98" s="8">
        <f t="shared" si="35"/>
        <v>1397</v>
      </c>
      <c r="D98" s="8">
        <f>VLOOKUP(A98,fonds!$B$2:$F$495,4,FALSE())</f>
        <v>11410504</v>
      </c>
      <c r="E98" s="8">
        <f>VLOOKUP($A98,fonds!$B$2:$F$495,5,FALSE())</f>
        <v>13970511</v>
      </c>
      <c r="F98" s="10">
        <v>11410504</v>
      </c>
      <c r="G98" s="10">
        <v>13970511</v>
      </c>
      <c r="H98" s="1">
        <f t="shared" si="36"/>
        <v>2560007</v>
      </c>
    </row>
    <row r="99" ht="15">
      <c r="A99" s="6" t="s">
        <v>1735</v>
      </c>
      <c r="B99" s="8">
        <f t="shared" si="34"/>
        <v>1142</v>
      </c>
      <c r="C99" s="8">
        <f t="shared" si="35"/>
        <v>1398</v>
      </c>
      <c r="D99" s="8">
        <f>VLOOKUP(A99,fonds!$B$2:$F$495,4,FALSE())</f>
        <v>11420131</v>
      </c>
      <c r="E99" s="8">
        <f>VLOOKUP($A99,fonds!$B$2:$F$495,5,FALSE())</f>
        <v>13980319</v>
      </c>
      <c r="F99" s="10">
        <v>11420131</v>
      </c>
      <c r="G99" s="10">
        <v>13980319</v>
      </c>
      <c r="H99" s="1">
        <f t="shared" si="36"/>
        <v>2560188</v>
      </c>
    </row>
    <row r="100" ht="15">
      <c r="A100" s="6" t="s">
        <v>429</v>
      </c>
      <c r="B100" s="8">
        <f t="shared" ref="B100:B163" si="37">FLOOR(F100/10000,1)</f>
        <v>1142</v>
      </c>
      <c r="C100" s="8">
        <f t="shared" ref="C100:C163" si="38">FLOOR(G100/10000,1)</f>
        <v>1397</v>
      </c>
      <c r="D100" s="8">
        <f>VLOOKUP(A100,fonds!$B$2:$F$495,4,FALSE())</f>
        <v>11421231</v>
      </c>
      <c r="E100" s="8">
        <f>VLOOKUP($A100,fonds!$B$2:$F$495,5,FALSE())</f>
        <v>13970627</v>
      </c>
      <c r="F100" s="10">
        <v>11421231</v>
      </c>
      <c r="G100" s="10">
        <v>13970627</v>
      </c>
      <c r="H100" s="1">
        <f t="shared" ref="H100:H163" si="39">G100-F100</f>
        <v>2549396</v>
      </c>
    </row>
    <row r="101" ht="15">
      <c r="A101" s="6" t="s">
        <v>325</v>
      </c>
      <c r="B101" s="8">
        <f t="shared" si="37"/>
        <v>1143</v>
      </c>
      <c r="C101" s="8">
        <f t="shared" si="38"/>
        <v>1484</v>
      </c>
      <c r="D101" s="8">
        <f>VLOOKUP(A101,fonds!$B$2:$F$495,4,FALSE())</f>
        <v>11439999</v>
      </c>
      <c r="E101" s="8">
        <f>VLOOKUP($A101,fonds!$B$2:$F$495,5,FALSE())</f>
        <v>14840914</v>
      </c>
      <c r="F101" s="10">
        <v>11439999</v>
      </c>
      <c r="G101" s="10">
        <v>14840914</v>
      </c>
      <c r="H101" s="1">
        <f t="shared" si="39"/>
        <v>3400915</v>
      </c>
    </row>
    <row r="102" ht="15">
      <c r="A102" s="6" t="s">
        <v>441</v>
      </c>
      <c r="B102" s="8">
        <f t="shared" si="37"/>
        <v>1144</v>
      </c>
      <c r="C102" s="8">
        <f t="shared" si="38"/>
        <v>1788</v>
      </c>
      <c r="D102" s="8">
        <f>VLOOKUP(A102,fonds!$B$2:$F$495,4,FALSE())</f>
        <v>11440725</v>
      </c>
      <c r="E102" s="8">
        <f>VLOOKUP($A102,fonds!$B$2:$F$495,5,FALSE())</f>
        <v>17880616</v>
      </c>
      <c r="F102" s="10">
        <v>11440725</v>
      </c>
      <c r="G102" s="10">
        <v>17880616</v>
      </c>
      <c r="H102" s="1">
        <f t="shared" si="39"/>
        <v>6439891</v>
      </c>
    </row>
    <row r="103" ht="15">
      <c r="A103" s="6" t="s">
        <v>1503</v>
      </c>
      <c r="B103" s="8">
        <f t="shared" si="37"/>
        <v>1145</v>
      </c>
      <c r="C103" s="8">
        <f t="shared" si="38"/>
        <v>1397</v>
      </c>
      <c r="D103" s="8">
        <f>VLOOKUP(A103,fonds!$B$2:$F$495,4,FALSE())</f>
        <v>11450317</v>
      </c>
      <c r="E103" s="8">
        <f>VLOOKUP($A103,fonds!$B$2:$F$495,5,FALSE())</f>
        <v>13970508</v>
      </c>
      <c r="F103" s="10">
        <v>11450317</v>
      </c>
      <c r="G103" s="10">
        <v>13970508</v>
      </c>
      <c r="H103" s="1">
        <f t="shared" si="39"/>
        <v>2520191</v>
      </c>
    </row>
    <row r="104" ht="15">
      <c r="A104" s="6" t="s">
        <v>871</v>
      </c>
      <c r="B104" s="8">
        <f t="shared" si="37"/>
        <v>1145</v>
      </c>
      <c r="C104" s="8">
        <f t="shared" si="38"/>
        <v>1523</v>
      </c>
      <c r="D104" s="8">
        <f>VLOOKUP(A104,fonds!$B$2:$F$495,4,FALSE())</f>
        <v>11450428</v>
      </c>
      <c r="E104" s="8">
        <f>VLOOKUP($A104,fonds!$B$2:$F$495,5,FALSE())</f>
        <v>15230220</v>
      </c>
      <c r="F104" s="10">
        <v>11450428</v>
      </c>
      <c r="G104" s="10">
        <v>15230220</v>
      </c>
      <c r="H104" s="1">
        <f t="shared" si="39"/>
        <v>3779792</v>
      </c>
    </row>
    <row r="105" ht="15">
      <c r="A105" s="6" t="s">
        <v>1155</v>
      </c>
      <c r="B105" s="8">
        <f t="shared" si="37"/>
        <v>1147</v>
      </c>
      <c r="C105" s="8">
        <f t="shared" si="38"/>
        <v>1785</v>
      </c>
      <c r="D105" s="8">
        <f>VLOOKUP(A105,fonds!$B$2:$F$495,4,FALSE())</f>
        <v>11470101</v>
      </c>
      <c r="E105" s="8">
        <f>VLOOKUP($A105,fonds!$B$2:$F$495,5,FALSE())</f>
        <v>17850503</v>
      </c>
      <c r="F105" s="10">
        <v>11470101</v>
      </c>
      <c r="G105" s="10">
        <v>17850503</v>
      </c>
      <c r="H105" s="1">
        <f t="shared" si="39"/>
        <v>6380402</v>
      </c>
    </row>
    <row r="106" ht="15">
      <c r="A106" s="6" t="s">
        <v>671</v>
      </c>
      <c r="B106" s="8">
        <f t="shared" si="37"/>
        <v>1004</v>
      </c>
      <c r="C106" s="8">
        <f t="shared" si="38"/>
        <v>1597</v>
      </c>
      <c r="D106" s="8">
        <f>VLOOKUP(A106,fonds!$B$2:$F$495,4,FALSE())</f>
        <v>10040617</v>
      </c>
      <c r="E106" s="8">
        <f>VLOOKUP($A106,fonds!$B$2:$F$495,5,FALSE())</f>
        <v>15970713</v>
      </c>
      <c r="F106" s="11">
        <v>10040617</v>
      </c>
      <c r="G106" s="11">
        <v>15970713</v>
      </c>
      <c r="H106" s="9">
        <f t="shared" si="39"/>
        <v>5930096</v>
      </c>
    </row>
    <row r="107" ht="15">
      <c r="A107" s="6" t="s">
        <v>1191</v>
      </c>
      <c r="B107" s="8">
        <f t="shared" si="37"/>
        <v>1151</v>
      </c>
      <c r="C107" s="8">
        <f t="shared" si="38"/>
        <v>1795</v>
      </c>
      <c r="D107" s="8">
        <f>VLOOKUP(A107,fonds!$B$2:$F$495,4,FALSE())</f>
        <v>11510202</v>
      </c>
      <c r="E107" s="8">
        <f>VLOOKUP($A107,fonds!$B$2:$F$495,5,FALSE())</f>
        <v>17951030</v>
      </c>
      <c r="F107" s="10">
        <v>11510202</v>
      </c>
      <c r="G107" s="10">
        <v>17951030</v>
      </c>
      <c r="H107" s="1">
        <f t="shared" si="39"/>
        <v>6440828</v>
      </c>
    </row>
    <row r="108" ht="15">
      <c r="A108" s="6" t="s">
        <v>1835</v>
      </c>
      <c r="B108" s="8">
        <f t="shared" si="37"/>
        <v>1153</v>
      </c>
      <c r="C108" s="8">
        <f t="shared" si="38"/>
        <v>1398</v>
      </c>
      <c r="D108" s="8">
        <f>VLOOKUP(A108,fonds!$B$2:$F$495,4,FALSE())</f>
        <v>11530124</v>
      </c>
      <c r="E108" s="8">
        <f>VLOOKUP($A108,fonds!$B$2:$F$495,5,FALSE())</f>
        <v>13981028</v>
      </c>
      <c r="F108" s="10">
        <v>11530124</v>
      </c>
      <c r="G108" s="10">
        <v>13981028</v>
      </c>
      <c r="H108" s="1">
        <f t="shared" si="39"/>
        <v>2450904</v>
      </c>
    </row>
    <row r="109" ht="15">
      <c r="A109" s="6" t="s">
        <v>1347</v>
      </c>
      <c r="B109" s="8">
        <f t="shared" si="37"/>
        <v>1155</v>
      </c>
      <c r="C109" s="8">
        <f t="shared" si="38"/>
        <v>1436</v>
      </c>
      <c r="D109" s="8">
        <f>VLOOKUP(A109,fonds!$B$2:$F$495,4,FALSE())</f>
        <v>11550204</v>
      </c>
      <c r="E109" s="8">
        <f>VLOOKUP($A109,fonds!$B$2:$F$495,5,FALSE())</f>
        <v>14360901</v>
      </c>
      <c r="F109" s="10">
        <v>11550204</v>
      </c>
      <c r="G109" s="10">
        <v>14360901</v>
      </c>
      <c r="H109" s="1">
        <f t="shared" si="39"/>
        <v>2810697</v>
      </c>
    </row>
    <row r="110" ht="15">
      <c r="A110" s="6" t="s">
        <v>591</v>
      </c>
      <c r="B110" s="8">
        <f t="shared" si="37"/>
        <v>1156</v>
      </c>
      <c r="C110" s="8">
        <f t="shared" si="38"/>
        <v>1488</v>
      </c>
      <c r="D110" s="8">
        <f>VLOOKUP(A110,fonds!$B$2:$F$495,4,FALSE())</f>
        <v>11560108</v>
      </c>
      <c r="E110" s="8">
        <f>VLOOKUP($A110,fonds!$B$2:$F$495,5,FALSE())</f>
        <v>14881202</v>
      </c>
      <c r="F110" s="10">
        <v>11560108</v>
      </c>
      <c r="G110" s="10">
        <v>14881202</v>
      </c>
      <c r="H110" s="1">
        <f t="shared" si="39"/>
        <v>3321094</v>
      </c>
    </row>
    <row r="111" ht="15">
      <c r="A111" s="6" t="s">
        <v>1159</v>
      </c>
      <c r="B111" s="8">
        <f t="shared" si="37"/>
        <v>1158</v>
      </c>
      <c r="C111" s="8">
        <f t="shared" si="38"/>
        <v>1794</v>
      </c>
      <c r="D111" s="8">
        <f>VLOOKUP(A111,fonds!$B$2:$F$495,4,FALSE())</f>
        <v>11580522</v>
      </c>
      <c r="E111" s="8">
        <f>VLOOKUP($A111,fonds!$B$2:$F$495,5,FALSE())</f>
        <v>17940225</v>
      </c>
      <c r="F111" s="10">
        <v>11580522</v>
      </c>
      <c r="G111" s="10">
        <v>17940225</v>
      </c>
      <c r="H111" s="1">
        <f t="shared" si="39"/>
        <v>6359703</v>
      </c>
    </row>
    <row r="112" ht="15">
      <c r="A112" s="6" t="s">
        <v>607</v>
      </c>
      <c r="B112" s="8">
        <f t="shared" si="37"/>
        <v>1161</v>
      </c>
      <c r="C112" s="8">
        <f t="shared" si="38"/>
        <v>1600</v>
      </c>
      <c r="D112" s="8">
        <f>VLOOKUP(A112,fonds!$B$2:$F$495,4,FALSE())</f>
        <v>11619999</v>
      </c>
      <c r="E112" s="8">
        <f>VLOOKUP($A112,fonds!$B$2:$F$495,5,FALSE())</f>
        <v>16001205</v>
      </c>
      <c r="F112" s="10">
        <v>11619999</v>
      </c>
      <c r="G112" s="10">
        <v>16001205</v>
      </c>
      <c r="H112" s="1">
        <f t="shared" si="39"/>
        <v>4381206</v>
      </c>
    </row>
    <row r="113" ht="15">
      <c r="A113" s="6" t="s">
        <v>1947</v>
      </c>
      <c r="B113" s="8">
        <f t="shared" si="37"/>
        <v>1164</v>
      </c>
      <c r="C113" s="8">
        <f t="shared" si="38"/>
        <v>1731</v>
      </c>
      <c r="D113" s="8">
        <f>VLOOKUP(A113,fonds!$B$2:$F$495,4,FALSE())</f>
        <v>11640499</v>
      </c>
      <c r="E113" s="8">
        <f>VLOOKUP($A113,fonds!$B$2:$F$495,5,FALSE())</f>
        <v>17310519</v>
      </c>
      <c r="F113" s="10">
        <v>11640499</v>
      </c>
      <c r="G113" s="10">
        <v>17310519</v>
      </c>
      <c r="H113" s="1">
        <f t="shared" si="39"/>
        <v>5670020</v>
      </c>
    </row>
    <row r="114" ht="15">
      <c r="A114" s="6" t="s">
        <v>827</v>
      </c>
      <c r="B114" s="8">
        <f t="shared" si="37"/>
        <v>1167</v>
      </c>
      <c r="C114" s="8">
        <f t="shared" si="38"/>
        <v>1501</v>
      </c>
      <c r="D114" s="8">
        <f>VLOOKUP(A114,fonds!$B$2:$F$495,4,FALSE())</f>
        <v>11670120</v>
      </c>
      <c r="E114" s="8">
        <f>VLOOKUP($A114,fonds!$B$2:$F$495,5,FALSE())</f>
        <v>15010710</v>
      </c>
      <c r="F114" s="10">
        <v>11670120</v>
      </c>
      <c r="G114" s="10">
        <v>15010710</v>
      </c>
      <c r="H114" s="1">
        <f t="shared" si="39"/>
        <v>3340590</v>
      </c>
    </row>
    <row r="115" ht="15">
      <c r="A115" s="6" t="s">
        <v>1107</v>
      </c>
      <c r="B115" s="8">
        <f t="shared" si="37"/>
        <v>1168</v>
      </c>
      <c r="C115" s="8">
        <f t="shared" si="38"/>
        <v>1783</v>
      </c>
      <c r="D115" s="8">
        <f>VLOOKUP(A115,fonds!$B$2:$F$495,4,FALSE())</f>
        <v>11681221</v>
      </c>
      <c r="E115" s="8">
        <f>VLOOKUP($A115,fonds!$B$2:$F$495,5,FALSE())</f>
        <v>17831129</v>
      </c>
      <c r="F115" s="10">
        <v>11681221</v>
      </c>
      <c r="G115" s="10">
        <v>17831129</v>
      </c>
      <c r="H115" s="1">
        <f t="shared" si="39"/>
        <v>6149908</v>
      </c>
    </row>
    <row r="116" ht="15">
      <c r="A116" s="7" t="s">
        <v>1931</v>
      </c>
      <c r="B116" s="8">
        <f t="shared" si="37"/>
        <v>1170</v>
      </c>
      <c r="C116" s="8">
        <f t="shared" si="38"/>
        <v>1550</v>
      </c>
      <c r="D116" s="8">
        <f>VLOOKUP(A116,fonds!$B$2:$F$495,4,FALSE())</f>
        <v>11700899</v>
      </c>
      <c r="E116" s="8">
        <f>VLOOKUP($A116,fonds!$B$2:$F$495,5,FALSE())</f>
        <v>15501105</v>
      </c>
      <c r="F116" s="10">
        <v>11700899</v>
      </c>
      <c r="G116" s="10">
        <v>15501105</v>
      </c>
      <c r="H116" s="1">
        <f t="shared" si="39"/>
        <v>3800206</v>
      </c>
    </row>
    <row r="117" ht="15">
      <c r="A117" s="6" t="s">
        <v>33</v>
      </c>
      <c r="B117" s="8">
        <f t="shared" si="37"/>
        <v>1171</v>
      </c>
      <c r="C117" s="8">
        <f t="shared" si="38"/>
        <v>1489</v>
      </c>
      <c r="D117" s="8">
        <f>VLOOKUP(A117,fonds!$B$2:$F$495,4,FALSE())</f>
        <v>11711231</v>
      </c>
      <c r="E117" s="8">
        <f>VLOOKUP($A117,fonds!$B$2:$F$495,5,FALSE())</f>
        <v>14890721</v>
      </c>
      <c r="F117" s="10">
        <v>11711231</v>
      </c>
      <c r="G117" s="10">
        <v>14890721</v>
      </c>
      <c r="H117" s="1">
        <f t="shared" si="39"/>
        <v>3179490</v>
      </c>
    </row>
    <row r="118" ht="15">
      <c r="A118" s="6" t="s">
        <v>1315</v>
      </c>
      <c r="B118" s="8">
        <f t="shared" si="37"/>
        <v>1179</v>
      </c>
      <c r="C118" s="8">
        <f t="shared" si="38"/>
        <v>1600</v>
      </c>
      <c r="D118" s="8">
        <f>VLOOKUP(A118,fonds!$B$2:$F$495,4,FALSE())</f>
        <v>11791231</v>
      </c>
      <c r="E118" s="8">
        <f>VLOOKUP($A118,fonds!$B$2:$F$495,5,FALSE())</f>
        <v>16001231</v>
      </c>
      <c r="F118" s="10">
        <v>11791231</v>
      </c>
      <c r="G118" s="10">
        <v>16001231</v>
      </c>
      <c r="H118" s="1">
        <f t="shared" si="39"/>
        <v>4210000</v>
      </c>
    </row>
    <row r="119" ht="15">
      <c r="A119" s="6" t="s">
        <v>1451</v>
      </c>
      <c r="B119" s="8">
        <f t="shared" si="37"/>
        <v>1181</v>
      </c>
      <c r="C119" s="8">
        <f t="shared" si="38"/>
        <v>1398</v>
      </c>
      <c r="D119" s="8">
        <f>VLOOKUP(A119,fonds!$B$2:$F$495,4,FALSE())</f>
        <v>11810630</v>
      </c>
      <c r="E119" s="8">
        <f>VLOOKUP($A119,fonds!$B$2:$F$495,5,FALSE())</f>
        <v>13981122</v>
      </c>
      <c r="F119" s="10">
        <v>11810630</v>
      </c>
      <c r="G119" s="10">
        <v>13981122</v>
      </c>
      <c r="H119" s="1">
        <f t="shared" si="39"/>
        <v>2170492</v>
      </c>
    </row>
    <row r="120" ht="15">
      <c r="A120" s="6" t="s">
        <v>417</v>
      </c>
      <c r="B120" s="8">
        <f t="shared" si="37"/>
        <v>1181</v>
      </c>
      <c r="C120" s="8">
        <f t="shared" si="38"/>
        <v>1453</v>
      </c>
      <c r="D120" s="8">
        <f>VLOOKUP(A120,fonds!$B$2:$F$495,4,FALSE())</f>
        <v>11811231</v>
      </c>
      <c r="E120" s="8">
        <f>VLOOKUP($A120,fonds!$B$2:$F$495,5,FALSE())</f>
        <v>14530117</v>
      </c>
      <c r="F120" s="10">
        <v>11811231</v>
      </c>
      <c r="G120" s="10">
        <v>14530117</v>
      </c>
      <c r="H120" s="1">
        <f t="shared" si="39"/>
        <v>2718886</v>
      </c>
    </row>
    <row r="121" ht="15">
      <c r="A121" s="6" t="s">
        <v>1819</v>
      </c>
      <c r="B121" s="8">
        <f t="shared" si="37"/>
        <v>1182</v>
      </c>
      <c r="C121" s="8">
        <f t="shared" si="38"/>
        <v>1368</v>
      </c>
      <c r="D121" s="8">
        <f>VLOOKUP(A121,fonds!$B$2:$F$495,4,FALSE())</f>
        <v>11820124</v>
      </c>
      <c r="E121" s="8">
        <f>VLOOKUP($A121,fonds!$B$2:$F$495,5,FALSE())</f>
        <v>13680327</v>
      </c>
      <c r="F121" s="10">
        <v>11820124</v>
      </c>
      <c r="G121" s="10">
        <v>13680327</v>
      </c>
      <c r="H121" s="1">
        <f t="shared" si="39"/>
        <v>1860203</v>
      </c>
    </row>
    <row r="122" ht="15">
      <c r="A122" s="6" t="s">
        <v>1743</v>
      </c>
      <c r="B122" s="8">
        <f t="shared" si="37"/>
        <v>1183</v>
      </c>
      <c r="C122" s="8">
        <f t="shared" si="38"/>
        <v>1394</v>
      </c>
      <c r="D122" s="8">
        <f>VLOOKUP(A122,fonds!$B$2:$F$495,4,FALSE())</f>
        <v>11830703</v>
      </c>
      <c r="E122" s="8">
        <f>VLOOKUP($A122,fonds!$B$2:$F$495,5,FALSE())</f>
        <v>13941123</v>
      </c>
      <c r="F122" s="10">
        <v>11830703</v>
      </c>
      <c r="G122" s="10">
        <v>13941123</v>
      </c>
      <c r="H122" s="1">
        <f t="shared" si="39"/>
        <v>2110420</v>
      </c>
    </row>
    <row r="123" ht="15">
      <c r="A123" s="6" t="s">
        <v>504</v>
      </c>
      <c r="B123" s="8">
        <f t="shared" si="37"/>
        <v>1183</v>
      </c>
      <c r="C123" s="8">
        <f t="shared" si="38"/>
        <v>1869</v>
      </c>
      <c r="D123" s="8">
        <f>VLOOKUP(A123,fonds!$B$2:$F$495,4,FALSE())</f>
        <v>11839999</v>
      </c>
      <c r="E123" s="8">
        <f>VLOOKUP($A123,fonds!$B$2:$F$495,5,FALSE())</f>
        <v>18691101</v>
      </c>
      <c r="F123" s="10">
        <v>11839999</v>
      </c>
      <c r="G123" s="10">
        <v>18691101</v>
      </c>
      <c r="H123" s="1">
        <f t="shared" si="39"/>
        <v>6851102</v>
      </c>
    </row>
    <row r="124" ht="15">
      <c r="A124" s="6" t="s">
        <v>1599</v>
      </c>
      <c r="B124" s="8">
        <f t="shared" si="37"/>
        <v>1184</v>
      </c>
      <c r="C124" s="8">
        <f t="shared" si="38"/>
        <v>1392</v>
      </c>
      <c r="D124" s="8">
        <f>VLOOKUP(A124,fonds!$B$2:$F$495,4,FALSE())</f>
        <v>11841104</v>
      </c>
      <c r="E124" s="8">
        <f>VLOOKUP($A124,fonds!$B$2:$F$495,5,FALSE())</f>
        <v>13920716</v>
      </c>
      <c r="F124" s="10">
        <v>11841104</v>
      </c>
      <c r="G124" s="10">
        <v>13920716</v>
      </c>
      <c r="H124" s="1">
        <f t="shared" si="39"/>
        <v>2079612</v>
      </c>
    </row>
    <row r="125" ht="15">
      <c r="A125" s="6" t="s">
        <v>269</v>
      </c>
      <c r="B125" s="8">
        <f t="shared" si="37"/>
        <v>1187</v>
      </c>
      <c r="C125" s="8">
        <f t="shared" si="38"/>
        <v>1496</v>
      </c>
      <c r="D125" s="8">
        <f>VLOOKUP(A125,fonds!$B$2:$F$495,4,FALSE())</f>
        <v>11871001</v>
      </c>
      <c r="E125" s="8">
        <f>VLOOKUP($A125,fonds!$B$2:$F$495,5,FALSE())</f>
        <v>14961125</v>
      </c>
      <c r="F125" s="10">
        <v>11871001</v>
      </c>
      <c r="G125" s="10">
        <v>14961125</v>
      </c>
      <c r="H125" s="1">
        <f t="shared" si="39"/>
        <v>3090124</v>
      </c>
    </row>
    <row r="126" ht="15">
      <c r="A126" s="6" t="s">
        <v>456</v>
      </c>
      <c r="B126" s="8">
        <f t="shared" si="37"/>
        <v>1188</v>
      </c>
      <c r="C126" s="8">
        <f t="shared" si="38"/>
        <v>1992</v>
      </c>
      <c r="D126" s="8">
        <f>VLOOKUP(A126,fonds!$B$2:$F$495,4,FALSE())</f>
        <v>11880101</v>
      </c>
      <c r="E126" s="8">
        <f>VLOOKUP($A126,fonds!$B$2:$F$495,5,FALSE())</f>
        <v>19920914</v>
      </c>
      <c r="F126" s="10">
        <v>11880101</v>
      </c>
      <c r="G126" s="10">
        <v>19920914</v>
      </c>
      <c r="H126" s="1">
        <f t="shared" si="39"/>
        <v>8040813</v>
      </c>
    </row>
    <row r="127" ht="15">
      <c r="A127" s="6" t="s">
        <v>29</v>
      </c>
      <c r="B127" s="8">
        <f t="shared" si="37"/>
        <v>1188</v>
      </c>
      <c r="C127" s="8">
        <f t="shared" si="38"/>
        <v>1488</v>
      </c>
      <c r="D127" s="8">
        <f>VLOOKUP(A127,fonds!$B$2:$F$495,4,FALSE())</f>
        <v>11881214</v>
      </c>
      <c r="E127" s="8">
        <f>VLOOKUP($A127,fonds!$B$2:$F$495,5,FALSE())</f>
        <v>14880117</v>
      </c>
      <c r="F127" s="10">
        <v>11881214</v>
      </c>
      <c r="G127" s="10">
        <v>14880117</v>
      </c>
      <c r="H127" s="1">
        <f t="shared" si="39"/>
        <v>2998903</v>
      </c>
    </row>
    <row r="128" ht="15">
      <c r="A128" s="6" t="s">
        <v>413</v>
      </c>
      <c r="B128" s="8">
        <f t="shared" si="37"/>
        <v>1190</v>
      </c>
      <c r="C128" s="8">
        <f t="shared" si="38"/>
        <v>1798</v>
      </c>
      <c r="D128" s="8">
        <f>VLOOKUP(A128,fonds!$B$2:$F$495,4,FALSE())</f>
        <v>11901231</v>
      </c>
      <c r="E128" s="8">
        <f>VLOOKUP($A128,fonds!$B$2:$F$495,5,FALSE())</f>
        <v>17980805</v>
      </c>
      <c r="F128" s="10">
        <v>11901231</v>
      </c>
      <c r="G128" s="10">
        <v>17980805</v>
      </c>
      <c r="H128" s="1">
        <f t="shared" si="39"/>
        <v>6079574</v>
      </c>
    </row>
    <row r="129" ht="15">
      <c r="A129" s="6" t="s">
        <v>1455</v>
      </c>
      <c r="B129" s="8">
        <f t="shared" si="37"/>
        <v>1191</v>
      </c>
      <c r="C129" s="8">
        <f t="shared" si="38"/>
        <v>1397</v>
      </c>
      <c r="D129" s="8">
        <f>VLOOKUP(A129,fonds!$B$2:$F$495,4,FALSE())</f>
        <v>11910609</v>
      </c>
      <c r="E129" s="8">
        <f>VLOOKUP($A129,fonds!$B$2:$F$495,5,FALSE())</f>
        <v>13970829</v>
      </c>
      <c r="F129" s="10">
        <v>11910609</v>
      </c>
      <c r="G129" s="10">
        <v>13970829</v>
      </c>
      <c r="H129" s="1">
        <f t="shared" si="39"/>
        <v>2060220</v>
      </c>
    </row>
    <row r="130" ht="15">
      <c r="A130" s="6" t="s">
        <v>603</v>
      </c>
      <c r="B130" s="8">
        <f t="shared" si="37"/>
        <v>1193</v>
      </c>
      <c r="C130" s="8">
        <f t="shared" si="38"/>
        <v>1550</v>
      </c>
      <c r="D130" s="8">
        <f>VLOOKUP(A130,fonds!$B$2:$F$495,4,FALSE())</f>
        <v>11930629</v>
      </c>
      <c r="E130" s="8">
        <f>VLOOKUP($A130,fonds!$B$2:$F$495,5,FALSE())</f>
        <v>15500423</v>
      </c>
      <c r="F130" s="10">
        <v>11930629</v>
      </c>
      <c r="G130" s="10">
        <v>15500423</v>
      </c>
      <c r="H130" s="1">
        <f t="shared" si="39"/>
        <v>3569794</v>
      </c>
    </row>
    <row r="131" ht="15">
      <c r="A131" s="6" t="s">
        <v>1279</v>
      </c>
      <c r="B131" s="8">
        <f t="shared" si="37"/>
        <v>1194</v>
      </c>
      <c r="C131" s="8">
        <f t="shared" si="38"/>
        <v>1803</v>
      </c>
      <c r="D131" s="8">
        <f>VLOOKUP(A131,fonds!$B$2:$F$495,4,FALSE())</f>
        <v>11940102</v>
      </c>
      <c r="E131" s="8">
        <f>VLOOKUP($A131,fonds!$B$2:$F$495,5,FALSE())</f>
        <v>18030120</v>
      </c>
      <c r="F131" s="10">
        <v>11940102</v>
      </c>
      <c r="G131" s="10">
        <v>18030120</v>
      </c>
      <c r="H131" s="1">
        <f t="shared" si="39"/>
        <v>6090018</v>
      </c>
    </row>
    <row r="132" ht="15">
      <c r="A132" s="6" t="s">
        <v>1795</v>
      </c>
      <c r="B132" s="8">
        <f t="shared" si="37"/>
        <v>1194</v>
      </c>
      <c r="C132" s="8">
        <f t="shared" si="38"/>
        <v>1395</v>
      </c>
      <c r="D132" s="8">
        <f>VLOOKUP(A132,fonds!$B$2:$F$495,4,FALSE())</f>
        <v>11940925</v>
      </c>
      <c r="E132" s="8">
        <f>VLOOKUP($A132,fonds!$B$2:$F$495,5,FALSE())</f>
        <v>13950125</v>
      </c>
      <c r="F132" s="10">
        <v>11940925</v>
      </c>
      <c r="G132" s="10">
        <v>13950125</v>
      </c>
      <c r="H132" s="1">
        <f t="shared" si="39"/>
        <v>2009200</v>
      </c>
    </row>
    <row r="133" ht="15">
      <c r="A133" s="6" t="s">
        <v>1487</v>
      </c>
      <c r="B133" s="8">
        <f t="shared" si="37"/>
        <v>1197</v>
      </c>
      <c r="C133" s="8">
        <f t="shared" si="38"/>
        <v>1394</v>
      </c>
      <c r="D133" s="8">
        <f>VLOOKUP(A133,fonds!$B$2:$F$495,4,FALSE())</f>
        <v>11970325</v>
      </c>
      <c r="E133" s="8">
        <f>VLOOKUP($A133,fonds!$B$2:$F$495,5,FALSE())</f>
        <v>13940429</v>
      </c>
      <c r="F133" s="10">
        <v>11970325</v>
      </c>
      <c r="G133" s="10">
        <v>13940429</v>
      </c>
      <c r="H133" s="1">
        <f t="shared" si="39"/>
        <v>1970104</v>
      </c>
    </row>
    <row r="134" ht="15">
      <c r="A134" s="6" t="s">
        <v>983</v>
      </c>
      <c r="B134" s="8">
        <f t="shared" si="37"/>
        <v>1197</v>
      </c>
      <c r="C134" s="8">
        <f t="shared" si="38"/>
        <v>1908</v>
      </c>
      <c r="D134" s="8">
        <f>VLOOKUP(A134,fonds!$B$2:$F$495,4,FALSE())</f>
        <v>11970399</v>
      </c>
      <c r="E134" s="8">
        <f>VLOOKUP($A134,fonds!$B$2:$F$495,5,FALSE())</f>
        <v>19080820</v>
      </c>
      <c r="F134" s="8">
        <v>11970399</v>
      </c>
      <c r="G134" s="11">
        <v>19080820</v>
      </c>
      <c r="H134" s="9">
        <f t="shared" si="39"/>
        <v>7110421</v>
      </c>
    </row>
    <row r="135" ht="15">
      <c r="A135" s="6" t="s">
        <v>1507</v>
      </c>
      <c r="B135" s="8">
        <f t="shared" si="37"/>
        <v>1198</v>
      </c>
      <c r="C135" s="8">
        <f t="shared" si="38"/>
        <v>1398</v>
      </c>
      <c r="D135" s="8">
        <f>VLOOKUP(A135,fonds!$B$2:$F$495,4,FALSE())</f>
        <v>11980309</v>
      </c>
      <c r="E135" s="8">
        <f>VLOOKUP($A135,fonds!$B$2:$F$495,5,FALSE())</f>
        <v>13981006</v>
      </c>
      <c r="F135" s="10">
        <v>11980309</v>
      </c>
      <c r="G135" s="10">
        <v>13981006</v>
      </c>
      <c r="H135" s="1">
        <f t="shared" si="39"/>
        <v>2000697</v>
      </c>
    </row>
    <row r="136" ht="15">
      <c r="A136" s="6" t="s">
        <v>1975</v>
      </c>
      <c r="B136" s="8">
        <f t="shared" si="37"/>
        <v>1198</v>
      </c>
      <c r="C136" s="8">
        <f t="shared" si="38"/>
        <v>1819</v>
      </c>
      <c r="D136" s="8">
        <f>VLOOKUP(A136,fonds!$B$2:$F$495,4,FALSE())</f>
        <v>11980727</v>
      </c>
      <c r="E136" s="8">
        <f>VLOOKUP($A136,fonds!$B$2:$F$495,5,FALSE())</f>
        <v>18190622</v>
      </c>
      <c r="F136" s="10">
        <v>11980727</v>
      </c>
      <c r="G136" s="10">
        <v>18190622</v>
      </c>
      <c r="H136" s="1">
        <f t="shared" si="39"/>
        <v>6209895</v>
      </c>
    </row>
    <row r="137" ht="15">
      <c r="A137" s="6" t="s">
        <v>289</v>
      </c>
      <c r="B137" s="8">
        <f t="shared" si="37"/>
        <v>1198</v>
      </c>
      <c r="C137" s="8">
        <f t="shared" si="38"/>
        <v>1198</v>
      </c>
      <c r="D137" s="8">
        <f>VLOOKUP(A137,fonds!$B$2:$F$495,4,FALSE())</f>
        <v>11981231</v>
      </c>
      <c r="E137" s="8">
        <f>VLOOKUP($A137,fonds!$B$2:$F$495,5,FALSE())</f>
        <v>11981231</v>
      </c>
      <c r="F137" s="10">
        <v>11981231</v>
      </c>
      <c r="G137" s="10">
        <v>11981231</v>
      </c>
      <c r="H137" s="1">
        <f t="shared" si="39"/>
        <v>0</v>
      </c>
    </row>
    <row r="138" ht="15">
      <c r="A138" s="6" t="s">
        <v>1555</v>
      </c>
      <c r="B138" s="8">
        <f t="shared" si="37"/>
        <v>1199</v>
      </c>
      <c r="C138" s="8">
        <f t="shared" si="38"/>
        <v>1393</v>
      </c>
      <c r="D138" s="8">
        <f>VLOOKUP(A138,fonds!$B$2:$F$495,4,FALSE())</f>
        <v>11990331</v>
      </c>
      <c r="E138" s="8">
        <f>VLOOKUP($A138,fonds!$B$2:$F$495,5,FALSE())</f>
        <v>13930608</v>
      </c>
      <c r="F138" s="10">
        <v>11990331</v>
      </c>
      <c r="G138" s="10">
        <v>13930608</v>
      </c>
      <c r="H138" s="1">
        <f t="shared" si="39"/>
        <v>1940277</v>
      </c>
    </row>
    <row r="139" ht="15">
      <c r="A139" s="6" t="s">
        <v>1143</v>
      </c>
      <c r="B139" s="8">
        <f t="shared" si="37"/>
        <v>1200</v>
      </c>
      <c r="C139" s="8">
        <f t="shared" si="38"/>
        <v>1796</v>
      </c>
      <c r="D139" s="8">
        <f>VLOOKUP(A139,fonds!$B$2:$F$495,4,FALSE())</f>
        <v>12000409</v>
      </c>
      <c r="E139" s="8">
        <f>VLOOKUP($A139,fonds!$B$2:$F$495,5,FALSE())</f>
        <v>17960807</v>
      </c>
      <c r="F139" s="10">
        <v>12000409</v>
      </c>
      <c r="G139" s="10">
        <v>17960807</v>
      </c>
      <c r="H139" s="1">
        <f t="shared" si="39"/>
        <v>5960398</v>
      </c>
    </row>
    <row r="140" ht="15">
      <c r="A140" s="6" t="s">
        <v>755</v>
      </c>
      <c r="B140" s="8">
        <f t="shared" si="37"/>
        <v>1200</v>
      </c>
      <c r="C140" s="8">
        <f t="shared" si="38"/>
        <v>1782</v>
      </c>
      <c r="D140" s="8">
        <f>VLOOKUP(A140,fonds!$B$2:$F$495,4,FALSE())</f>
        <v>12000901</v>
      </c>
      <c r="E140" s="8">
        <f>VLOOKUP($A140,fonds!$B$2:$F$495,5,FALSE())</f>
        <v>17820604</v>
      </c>
      <c r="F140" s="10">
        <v>12000901</v>
      </c>
      <c r="G140" s="10">
        <v>17820604</v>
      </c>
      <c r="H140" s="1">
        <f t="shared" si="39"/>
        <v>5819703</v>
      </c>
    </row>
    <row r="141" ht="15">
      <c r="A141" s="6" t="s">
        <v>1799</v>
      </c>
      <c r="B141" s="8">
        <f t="shared" si="37"/>
        <v>1200</v>
      </c>
      <c r="C141" s="8">
        <f t="shared" si="38"/>
        <v>1398</v>
      </c>
      <c r="D141" s="8">
        <f>VLOOKUP(A141,fonds!$B$2:$F$495,4,FALSE())</f>
        <v>12001231</v>
      </c>
      <c r="E141" s="8">
        <f>VLOOKUP($A141,fonds!$B$2:$F$495,5,FALSE())</f>
        <v>13980128</v>
      </c>
      <c r="F141" s="10">
        <v>12001231</v>
      </c>
      <c r="G141" s="10">
        <v>13980128</v>
      </c>
      <c r="H141" s="1">
        <f t="shared" si="39"/>
        <v>1978897</v>
      </c>
    </row>
    <row r="142" ht="15">
      <c r="A142" s="6" t="s">
        <v>1623</v>
      </c>
      <c r="B142" s="8">
        <f t="shared" si="37"/>
        <v>1200</v>
      </c>
      <c r="C142" s="8">
        <f t="shared" si="38"/>
        <v>1397</v>
      </c>
      <c r="D142" s="8">
        <f>VLOOKUP(A142,fonds!$B$2:$F$495,4,FALSE())</f>
        <v>12001231</v>
      </c>
      <c r="E142" s="8">
        <f>VLOOKUP($A142,fonds!$B$2:$F$495,5,FALSE())</f>
        <v>13970830</v>
      </c>
      <c r="F142" s="10">
        <v>12001231</v>
      </c>
      <c r="G142" s="10">
        <v>13970830</v>
      </c>
      <c r="H142" s="1">
        <f t="shared" si="39"/>
        <v>1969599</v>
      </c>
    </row>
    <row r="143" ht="15">
      <c r="A143" s="6" t="s">
        <v>1415</v>
      </c>
      <c r="B143" s="8">
        <f t="shared" si="37"/>
        <v>1201</v>
      </c>
      <c r="C143" s="8">
        <f t="shared" si="38"/>
        <v>1523</v>
      </c>
      <c r="D143" s="8">
        <f>VLOOKUP(A143,fonds!$B$2:$F$495,4,FALSE())</f>
        <v>12010118</v>
      </c>
      <c r="E143" s="8">
        <f>VLOOKUP($A143,fonds!$B$2:$F$495,5,FALSE())</f>
        <v>15230723</v>
      </c>
      <c r="F143" s="10">
        <v>12010118</v>
      </c>
      <c r="G143" s="10">
        <v>15230723</v>
      </c>
      <c r="H143" s="1">
        <f t="shared" si="39"/>
        <v>3220605</v>
      </c>
    </row>
    <row r="144" ht="15">
      <c r="A144" s="6" t="s">
        <v>141</v>
      </c>
      <c r="B144" s="8">
        <f t="shared" si="37"/>
        <v>1202</v>
      </c>
      <c r="C144" s="8">
        <f t="shared" si="38"/>
        <v>1460</v>
      </c>
      <c r="D144" s="8">
        <f>VLOOKUP(A144,fonds!$B$2:$F$495,4,FALSE())</f>
        <v>12020608</v>
      </c>
      <c r="E144" s="8">
        <f>VLOOKUP($A144,fonds!$B$2:$F$495,5,FALSE())</f>
        <v>14600329</v>
      </c>
      <c r="F144" s="10">
        <v>12020608</v>
      </c>
      <c r="G144" s="10">
        <v>14600329</v>
      </c>
      <c r="H144" s="1">
        <f t="shared" si="39"/>
        <v>2579721</v>
      </c>
    </row>
    <row r="145" ht="15">
      <c r="A145" s="6" t="s">
        <v>1863</v>
      </c>
      <c r="B145" s="8">
        <f t="shared" si="37"/>
        <v>1203</v>
      </c>
      <c r="C145" s="8">
        <f t="shared" si="38"/>
        <v>1396</v>
      </c>
      <c r="D145" s="8">
        <f>VLOOKUP(A145,fonds!$B$2:$F$495,4,FALSE())</f>
        <v>12030228</v>
      </c>
      <c r="E145" s="8">
        <f>VLOOKUP($A145,fonds!$B$2:$F$495,5,FALSE())</f>
        <v>13961018</v>
      </c>
      <c r="F145" s="10">
        <v>12030228</v>
      </c>
      <c r="G145" s="10">
        <v>13961018</v>
      </c>
      <c r="H145" s="1">
        <f t="shared" si="39"/>
        <v>1930790</v>
      </c>
    </row>
    <row r="146" ht="15">
      <c r="A146" s="6" t="s">
        <v>1083</v>
      </c>
      <c r="B146" s="8">
        <f t="shared" si="37"/>
        <v>1203</v>
      </c>
      <c r="C146" s="8">
        <f t="shared" si="38"/>
        <v>1520</v>
      </c>
      <c r="D146" s="8">
        <f>VLOOKUP(A146,fonds!$B$2:$F$495,4,FALSE())</f>
        <v>12030327</v>
      </c>
      <c r="E146" s="8">
        <f>VLOOKUP($A146,fonds!$B$2:$F$495,5,FALSE())</f>
        <v>15200821</v>
      </c>
      <c r="F146" s="10">
        <v>12030327</v>
      </c>
      <c r="G146" s="10">
        <v>15200821</v>
      </c>
      <c r="H146" s="1">
        <f t="shared" si="39"/>
        <v>3170494</v>
      </c>
    </row>
    <row r="147" ht="15">
      <c r="A147" s="6" t="s">
        <v>540</v>
      </c>
      <c r="B147" s="8">
        <f t="shared" si="37"/>
        <v>1204</v>
      </c>
      <c r="C147" s="8">
        <f t="shared" si="38"/>
        <v>1600</v>
      </c>
      <c r="D147" s="8">
        <f>VLOOKUP(A147,fonds!$B$2:$F$495,4,FALSE())</f>
        <v>12040404</v>
      </c>
      <c r="E147" s="8">
        <f>VLOOKUP($A147,fonds!$B$2:$F$495,5,FALSE())</f>
        <v>16001210</v>
      </c>
      <c r="F147" s="10">
        <v>12040404</v>
      </c>
      <c r="G147" s="10">
        <v>16001210</v>
      </c>
      <c r="H147" s="1">
        <f t="shared" si="39"/>
        <v>3960806</v>
      </c>
    </row>
    <row r="148" ht="15">
      <c r="A148" s="6" t="s">
        <v>1715</v>
      </c>
      <c r="B148" s="8">
        <f t="shared" si="37"/>
        <v>1204</v>
      </c>
      <c r="C148" s="8">
        <f t="shared" si="38"/>
        <v>1398</v>
      </c>
      <c r="D148" s="8">
        <f>VLOOKUP(A148,fonds!$B$2:$F$495,4,FALSE())</f>
        <v>12040430</v>
      </c>
      <c r="E148" s="8">
        <f>VLOOKUP($A148,fonds!$B$2:$F$495,5,FALSE())</f>
        <v>13980425</v>
      </c>
      <c r="F148" s="10">
        <v>12040430</v>
      </c>
      <c r="G148" s="10">
        <v>13980425</v>
      </c>
      <c r="H148" s="1">
        <f t="shared" si="39"/>
        <v>1939995</v>
      </c>
    </row>
    <row r="149" ht="15">
      <c r="A149" s="6" t="s">
        <v>45</v>
      </c>
      <c r="B149" s="8">
        <f t="shared" si="37"/>
        <v>1205</v>
      </c>
      <c r="C149" s="8">
        <f t="shared" si="38"/>
        <v>1580</v>
      </c>
      <c r="D149" s="8">
        <f>VLOOKUP(A149,fonds!$B$2:$F$495,4,FALSE())</f>
        <v>12051110</v>
      </c>
      <c r="E149" s="8">
        <f>VLOOKUP($A149,fonds!$B$2:$F$495,5,FALSE())</f>
        <v>15800128</v>
      </c>
      <c r="F149" s="10">
        <v>12051110</v>
      </c>
      <c r="G149" s="10">
        <v>15800128</v>
      </c>
      <c r="H149" s="1">
        <f t="shared" si="39"/>
        <v>3749018</v>
      </c>
    </row>
    <row r="150" ht="15">
      <c r="A150" s="6" t="s">
        <v>1411</v>
      </c>
      <c r="B150" s="8">
        <f t="shared" si="37"/>
        <v>1207</v>
      </c>
      <c r="C150" s="8">
        <f t="shared" si="38"/>
        <v>1486</v>
      </c>
      <c r="D150" s="8">
        <f>VLOOKUP(A150,fonds!$B$2:$F$495,4,FALSE())</f>
        <v>12070226</v>
      </c>
      <c r="E150" s="8">
        <f>VLOOKUP($A150,fonds!$B$2:$F$495,5,FALSE())</f>
        <v>14861017</v>
      </c>
      <c r="F150" s="10">
        <v>12070226</v>
      </c>
      <c r="G150" s="10">
        <v>14861017</v>
      </c>
      <c r="H150" s="1">
        <f t="shared" si="39"/>
        <v>2790791</v>
      </c>
    </row>
    <row r="151" ht="15">
      <c r="A151" s="6" t="s">
        <v>1595</v>
      </c>
      <c r="B151" s="8">
        <f t="shared" si="37"/>
        <v>1207</v>
      </c>
      <c r="C151" s="8">
        <f t="shared" si="38"/>
        <v>1393</v>
      </c>
      <c r="D151" s="8">
        <f>VLOOKUP(A151,fonds!$B$2:$F$495,4,FALSE())</f>
        <v>12070403</v>
      </c>
      <c r="E151" s="8">
        <f>VLOOKUP($A151,fonds!$B$2:$F$495,5,FALSE())</f>
        <v>13930727</v>
      </c>
      <c r="F151" s="10">
        <v>12070403</v>
      </c>
      <c r="G151" s="10">
        <v>13930727</v>
      </c>
      <c r="H151" s="1">
        <f t="shared" si="39"/>
        <v>1860324</v>
      </c>
    </row>
    <row r="152" ht="15">
      <c r="A152" s="6" t="s">
        <v>1583</v>
      </c>
      <c r="B152" s="8">
        <f t="shared" si="37"/>
        <v>1208</v>
      </c>
      <c r="C152" s="8">
        <f t="shared" si="38"/>
        <v>1398</v>
      </c>
      <c r="D152" s="8">
        <f>VLOOKUP(A152,fonds!$B$2:$F$495,4,FALSE())</f>
        <v>12080826</v>
      </c>
      <c r="E152" s="8">
        <f>VLOOKUP($A152,fonds!$B$2:$F$495,5,FALSE())</f>
        <v>13980728</v>
      </c>
      <c r="F152" s="10">
        <v>12080826</v>
      </c>
      <c r="G152" s="10">
        <v>13980728</v>
      </c>
      <c r="H152" s="1">
        <f t="shared" si="39"/>
        <v>1899902</v>
      </c>
    </row>
    <row r="153" ht="15">
      <c r="A153" s="6" t="s">
        <v>711</v>
      </c>
      <c r="B153" s="8">
        <f t="shared" si="37"/>
        <v>1209</v>
      </c>
      <c r="C153" s="8">
        <f t="shared" si="38"/>
        <v>1782</v>
      </c>
      <c r="D153" s="8">
        <f>VLOOKUP(A153,fonds!$B$2:$F$495,4,FALSE())</f>
        <v>12090403</v>
      </c>
      <c r="E153" s="8">
        <f>VLOOKUP($A153,fonds!$B$2:$F$495,5,FALSE())</f>
        <v>17820426</v>
      </c>
      <c r="F153" s="10">
        <v>12090403</v>
      </c>
      <c r="G153" s="10">
        <v>17820426</v>
      </c>
      <c r="H153" s="1">
        <f t="shared" si="39"/>
        <v>5730023</v>
      </c>
    </row>
    <row r="154" ht="15">
      <c r="A154" s="6" t="s">
        <v>1447</v>
      </c>
      <c r="B154" s="8">
        <f t="shared" si="37"/>
        <v>1211</v>
      </c>
      <c r="C154" s="8">
        <f t="shared" si="38"/>
        <v>1393</v>
      </c>
      <c r="D154" s="8">
        <f>VLOOKUP(A154,fonds!$B$2:$F$495,4,FALSE())</f>
        <v>12110413</v>
      </c>
      <c r="E154" s="8">
        <f>VLOOKUP($A154,fonds!$B$2:$F$495,5,FALSE())</f>
        <v>13931119</v>
      </c>
      <c r="F154" s="10">
        <v>12110413</v>
      </c>
      <c r="G154" s="10">
        <v>13931119</v>
      </c>
      <c r="H154" s="1">
        <f t="shared" si="39"/>
        <v>1820706</v>
      </c>
    </row>
    <row r="155" ht="15">
      <c r="A155" s="6" t="s">
        <v>1123</v>
      </c>
      <c r="B155" s="8">
        <f t="shared" si="37"/>
        <v>1212</v>
      </c>
      <c r="C155" s="8">
        <f t="shared" si="38"/>
        <v>1704</v>
      </c>
      <c r="D155" s="8">
        <f>VLOOKUP(A155,fonds!$B$2:$F$495,4,FALSE())</f>
        <v>12120111</v>
      </c>
      <c r="E155" s="8">
        <f>VLOOKUP($A155,fonds!$B$2:$F$495,5,FALSE())</f>
        <v>17040412</v>
      </c>
      <c r="F155" s="10">
        <v>12120111</v>
      </c>
      <c r="G155" s="10">
        <v>17040412</v>
      </c>
      <c r="H155" s="1">
        <f t="shared" si="39"/>
        <v>4920301</v>
      </c>
    </row>
    <row r="156" ht="15">
      <c r="A156" s="6" t="s">
        <v>1431</v>
      </c>
      <c r="B156" s="8">
        <f t="shared" si="37"/>
        <v>1212</v>
      </c>
      <c r="C156" s="8">
        <f t="shared" si="38"/>
        <v>1392</v>
      </c>
      <c r="D156" s="8">
        <f>VLOOKUP(A156,fonds!$B$2:$F$495,4,FALSE())</f>
        <v>12121208</v>
      </c>
      <c r="E156" s="8">
        <f>VLOOKUP($A156,fonds!$B$2:$F$495,5,FALSE())</f>
        <v>13921130</v>
      </c>
      <c r="F156" s="10">
        <v>12121208</v>
      </c>
      <c r="G156" s="10">
        <v>13921130</v>
      </c>
      <c r="H156" s="1">
        <f t="shared" si="39"/>
        <v>1799922</v>
      </c>
    </row>
    <row r="157" ht="15">
      <c r="A157" s="6" t="s">
        <v>911</v>
      </c>
      <c r="B157" s="8">
        <f t="shared" si="37"/>
        <v>1213</v>
      </c>
      <c r="C157" s="8">
        <f t="shared" si="38"/>
        <v>1526</v>
      </c>
      <c r="D157" s="8">
        <f>VLOOKUP(A157,fonds!$B$2:$F$495,4,FALSE())</f>
        <v>12131231</v>
      </c>
      <c r="E157" s="8">
        <f>VLOOKUP($A157,fonds!$B$2:$F$495,5,FALSE())</f>
        <v>15260307</v>
      </c>
      <c r="F157" s="10">
        <v>12131231</v>
      </c>
      <c r="G157" s="10">
        <v>15260307</v>
      </c>
      <c r="H157" s="1">
        <f t="shared" si="39"/>
        <v>3129076</v>
      </c>
    </row>
    <row r="158" ht="15">
      <c r="A158" s="6" t="s">
        <v>1075</v>
      </c>
      <c r="B158" s="8">
        <f t="shared" si="37"/>
        <v>1214</v>
      </c>
      <c r="C158" s="8">
        <f t="shared" si="38"/>
        <v>1800</v>
      </c>
      <c r="D158" s="8">
        <f>VLOOKUP(A158,fonds!$B$2:$F$495,4,FALSE())</f>
        <v>12140906</v>
      </c>
      <c r="E158" s="8">
        <f>VLOOKUP($A158,fonds!$B$2:$F$495,5,FALSE())</f>
        <v>18000526</v>
      </c>
      <c r="F158" s="10">
        <v>12140906</v>
      </c>
      <c r="G158" s="10">
        <v>18000526</v>
      </c>
      <c r="H158" s="1">
        <f t="shared" si="39"/>
        <v>5859620</v>
      </c>
    </row>
    <row r="159" ht="15">
      <c r="A159" s="6" t="s">
        <v>1535</v>
      </c>
      <c r="B159" s="8">
        <f t="shared" si="37"/>
        <v>1216</v>
      </c>
      <c r="C159" s="8">
        <f t="shared" si="38"/>
        <v>1394</v>
      </c>
      <c r="D159" s="8">
        <f>VLOOKUP(A159,fonds!$B$2:$F$495,4,FALSE())</f>
        <v>12160419</v>
      </c>
      <c r="E159" s="8">
        <f>VLOOKUP($A159,fonds!$B$2:$F$495,5,FALSE())</f>
        <v>13940625</v>
      </c>
      <c r="F159" s="10">
        <v>12160419</v>
      </c>
      <c r="G159" s="10">
        <v>13940625</v>
      </c>
      <c r="H159" s="1">
        <f t="shared" si="39"/>
        <v>1780206</v>
      </c>
    </row>
    <row r="160" ht="15">
      <c r="A160" s="6" t="s">
        <v>883</v>
      </c>
      <c r="B160" s="8">
        <f t="shared" si="37"/>
        <v>1217</v>
      </c>
      <c r="C160" s="8">
        <f t="shared" si="38"/>
        <v>1516</v>
      </c>
      <c r="D160" s="8">
        <f>VLOOKUP(A160,fonds!$B$2:$F$495,4,FALSE())</f>
        <v>12170708</v>
      </c>
      <c r="E160" s="8">
        <f>VLOOKUP($A160,fonds!$B$2:$F$495,5,FALSE())</f>
        <v>15161205</v>
      </c>
      <c r="F160" s="10">
        <v>12170708</v>
      </c>
      <c r="G160" s="10">
        <v>15161205</v>
      </c>
      <c r="H160" s="1">
        <f t="shared" si="39"/>
        <v>2990497</v>
      </c>
    </row>
    <row r="161" ht="15">
      <c r="A161" s="6" t="s">
        <v>1871</v>
      </c>
      <c r="B161" s="8">
        <f t="shared" si="37"/>
        <v>1218</v>
      </c>
      <c r="C161" s="8">
        <f t="shared" si="38"/>
        <v>1398</v>
      </c>
      <c r="D161" s="8">
        <f>VLOOKUP(A161,fonds!$B$2:$F$495,4,FALSE())</f>
        <v>12180513</v>
      </c>
      <c r="E161" s="8">
        <f>VLOOKUP($A161,fonds!$B$2:$F$495,5,FALSE())</f>
        <v>13981006</v>
      </c>
      <c r="F161" s="10">
        <v>12180513</v>
      </c>
      <c r="G161" s="10">
        <v>13981006</v>
      </c>
      <c r="H161" s="1">
        <f t="shared" si="39"/>
        <v>1800493</v>
      </c>
    </row>
    <row r="162" ht="15">
      <c r="A162" s="6" t="s">
        <v>1071</v>
      </c>
      <c r="B162" s="8">
        <f t="shared" si="37"/>
        <v>1219</v>
      </c>
      <c r="C162" s="8">
        <f t="shared" si="38"/>
        <v>1797</v>
      </c>
      <c r="D162" s="8">
        <f>VLOOKUP(A162,fonds!$B$2:$F$495,4,FALSE())</f>
        <v>12191206</v>
      </c>
      <c r="E162" s="8">
        <f>VLOOKUP($A162,fonds!$B$2:$F$495,5,FALSE())</f>
        <v>17971212</v>
      </c>
      <c r="F162" s="10">
        <v>12191206</v>
      </c>
      <c r="G162" s="10">
        <v>17971212</v>
      </c>
      <c r="H162" s="1">
        <f t="shared" si="39"/>
        <v>5780006</v>
      </c>
    </row>
    <row r="163" ht="15">
      <c r="A163" s="6" t="s">
        <v>425</v>
      </c>
      <c r="B163" s="8">
        <f t="shared" si="37"/>
        <v>1220</v>
      </c>
      <c r="C163" s="8">
        <f t="shared" si="38"/>
        <v>1325</v>
      </c>
      <c r="D163" s="8">
        <f>VLOOKUP(A163,fonds!$B$2:$F$495,4,FALSE())</f>
        <v>12200101</v>
      </c>
      <c r="E163" s="8">
        <f>VLOOKUP($A163,fonds!$B$2:$F$495,5,FALSE())</f>
        <v>13251206</v>
      </c>
      <c r="F163" s="10">
        <v>12200101</v>
      </c>
      <c r="G163" s="10">
        <v>13251206</v>
      </c>
      <c r="H163" s="1">
        <f t="shared" si="39"/>
        <v>1051105</v>
      </c>
    </row>
    <row r="164" ht="15">
      <c r="A164" s="6" t="s">
        <v>317</v>
      </c>
      <c r="B164" s="8">
        <f t="shared" ref="B164:B227" si="40">FLOOR(F164/10000,1)</f>
        <v>1220</v>
      </c>
      <c r="C164" s="8">
        <f t="shared" ref="C164:C227" si="41">FLOOR(G164/10000,1)</f>
        <v>1372</v>
      </c>
      <c r="D164" s="8">
        <f>VLOOKUP(A164,fonds!$B$2:$F$495,4,FALSE())</f>
        <v>12200108</v>
      </c>
      <c r="E164" s="8">
        <f>VLOOKUP($A164,fonds!$B$2:$F$495,5,FALSE())</f>
        <v>13720930</v>
      </c>
      <c r="F164" s="10">
        <v>12200108</v>
      </c>
      <c r="G164" s="10">
        <v>13720930</v>
      </c>
      <c r="H164" s="1">
        <f t="shared" ref="H164:H227" si="42">G164-F164</f>
        <v>1520822</v>
      </c>
    </row>
    <row r="165" ht="15">
      <c r="A165" s="6" t="s">
        <v>1495</v>
      </c>
      <c r="B165" s="8">
        <f t="shared" si="40"/>
        <v>1221</v>
      </c>
      <c r="C165" s="8">
        <f t="shared" si="41"/>
        <v>1395</v>
      </c>
      <c r="D165" s="8">
        <f>VLOOKUP(A165,fonds!$B$2:$F$495,4,FALSE())</f>
        <v>12210924</v>
      </c>
      <c r="E165" s="8">
        <f>VLOOKUP($A165,fonds!$B$2:$F$495,5,FALSE())</f>
        <v>13950710</v>
      </c>
      <c r="F165" s="10">
        <v>12210924</v>
      </c>
      <c r="G165" s="10">
        <v>13950710</v>
      </c>
      <c r="H165" s="1">
        <f t="shared" si="42"/>
        <v>1739786</v>
      </c>
    </row>
    <row r="166" ht="15">
      <c r="A166" s="6" t="s">
        <v>1791</v>
      </c>
      <c r="B166" s="8">
        <f t="shared" si="40"/>
        <v>1221</v>
      </c>
      <c r="C166" s="8">
        <f t="shared" si="41"/>
        <v>1396</v>
      </c>
      <c r="D166" s="8">
        <f>VLOOKUP(A166,fonds!$B$2:$F$495,4,FALSE())</f>
        <v>12211120</v>
      </c>
      <c r="E166" s="8">
        <f>VLOOKUP($A166,fonds!$B$2:$F$495,5,FALSE())</f>
        <v>13960425</v>
      </c>
      <c r="F166" s="10">
        <v>12211120</v>
      </c>
      <c r="G166" s="10">
        <v>13960425</v>
      </c>
      <c r="H166" s="1">
        <f t="shared" si="42"/>
        <v>1749305</v>
      </c>
    </row>
    <row r="167" ht="15">
      <c r="A167" s="6" t="s">
        <v>723</v>
      </c>
      <c r="B167" s="8">
        <f t="shared" si="40"/>
        <v>1222</v>
      </c>
      <c r="C167" s="8">
        <f t="shared" si="41"/>
        <v>1466</v>
      </c>
      <c r="D167" s="8">
        <f>VLOOKUP(A167,fonds!$B$2:$F$495,4,FALSE())</f>
        <v>12220119</v>
      </c>
      <c r="E167" s="8">
        <f>VLOOKUP($A167,fonds!$B$2:$F$495,5,FALSE())</f>
        <v>14661221</v>
      </c>
      <c r="F167" s="10">
        <v>12220119</v>
      </c>
      <c r="G167" s="10">
        <v>14661221</v>
      </c>
      <c r="H167" s="1">
        <f t="shared" si="42"/>
        <v>2441102</v>
      </c>
    </row>
    <row r="168" ht="15">
      <c r="A168" s="6" t="s">
        <v>460</v>
      </c>
      <c r="B168" s="8">
        <f t="shared" si="40"/>
        <v>1222</v>
      </c>
      <c r="C168" s="8">
        <f t="shared" si="41"/>
        <v>1502</v>
      </c>
      <c r="D168" s="8">
        <f>VLOOKUP(A168,fonds!$B$2:$F$495,4,FALSE())</f>
        <v>12220220</v>
      </c>
      <c r="E168" s="8">
        <f>VLOOKUP($A168,fonds!$B$2:$F$495,5,FALSE())</f>
        <v>15020504</v>
      </c>
      <c r="F168" s="10">
        <v>12220220</v>
      </c>
      <c r="G168" s="10">
        <v>15020504</v>
      </c>
      <c r="H168" s="1">
        <f t="shared" si="42"/>
        <v>2800284</v>
      </c>
    </row>
    <row r="169" ht="15">
      <c r="A169" s="6" t="s">
        <v>1179</v>
      </c>
      <c r="B169" s="8">
        <f t="shared" si="40"/>
        <v>1223</v>
      </c>
      <c r="C169" s="8">
        <f t="shared" si="41"/>
        <v>1223</v>
      </c>
      <c r="D169" s="8">
        <f>VLOOKUP(A169,fonds!$B$2:$F$495,4,FALSE())</f>
        <v>12230201</v>
      </c>
      <c r="E169" s="8">
        <f>VLOOKUP($A169,fonds!$B$2:$F$495,5,FALSE())</f>
        <v>12230201</v>
      </c>
      <c r="F169" s="10">
        <v>12230201</v>
      </c>
      <c r="G169" s="10">
        <v>12230201</v>
      </c>
      <c r="H169" s="1">
        <f t="shared" si="42"/>
        <v>0</v>
      </c>
    </row>
    <row r="170" ht="15">
      <c r="A170" s="6" t="s">
        <v>1675</v>
      </c>
      <c r="B170" s="8">
        <f t="shared" si="40"/>
        <v>1224</v>
      </c>
      <c r="C170" s="8">
        <f t="shared" si="41"/>
        <v>1396</v>
      </c>
      <c r="D170" s="8">
        <f>VLOOKUP(A170,fonds!$B$2:$F$495,4,FALSE())</f>
        <v>12240513</v>
      </c>
      <c r="E170" s="8">
        <f>VLOOKUP($A170,fonds!$B$2:$F$495,5,FALSE())</f>
        <v>13960428</v>
      </c>
      <c r="F170" s="10">
        <v>12240513</v>
      </c>
      <c r="G170" s="10">
        <v>13960428</v>
      </c>
      <c r="H170" s="1">
        <f t="shared" si="42"/>
        <v>1719915</v>
      </c>
    </row>
    <row r="171" ht="15">
      <c r="A171" s="6" t="s">
        <v>959</v>
      </c>
      <c r="B171" s="8">
        <f t="shared" si="40"/>
        <v>1226</v>
      </c>
      <c r="C171" s="8">
        <f t="shared" si="41"/>
        <v>1521</v>
      </c>
      <c r="D171" s="8">
        <f>VLOOKUP(A171,fonds!$B$2:$F$495,4,FALSE())</f>
        <v>12261231</v>
      </c>
      <c r="E171" s="8">
        <f>VLOOKUP($A171,fonds!$B$2:$F$495,5,FALSE())</f>
        <v>15210209</v>
      </c>
      <c r="F171" s="10">
        <v>12261231</v>
      </c>
      <c r="G171" s="10">
        <v>15210209</v>
      </c>
      <c r="H171" s="1">
        <f t="shared" si="42"/>
        <v>2948978</v>
      </c>
    </row>
    <row r="172" ht="15">
      <c r="A172" s="6" t="s">
        <v>1831</v>
      </c>
      <c r="B172" s="8">
        <f t="shared" si="40"/>
        <v>1227</v>
      </c>
      <c r="C172" s="8">
        <f t="shared" si="41"/>
        <v>1380</v>
      </c>
      <c r="D172" s="8">
        <f>VLOOKUP(A172,fonds!$B$2:$F$495,4,FALSE())</f>
        <v>12270319</v>
      </c>
      <c r="E172" s="8">
        <f>VLOOKUP($A172,fonds!$B$2:$F$495,5,FALSE())</f>
        <v>13800930</v>
      </c>
      <c r="F172" s="10">
        <v>12270319</v>
      </c>
      <c r="G172" s="10">
        <v>13800930</v>
      </c>
      <c r="H172" s="1">
        <f t="shared" si="42"/>
        <v>1530611</v>
      </c>
    </row>
    <row r="173" ht="15">
      <c r="A173" s="6" t="s">
        <v>1331</v>
      </c>
      <c r="B173" s="8">
        <f t="shared" si="40"/>
        <v>1227</v>
      </c>
      <c r="C173" s="8">
        <f t="shared" si="41"/>
        <v>1526</v>
      </c>
      <c r="D173" s="8">
        <f>VLOOKUP(A173,fonds!$B$2:$F$495,4,FALSE())</f>
        <v>12270430</v>
      </c>
      <c r="E173" s="8">
        <f>VLOOKUP($A173,fonds!$B$2:$F$495,5,FALSE())</f>
        <v>15260626</v>
      </c>
      <c r="F173" s="10">
        <v>12270430</v>
      </c>
      <c r="G173" s="10">
        <v>15260626</v>
      </c>
      <c r="H173" s="1">
        <f t="shared" si="42"/>
        <v>2990196</v>
      </c>
    </row>
    <row r="174" ht="15">
      <c r="A174" s="6" t="s">
        <v>500</v>
      </c>
      <c r="B174" s="8">
        <f t="shared" si="40"/>
        <v>1227</v>
      </c>
      <c r="C174" s="8">
        <f t="shared" si="41"/>
        <v>1719</v>
      </c>
      <c r="D174" s="8">
        <f>VLOOKUP(A174,fonds!$B$2:$F$495,4,FALSE())</f>
        <v>12270801</v>
      </c>
      <c r="E174" s="8">
        <f>VLOOKUP($A174,fonds!$B$2:$F$495,5,FALSE())</f>
        <v>17190217</v>
      </c>
      <c r="F174" s="10">
        <v>12270801</v>
      </c>
      <c r="G174" s="10">
        <v>17190217</v>
      </c>
      <c r="H174" s="1">
        <f t="shared" si="42"/>
        <v>4919416</v>
      </c>
    </row>
    <row r="175" ht="15">
      <c r="A175" s="6" t="s">
        <v>1643</v>
      </c>
      <c r="B175" s="8">
        <f t="shared" si="40"/>
        <v>1227</v>
      </c>
      <c r="C175" s="8">
        <f t="shared" si="41"/>
        <v>1391</v>
      </c>
      <c r="D175" s="8">
        <f>VLOOKUP(A175,fonds!$B$2:$F$495,4,FALSE())</f>
        <v>12270902</v>
      </c>
      <c r="E175" s="8">
        <f>VLOOKUP($A175,fonds!$B$2:$F$495,5,FALSE())</f>
        <v>13910413</v>
      </c>
      <c r="F175" s="10">
        <v>12270902</v>
      </c>
      <c r="G175" s="10">
        <v>13910413</v>
      </c>
      <c r="H175" s="1">
        <f t="shared" si="42"/>
        <v>1639511</v>
      </c>
    </row>
    <row r="176" ht="15">
      <c r="A176" s="6" t="s">
        <v>1571</v>
      </c>
      <c r="B176" s="8">
        <f t="shared" si="40"/>
        <v>1227</v>
      </c>
      <c r="C176" s="8">
        <f t="shared" si="41"/>
        <v>1394</v>
      </c>
      <c r="D176" s="8">
        <f>VLOOKUP(A176,fonds!$B$2:$F$495,4,FALSE())</f>
        <v>12270914</v>
      </c>
      <c r="E176" s="8">
        <f>VLOOKUP($A176,fonds!$B$2:$F$495,5,FALSE())</f>
        <v>13940425</v>
      </c>
      <c r="F176" s="10">
        <v>12270914</v>
      </c>
      <c r="G176" s="10">
        <v>13940425</v>
      </c>
      <c r="H176" s="1">
        <f t="shared" si="42"/>
        <v>1669511</v>
      </c>
    </row>
    <row r="177" ht="15">
      <c r="A177" s="6" t="s">
        <v>1087</v>
      </c>
      <c r="B177" s="8">
        <f t="shared" si="40"/>
        <v>1228</v>
      </c>
      <c r="C177" s="8">
        <f t="shared" si="41"/>
        <v>1793</v>
      </c>
      <c r="D177" s="8">
        <f>VLOOKUP(A177,fonds!$B$2:$F$495,4,FALSE())</f>
        <v>12280711</v>
      </c>
      <c r="E177" s="8">
        <f>VLOOKUP($A177,fonds!$B$2:$F$495,5,FALSE())</f>
        <v>17930623</v>
      </c>
      <c r="F177" s="10">
        <v>12280711</v>
      </c>
      <c r="G177" s="10">
        <v>17930623</v>
      </c>
      <c r="H177" s="1">
        <f t="shared" si="42"/>
        <v>5649912</v>
      </c>
    </row>
    <row r="178" ht="15">
      <c r="A178" s="6" t="s">
        <v>9</v>
      </c>
      <c r="B178" s="8">
        <f t="shared" si="40"/>
        <v>1229</v>
      </c>
      <c r="C178" s="8">
        <f t="shared" si="41"/>
        <v>1970</v>
      </c>
      <c r="D178" s="8">
        <f>VLOOKUP(A178,fonds!$B$2:$F$495,4,FALSE())</f>
        <v>12290220</v>
      </c>
      <c r="E178" s="8">
        <f>VLOOKUP($A178,fonds!$B$2:$F$495,5,FALSE())</f>
        <v>19700409</v>
      </c>
      <c r="F178" s="10">
        <v>12290220</v>
      </c>
      <c r="G178" s="10">
        <v>19700409</v>
      </c>
      <c r="H178" s="1">
        <f t="shared" si="42"/>
        <v>7410189</v>
      </c>
    </row>
    <row r="179" ht="15">
      <c r="A179" s="6" t="s">
        <v>1823</v>
      </c>
      <c r="B179" s="8">
        <f t="shared" si="40"/>
        <v>1232</v>
      </c>
      <c r="C179" s="8">
        <f t="shared" si="41"/>
        <v>1256</v>
      </c>
      <c r="D179" s="8">
        <f>VLOOKUP(A179,fonds!$B$2:$F$495,4,FALSE())</f>
        <v>12320609</v>
      </c>
      <c r="E179" s="8">
        <f>VLOOKUP($A179,fonds!$B$2:$F$495,5,FALSE())</f>
        <v>12560711</v>
      </c>
      <c r="F179" s="10">
        <v>12320609</v>
      </c>
      <c r="G179" s="10">
        <v>12560711</v>
      </c>
      <c r="H179" s="1">
        <f t="shared" si="42"/>
        <v>240102</v>
      </c>
    </row>
    <row r="180" ht="15">
      <c r="A180" s="6" t="s">
        <v>1283</v>
      </c>
      <c r="B180" s="8">
        <f t="shared" si="40"/>
        <v>1232</v>
      </c>
      <c r="C180" s="8">
        <f t="shared" si="41"/>
        <v>1781</v>
      </c>
      <c r="D180" s="8">
        <f>VLOOKUP(A180,fonds!$B$2:$F$495,4,FALSE())</f>
        <v>12320711</v>
      </c>
      <c r="E180" s="8">
        <f>VLOOKUP($A180,fonds!$B$2:$F$495,5,FALSE())</f>
        <v>17811111</v>
      </c>
      <c r="F180" s="10">
        <v>12320711</v>
      </c>
      <c r="G180" s="10">
        <v>17811111</v>
      </c>
      <c r="H180" s="1">
        <f t="shared" si="42"/>
        <v>5490400</v>
      </c>
    </row>
    <row r="181" ht="15">
      <c r="A181" s="6" t="s">
        <v>995</v>
      </c>
      <c r="B181" s="8">
        <f t="shared" si="40"/>
        <v>1233</v>
      </c>
      <c r="C181" s="8">
        <f t="shared" si="41"/>
        <v>1853</v>
      </c>
      <c r="D181" s="8">
        <f>VLOOKUP(A181,fonds!$B$2:$F$495,4,FALSE())</f>
        <v>12330825</v>
      </c>
      <c r="E181" s="8">
        <f>VLOOKUP($A181,fonds!$B$2:$F$495,5,FALSE())</f>
        <v>18530412</v>
      </c>
      <c r="F181" s="10">
        <v>12330825</v>
      </c>
      <c r="G181" s="10">
        <v>18530412</v>
      </c>
      <c r="H181" s="1">
        <f t="shared" si="42"/>
        <v>6199587</v>
      </c>
    </row>
    <row r="182" ht="15">
      <c r="A182" s="6" t="s">
        <v>181</v>
      </c>
      <c r="B182" s="8">
        <f t="shared" si="40"/>
        <v>1234</v>
      </c>
      <c r="C182" s="8">
        <f t="shared" si="41"/>
        <v>1528</v>
      </c>
      <c r="D182" s="8">
        <f>VLOOKUP(A182,fonds!$B$2:$F$495,4,FALSE())</f>
        <v>12340219</v>
      </c>
      <c r="E182" s="8">
        <f>VLOOKUP($A182,fonds!$B$2:$F$495,5,FALSE())</f>
        <v>15280303</v>
      </c>
      <c r="F182" s="10">
        <v>12340219</v>
      </c>
      <c r="G182" s="10">
        <v>15280303</v>
      </c>
      <c r="H182" s="1">
        <f t="shared" si="42"/>
        <v>2940084</v>
      </c>
    </row>
    <row r="183" ht="15">
      <c r="A183" s="6" t="s">
        <v>73</v>
      </c>
      <c r="B183" s="8">
        <f t="shared" si="40"/>
        <v>1234</v>
      </c>
      <c r="C183" s="8">
        <f t="shared" si="41"/>
        <v>1417</v>
      </c>
      <c r="D183" s="8">
        <f>VLOOKUP(A183,fonds!$B$2:$F$495,4,FALSE())</f>
        <v>12341207</v>
      </c>
      <c r="E183" s="8">
        <f>VLOOKUP($A183,fonds!$B$2:$F$495,5,FALSE())</f>
        <v>14171122</v>
      </c>
      <c r="F183" s="10">
        <v>12341207</v>
      </c>
      <c r="G183" s="10">
        <v>14171122</v>
      </c>
      <c r="H183" s="1">
        <f t="shared" si="42"/>
        <v>1829915</v>
      </c>
    </row>
    <row r="184" ht="15">
      <c r="A184" s="6" t="s">
        <v>1843</v>
      </c>
      <c r="B184" s="8">
        <f t="shared" si="40"/>
        <v>1237</v>
      </c>
      <c r="C184" s="8">
        <f t="shared" si="41"/>
        <v>1387</v>
      </c>
      <c r="D184" s="8">
        <f>VLOOKUP(A184,fonds!$B$2:$F$495,4,FALSE())</f>
        <v>12370210</v>
      </c>
      <c r="E184" s="8">
        <f>VLOOKUP($A184,fonds!$B$2:$F$495,5,FALSE())</f>
        <v>13870708</v>
      </c>
      <c r="F184" s="10">
        <v>12370210</v>
      </c>
      <c r="G184" s="10">
        <v>13870708</v>
      </c>
      <c r="H184" s="1">
        <f t="shared" si="42"/>
        <v>1500498</v>
      </c>
    </row>
    <row r="185" ht="15">
      <c r="A185" s="6" t="s">
        <v>1219</v>
      </c>
      <c r="B185" s="8">
        <f t="shared" si="40"/>
        <v>1237</v>
      </c>
      <c r="C185" s="8">
        <f t="shared" si="41"/>
        <v>1799</v>
      </c>
      <c r="D185" s="8">
        <f>VLOOKUP(A185,fonds!$B$2:$F$495,4,FALSE())</f>
        <v>12370725</v>
      </c>
      <c r="E185" s="8">
        <f>VLOOKUP($A185,fonds!$B$2:$F$495,5,FALSE())</f>
        <v>17991016</v>
      </c>
      <c r="F185" s="10">
        <v>12370725</v>
      </c>
      <c r="G185" s="10">
        <v>17991016</v>
      </c>
      <c r="H185" s="1">
        <f t="shared" si="42"/>
        <v>5620291</v>
      </c>
    </row>
    <row r="186" ht="15">
      <c r="A186" s="6" t="s">
        <v>1463</v>
      </c>
      <c r="B186" s="8">
        <f t="shared" si="40"/>
        <v>1238</v>
      </c>
      <c r="C186" s="8">
        <f t="shared" si="41"/>
        <v>1393</v>
      </c>
      <c r="D186" s="8">
        <f>VLOOKUP(A186,fonds!$B$2:$F$495,4,FALSE())</f>
        <v>12380312</v>
      </c>
      <c r="E186" s="8">
        <f>VLOOKUP($A186,fonds!$B$2:$F$495,5,FALSE())</f>
        <v>13931003</v>
      </c>
      <c r="F186" s="10">
        <v>12380312</v>
      </c>
      <c r="G186" s="10">
        <v>13931003</v>
      </c>
      <c r="H186" s="1">
        <f t="shared" si="42"/>
        <v>1550691</v>
      </c>
    </row>
    <row r="187" ht="15">
      <c r="A187" s="6" t="s">
        <v>1499</v>
      </c>
      <c r="B187" s="8">
        <f t="shared" si="40"/>
        <v>1238</v>
      </c>
      <c r="C187" s="8">
        <f t="shared" si="41"/>
        <v>1392</v>
      </c>
      <c r="D187" s="8">
        <f>VLOOKUP(A187,fonds!$B$2:$F$495,4,FALSE())</f>
        <v>12380725</v>
      </c>
      <c r="E187" s="8">
        <f>VLOOKUP($A187,fonds!$B$2:$F$495,5,FALSE())</f>
        <v>13920222</v>
      </c>
      <c r="F187" s="10">
        <v>12380725</v>
      </c>
      <c r="G187" s="10">
        <v>13920222</v>
      </c>
      <c r="H187" s="1">
        <f t="shared" si="42"/>
        <v>1539497</v>
      </c>
    </row>
    <row r="188" ht="15">
      <c r="A188" s="6" t="s">
        <v>679</v>
      </c>
      <c r="B188" s="8">
        <f t="shared" si="40"/>
        <v>1238</v>
      </c>
      <c r="C188" s="8">
        <f t="shared" si="41"/>
        <v>1514</v>
      </c>
      <c r="D188" s="8">
        <f>VLOOKUP(A188,fonds!$B$2:$F$495,4,FALSE())</f>
        <v>12381015</v>
      </c>
      <c r="E188" s="8">
        <f>VLOOKUP($A188,fonds!$B$2:$F$495,5,FALSE())</f>
        <v>15140918</v>
      </c>
      <c r="F188" s="10">
        <v>12381015</v>
      </c>
      <c r="G188" s="10">
        <v>15140918</v>
      </c>
      <c r="H188" s="1">
        <f t="shared" si="42"/>
        <v>2759903</v>
      </c>
    </row>
    <row r="189" ht="15">
      <c r="A189" s="6" t="s">
        <v>125</v>
      </c>
      <c r="B189" s="8">
        <f t="shared" si="40"/>
        <v>1239</v>
      </c>
      <c r="C189" s="8">
        <f t="shared" si="41"/>
        <v>1697</v>
      </c>
      <c r="D189" s="8">
        <f>VLOOKUP(A189,fonds!$B$2:$F$495,4,FALSE())</f>
        <v>12391126</v>
      </c>
      <c r="E189" s="8">
        <f>VLOOKUP($A189,fonds!$B$2:$F$495,5,FALSE())</f>
        <v>16970627</v>
      </c>
      <c r="F189" s="10">
        <v>12391126</v>
      </c>
      <c r="G189" s="10">
        <v>16970627</v>
      </c>
      <c r="H189" s="1">
        <f t="shared" si="42"/>
        <v>4579501</v>
      </c>
    </row>
    <row r="190" ht="15">
      <c r="A190" s="6" t="s">
        <v>385</v>
      </c>
      <c r="B190" s="8">
        <f t="shared" si="40"/>
        <v>1240</v>
      </c>
      <c r="C190" s="8">
        <f t="shared" si="41"/>
        <v>1240</v>
      </c>
      <c r="D190" s="8">
        <f>VLOOKUP(A190,fonds!$B$2:$F$495,4,FALSE())</f>
        <v>12409999</v>
      </c>
      <c r="E190" s="8">
        <f>VLOOKUP($A190,fonds!$B$2:$F$495,5,FALSE())</f>
        <v>12409999</v>
      </c>
      <c r="F190" s="10">
        <v>12409999</v>
      </c>
      <c r="G190" s="10">
        <v>12409999</v>
      </c>
      <c r="H190" s="1">
        <f t="shared" si="42"/>
        <v>0</v>
      </c>
    </row>
    <row r="191" ht="15">
      <c r="A191" s="6" t="s">
        <v>1439</v>
      </c>
      <c r="B191" s="8">
        <f t="shared" si="40"/>
        <v>1242</v>
      </c>
      <c r="C191" s="8">
        <f t="shared" si="41"/>
        <v>1394</v>
      </c>
      <c r="D191" s="8">
        <f>VLOOKUP(A191,fonds!$B$2:$F$495,4,FALSE())</f>
        <v>12420430</v>
      </c>
      <c r="E191" s="8">
        <f>VLOOKUP($A191,fonds!$B$2:$F$495,5,FALSE())</f>
        <v>13940825</v>
      </c>
      <c r="F191" s="10">
        <v>12420430</v>
      </c>
      <c r="G191" s="10">
        <v>13940825</v>
      </c>
      <c r="H191" s="1">
        <f t="shared" si="42"/>
        <v>1520395</v>
      </c>
    </row>
    <row r="192" ht="15">
      <c r="A192" s="6" t="s">
        <v>13</v>
      </c>
      <c r="B192" s="8">
        <f t="shared" si="40"/>
        <v>1243</v>
      </c>
      <c r="C192" s="8">
        <f t="shared" si="41"/>
        <v>1765</v>
      </c>
      <c r="D192" s="8">
        <f>VLOOKUP(A192,fonds!$B$2:$F$495,4,FALSE())</f>
        <v>12430629</v>
      </c>
      <c r="E192" s="8">
        <f>VLOOKUP($A192,fonds!$B$2:$F$495,5,FALSE())</f>
        <v>17650422</v>
      </c>
      <c r="F192" s="10">
        <v>12430629</v>
      </c>
      <c r="G192" s="10">
        <v>17650422</v>
      </c>
      <c r="H192" s="1">
        <f t="shared" si="42"/>
        <v>5219793</v>
      </c>
    </row>
    <row r="193" ht="15">
      <c r="A193" s="6" t="s">
        <v>1751</v>
      </c>
      <c r="B193" s="8">
        <f t="shared" si="40"/>
        <v>1243</v>
      </c>
      <c r="C193" s="8">
        <f t="shared" si="41"/>
        <v>1398</v>
      </c>
      <c r="D193" s="8">
        <f>VLOOKUP(A193,fonds!$B$2:$F$495,4,FALSE())</f>
        <v>12430829</v>
      </c>
      <c r="E193" s="8">
        <f>VLOOKUP($A193,fonds!$B$2:$F$495,5,FALSE())</f>
        <v>13980831</v>
      </c>
      <c r="F193" s="10">
        <v>12430829</v>
      </c>
      <c r="G193" s="10">
        <v>13980831</v>
      </c>
      <c r="H193" s="1">
        <f t="shared" si="42"/>
        <v>1550002</v>
      </c>
    </row>
    <row r="194" ht="15">
      <c r="A194" s="6" t="s">
        <v>369</v>
      </c>
      <c r="B194" s="8">
        <f t="shared" si="40"/>
        <v>1243</v>
      </c>
      <c r="C194" s="8">
        <f t="shared" si="41"/>
        <v>1461</v>
      </c>
      <c r="D194" s="8">
        <f>VLOOKUP(A194,fonds!$B$2:$F$495,4,FALSE())</f>
        <v>12431014</v>
      </c>
      <c r="E194" s="8">
        <f>VLOOKUP($A194,fonds!$B$2:$F$495,5,FALSE())</f>
        <v>14610903</v>
      </c>
      <c r="F194" s="10">
        <v>12431014</v>
      </c>
      <c r="G194" s="10">
        <v>14610903</v>
      </c>
      <c r="H194" s="1">
        <f t="shared" si="42"/>
        <v>2179889</v>
      </c>
    </row>
    <row r="195" ht="15">
      <c r="A195" s="6" t="s">
        <v>1879</v>
      </c>
      <c r="B195" s="8">
        <f t="shared" si="40"/>
        <v>1243</v>
      </c>
      <c r="C195" s="8">
        <f t="shared" si="41"/>
        <v>1398</v>
      </c>
      <c r="D195" s="8">
        <f>VLOOKUP(A195,fonds!$B$2:$F$495,4,FALSE())</f>
        <v>12431117</v>
      </c>
      <c r="E195" s="8">
        <f>VLOOKUP($A195,fonds!$B$2:$F$495,5,FALSE())</f>
        <v>13981117</v>
      </c>
      <c r="F195" s="10">
        <v>12431117</v>
      </c>
      <c r="G195" s="10">
        <v>13981117</v>
      </c>
      <c r="H195" s="1">
        <f t="shared" si="42"/>
        <v>1550000</v>
      </c>
    </row>
    <row r="196" ht="15">
      <c r="A196" s="6" t="s">
        <v>1303</v>
      </c>
      <c r="B196" s="8">
        <f t="shared" si="40"/>
        <v>1244</v>
      </c>
      <c r="C196" s="8">
        <f t="shared" si="41"/>
        <v>1552</v>
      </c>
      <c r="D196" s="8">
        <f>VLOOKUP(A196,fonds!$B$2:$F$495,4,FALSE())</f>
        <v>12440415</v>
      </c>
      <c r="E196" s="8">
        <f>VLOOKUP($A196,fonds!$B$2:$F$495,5,FALSE())</f>
        <v>15520114</v>
      </c>
      <c r="F196" s="10">
        <v>12440415</v>
      </c>
      <c r="G196" s="10">
        <v>15520114</v>
      </c>
      <c r="H196" s="1">
        <f t="shared" si="42"/>
        <v>3079699</v>
      </c>
    </row>
    <row r="197" ht="15">
      <c r="A197" s="6" t="s">
        <v>1807</v>
      </c>
      <c r="B197" s="8">
        <f t="shared" si="40"/>
        <v>1245</v>
      </c>
      <c r="C197" s="8">
        <f t="shared" si="41"/>
        <v>1245</v>
      </c>
      <c r="D197" s="8">
        <f>VLOOKUP(A197,fonds!$B$2:$F$495,4,FALSE())</f>
        <v>12450129</v>
      </c>
      <c r="E197" s="8">
        <f>VLOOKUP($A197,fonds!$B$2:$F$495,5,FALSE())</f>
        <v>12450129</v>
      </c>
      <c r="F197" s="10">
        <v>12450129</v>
      </c>
      <c r="G197" s="10">
        <v>12450129</v>
      </c>
      <c r="H197" s="1">
        <f t="shared" si="42"/>
        <v>0</v>
      </c>
    </row>
    <row r="198" ht="15">
      <c r="A198" s="6" t="s">
        <v>1763</v>
      </c>
      <c r="B198" s="8">
        <f t="shared" si="40"/>
        <v>1246</v>
      </c>
      <c r="C198" s="8">
        <f t="shared" si="41"/>
        <v>1394</v>
      </c>
      <c r="D198" s="8">
        <f>VLOOKUP(A198,fonds!$B$2:$F$495,4,FALSE())</f>
        <v>12460125</v>
      </c>
      <c r="E198" s="8">
        <f>VLOOKUP($A198,fonds!$B$2:$F$495,5,FALSE())</f>
        <v>13941106</v>
      </c>
      <c r="F198" s="10">
        <v>12460125</v>
      </c>
      <c r="G198" s="10">
        <v>13941106</v>
      </c>
      <c r="H198" s="1">
        <f t="shared" si="42"/>
        <v>1480981</v>
      </c>
    </row>
    <row r="199" ht="15">
      <c r="A199" s="6" t="s">
        <v>1095</v>
      </c>
      <c r="B199" s="8">
        <f t="shared" si="40"/>
        <v>1246</v>
      </c>
      <c r="C199" s="8">
        <f t="shared" si="41"/>
        <v>1786</v>
      </c>
      <c r="D199" s="8">
        <f>VLOOKUP(A199,fonds!$B$2:$F$495,4,FALSE())</f>
        <v>12460920</v>
      </c>
      <c r="E199" s="8">
        <f>VLOOKUP($A199,fonds!$B$2:$F$495,5,FALSE())</f>
        <v>17861226</v>
      </c>
      <c r="F199" s="10">
        <v>12460920</v>
      </c>
      <c r="G199" s="10">
        <v>17861226</v>
      </c>
      <c r="H199" s="1">
        <f t="shared" si="42"/>
        <v>5400306</v>
      </c>
    </row>
    <row r="200" ht="15">
      <c r="A200" s="6" t="s">
        <v>1407</v>
      </c>
      <c r="B200" s="8">
        <f t="shared" si="40"/>
        <v>1246</v>
      </c>
      <c r="C200" s="8">
        <f t="shared" si="41"/>
        <v>1525</v>
      </c>
      <c r="D200" s="8">
        <f>VLOOKUP(A200,fonds!$B$2:$F$495,4,FALSE())</f>
        <v>12461112</v>
      </c>
      <c r="E200" s="8">
        <f>VLOOKUP($A200,fonds!$B$2:$F$495,5,FALSE())</f>
        <v>15250811</v>
      </c>
      <c r="F200" s="10">
        <v>12461112</v>
      </c>
      <c r="G200" s="10">
        <v>15250811</v>
      </c>
      <c r="H200" s="1">
        <f t="shared" si="42"/>
        <v>2789699</v>
      </c>
    </row>
    <row r="201" ht="15">
      <c r="A201" s="6" t="s">
        <v>1399</v>
      </c>
      <c r="B201" s="8">
        <f t="shared" si="40"/>
        <v>1246</v>
      </c>
      <c r="C201" s="8">
        <f t="shared" si="41"/>
        <v>1526</v>
      </c>
      <c r="D201" s="8">
        <f>VLOOKUP(A201,fonds!$B$2:$F$495,4,FALSE())</f>
        <v>12461126</v>
      </c>
      <c r="E201" s="8">
        <f>VLOOKUP($A201,fonds!$B$2:$F$495,5,FALSE())</f>
        <v>15260719</v>
      </c>
      <c r="F201" s="10">
        <v>12461126</v>
      </c>
      <c r="G201" s="10">
        <v>15260719</v>
      </c>
      <c r="H201" s="1">
        <f t="shared" si="42"/>
        <v>2799593</v>
      </c>
    </row>
    <row r="202" ht="15">
      <c r="A202" s="6" t="s">
        <v>37</v>
      </c>
      <c r="B202" s="8">
        <f t="shared" si="40"/>
        <v>1247</v>
      </c>
      <c r="C202" s="8">
        <f t="shared" si="41"/>
        <v>1418</v>
      </c>
      <c r="D202" s="8">
        <f>VLOOKUP(A202,fonds!$B$2:$F$495,4,FALSE())</f>
        <v>12479999</v>
      </c>
      <c r="E202" s="8">
        <f>VLOOKUP($A202,fonds!$B$2:$F$495,5,FALSE())</f>
        <v>14181011</v>
      </c>
      <c r="F202" s="10">
        <v>12479999</v>
      </c>
      <c r="G202" s="10">
        <v>14181011</v>
      </c>
      <c r="H202" s="1">
        <f t="shared" si="42"/>
        <v>1701012</v>
      </c>
    </row>
    <row r="203" ht="15">
      <c r="A203" s="6" t="s">
        <v>129</v>
      </c>
      <c r="B203" s="8">
        <f t="shared" si="40"/>
        <v>1249</v>
      </c>
      <c r="C203" s="8">
        <f t="shared" si="41"/>
        <v>1297</v>
      </c>
      <c r="D203" s="8">
        <f>VLOOKUP(A203,fonds!$B$2:$F$495,4,FALSE())</f>
        <v>12491231</v>
      </c>
      <c r="E203" s="8">
        <f>VLOOKUP($A203,fonds!$B$2:$F$495,5,FALSE())</f>
        <v>12971231</v>
      </c>
      <c r="F203" s="10">
        <v>12491231</v>
      </c>
      <c r="G203" s="10">
        <v>12971231</v>
      </c>
      <c r="H203" s="1">
        <f t="shared" si="42"/>
        <v>480000</v>
      </c>
    </row>
    <row r="204" ht="15">
      <c r="A204" s="6" t="s">
        <v>595</v>
      </c>
      <c r="B204" s="8">
        <f t="shared" si="40"/>
        <v>1250</v>
      </c>
      <c r="C204" s="8">
        <f t="shared" si="41"/>
        <v>1670</v>
      </c>
      <c r="D204" s="8">
        <f>VLOOKUP(A204,fonds!$B$2:$F$495,4,FALSE())</f>
        <v>12501006</v>
      </c>
      <c r="E204" s="8">
        <f>VLOOKUP($A204,fonds!$B$2:$F$495,5,FALSE())</f>
        <v>16700711</v>
      </c>
      <c r="F204" s="10">
        <v>12501006</v>
      </c>
      <c r="G204" s="10">
        <v>16700711</v>
      </c>
      <c r="H204" s="1">
        <f t="shared" si="42"/>
        <v>4199705</v>
      </c>
    </row>
    <row r="205" ht="15">
      <c r="A205" s="6" t="s">
        <v>1727</v>
      </c>
      <c r="B205" s="8">
        <f t="shared" si="40"/>
        <v>1251</v>
      </c>
      <c r="C205" s="8">
        <f t="shared" si="41"/>
        <v>1396</v>
      </c>
      <c r="D205" s="8">
        <f>VLOOKUP(A205,fonds!$B$2:$F$495,4,FALSE())</f>
        <v>12510128</v>
      </c>
      <c r="E205" s="8">
        <f>VLOOKUP($A205,fonds!$B$2:$F$495,5,FALSE())</f>
        <v>13960212</v>
      </c>
      <c r="F205" s="10">
        <v>12510128</v>
      </c>
      <c r="G205" s="10">
        <v>13960212</v>
      </c>
      <c r="H205" s="1">
        <f t="shared" si="42"/>
        <v>1450084</v>
      </c>
    </row>
    <row r="206" ht="15">
      <c r="A206" s="6" t="s">
        <v>915</v>
      </c>
      <c r="B206" s="8">
        <f t="shared" si="40"/>
        <v>1252</v>
      </c>
      <c r="C206" s="8">
        <f t="shared" si="41"/>
        <v>1252</v>
      </c>
      <c r="D206" s="8">
        <f>VLOOKUP(A206,fonds!$B$2:$F$495,4,FALSE())</f>
        <v>12520201</v>
      </c>
      <c r="E206" s="8">
        <f>VLOOKUP($A206,fonds!$B$2:$F$495,5,FALSE())</f>
        <v>12520201</v>
      </c>
      <c r="F206" s="10">
        <v>12520201</v>
      </c>
      <c r="G206" s="10">
        <v>12520201</v>
      </c>
      <c r="H206" s="1">
        <f t="shared" si="42"/>
        <v>0</v>
      </c>
    </row>
    <row r="207" ht="15">
      <c r="A207" s="6" t="s">
        <v>611</v>
      </c>
      <c r="B207" s="8">
        <f t="shared" si="40"/>
        <v>1252</v>
      </c>
      <c r="C207" s="8">
        <f t="shared" si="41"/>
        <v>1260</v>
      </c>
      <c r="D207" s="8">
        <f>VLOOKUP(A207,fonds!$B$2:$F$495,4,FALSE())</f>
        <v>12520312</v>
      </c>
      <c r="E207" s="8">
        <f>VLOOKUP($A207,fonds!$B$2:$F$495,5,FALSE())</f>
        <v>12601226</v>
      </c>
      <c r="F207" s="10">
        <v>12520312</v>
      </c>
      <c r="G207" s="10">
        <v>12601226</v>
      </c>
      <c r="H207" s="1">
        <f t="shared" si="42"/>
        <v>80914</v>
      </c>
    </row>
    <row r="208" ht="15">
      <c r="A208" s="6" t="s">
        <v>1435</v>
      </c>
      <c r="B208" s="8">
        <f t="shared" si="40"/>
        <v>1252</v>
      </c>
      <c r="C208" s="8">
        <f t="shared" si="41"/>
        <v>1317</v>
      </c>
      <c r="D208" s="8">
        <f>VLOOKUP(A208,fonds!$B$2:$F$495,4,FALSE())</f>
        <v>12520430</v>
      </c>
      <c r="E208" s="8">
        <f>VLOOKUP($A208,fonds!$B$2:$F$495,5,FALSE())</f>
        <v>13170214</v>
      </c>
      <c r="F208" s="10">
        <v>12520430</v>
      </c>
      <c r="G208" s="10">
        <v>13170214</v>
      </c>
      <c r="H208" s="1">
        <f t="shared" si="42"/>
        <v>649784</v>
      </c>
    </row>
    <row r="209" ht="15">
      <c r="A209" s="6" t="s">
        <v>587</v>
      </c>
      <c r="B209" s="8">
        <f t="shared" si="40"/>
        <v>1252</v>
      </c>
      <c r="C209" s="8">
        <f t="shared" si="41"/>
        <v>1629</v>
      </c>
      <c r="D209" s="8">
        <f>VLOOKUP(A209,fonds!$B$2:$F$495,4,FALSE())</f>
        <v>12529999</v>
      </c>
      <c r="E209" s="8">
        <f>VLOOKUP($A209,fonds!$B$2:$F$495,5,FALSE())</f>
        <v>16290917</v>
      </c>
      <c r="F209" s="10">
        <v>12529999</v>
      </c>
      <c r="G209" s="10">
        <v>16290917</v>
      </c>
      <c r="H209" s="1">
        <f t="shared" si="42"/>
        <v>3760918</v>
      </c>
    </row>
    <row r="210" ht="15">
      <c r="A210" s="6" t="s">
        <v>397</v>
      </c>
      <c r="B210" s="8">
        <f t="shared" si="40"/>
        <v>1253</v>
      </c>
      <c r="C210" s="8">
        <f t="shared" si="41"/>
        <v>1568</v>
      </c>
      <c r="D210" s="8">
        <f>VLOOKUP(A210,fonds!$B$2:$F$495,4,FALSE())</f>
        <v>12530602</v>
      </c>
      <c r="E210" s="8">
        <f>VLOOKUP($A210,fonds!$B$2:$F$495,5,FALSE())</f>
        <v>15680225</v>
      </c>
      <c r="F210" s="10">
        <v>12530602</v>
      </c>
      <c r="G210" s="10">
        <v>15680225</v>
      </c>
      <c r="H210" s="1">
        <f t="shared" si="42"/>
        <v>3149623</v>
      </c>
    </row>
    <row r="211" ht="15">
      <c r="A211" s="6" t="s">
        <v>1659</v>
      </c>
      <c r="B211" s="8">
        <f t="shared" si="40"/>
        <v>1255</v>
      </c>
      <c r="C211" s="8">
        <f t="shared" si="41"/>
        <v>1392</v>
      </c>
      <c r="D211" s="8">
        <f>VLOOKUP(A211,fonds!$B$2:$F$495,4,FALSE())</f>
        <v>12550204</v>
      </c>
      <c r="E211" s="8">
        <f>VLOOKUP($A211,fonds!$B$2:$F$495,5,FALSE())</f>
        <v>13921209</v>
      </c>
      <c r="F211" s="10">
        <v>12550204</v>
      </c>
      <c r="G211" s="10">
        <v>13921209</v>
      </c>
      <c r="H211" s="1">
        <f t="shared" si="42"/>
        <v>1371005</v>
      </c>
    </row>
    <row r="212" ht="15">
      <c r="A212" s="6" t="s">
        <v>1887</v>
      </c>
      <c r="B212" s="8">
        <f t="shared" si="40"/>
        <v>1255</v>
      </c>
      <c r="C212" s="8">
        <f t="shared" si="41"/>
        <v>1372</v>
      </c>
      <c r="D212" s="8">
        <f>VLOOKUP(A212,fonds!$B$2:$F$495,4,FALSE())</f>
        <v>12550320</v>
      </c>
      <c r="E212" s="8">
        <f>VLOOKUP($A212,fonds!$B$2:$F$495,5,FALSE())</f>
        <v>13721205</v>
      </c>
      <c r="F212" s="10">
        <v>12550320</v>
      </c>
      <c r="G212" s="10">
        <v>13721205</v>
      </c>
      <c r="H212" s="1">
        <f t="shared" si="42"/>
        <v>1170885</v>
      </c>
    </row>
    <row r="213" ht="15">
      <c r="A213" s="6" t="s">
        <v>1779</v>
      </c>
      <c r="B213" s="8">
        <f t="shared" si="40"/>
        <v>1255</v>
      </c>
      <c r="C213" s="8">
        <f t="shared" si="41"/>
        <v>1397</v>
      </c>
      <c r="D213" s="8">
        <f>VLOOKUP(A213,fonds!$B$2:$F$495,4,FALSE())</f>
        <v>12550323</v>
      </c>
      <c r="E213" s="8">
        <f>VLOOKUP($A213,fonds!$B$2:$F$495,5,FALSE())</f>
        <v>13971104</v>
      </c>
      <c r="F213" s="10">
        <v>12550323</v>
      </c>
      <c r="G213" s="10">
        <v>13971104</v>
      </c>
      <c r="H213" s="1">
        <f t="shared" si="42"/>
        <v>1420781</v>
      </c>
    </row>
    <row r="214" ht="15">
      <c r="A214" s="6" t="s">
        <v>393</v>
      </c>
      <c r="B214" s="8">
        <f t="shared" si="40"/>
        <v>1255</v>
      </c>
      <c r="C214" s="8">
        <f t="shared" si="41"/>
        <v>1480</v>
      </c>
      <c r="D214" s="8">
        <f>VLOOKUP(A214,fonds!$B$2:$F$495,4,FALSE())</f>
        <v>12550330</v>
      </c>
      <c r="E214" s="8">
        <f>VLOOKUP($A214,fonds!$B$2:$F$495,5,FALSE())</f>
        <v>14801231</v>
      </c>
      <c r="F214" s="10">
        <v>12550330</v>
      </c>
      <c r="G214" s="10">
        <v>14801231</v>
      </c>
      <c r="H214" s="1">
        <f t="shared" si="42"/>
        <v>2250901</v>
      </c>
    </row>
    <row r="215" ht="15">
      <c r="A215" s="6" t="s">
        <v>951</v>
      </c>
      <c r="B215" s="8">
        <f t="shared" si="40"/>
        <v>1255</v>
      </c>
      <c r="C215" s="8">
        <f t="shared" si="41"/>
        <v>1861</v>
      </c>
      <c r="D215" s="8">
        <f>VLOOKUP(A215,fonds!$B$2:$F$495,4,FALSE())</f>
        <v>12550409</v>
      </c>
      <c r="E215" s="8">
        <f>VLOOKUP($A215,fonds!$B$2:$F$495,5,FALSE())</f>
        <v>18610322</v>
      </c>
      <c r="F215" s="10">
        <v>12550409</v>
      </c>
      <c r="G215" s="10">
        <v>18610322</v>
      </c>
      <c r="H215" s="1">
        <f t="shared" si="42"/>
        <v>6059913</v>
      </c>
    </row>
    <row r="216" ht="15">
      <c r="A216" s="6" t="s">
        <v>1731</v>
      </c>
      <c r="B216" s="8">
        <f t="shared" si="40"/>
        <v>1255</v>
      </c>
      <c r="C216" s="8">
        <f t="shared" si="41"/>
        <v>1397</v>
      </c>
      <c r="D216" s="8">
        <f>VLOOKUP(A216,fonds!$B$2:$F$495,4,FALSE())</f>
        <v>12551031</v>
      </c>
      <c r="E216" s="8">
        <f>VLOOKUP($A216,fonds!$B$2:$F$495,5,FALSE())</f>
        <v>13970825</v>
      </c>
      <c r="F216" s="10">
        <v>12551031</v>
      </c>
      <c r="G216" s="10">
        <v>13970825</v>
      </c>
      <c r="H216" s="1">
        <f t="shared" si="42"/>
        <v>1419794</v>
      </c>
    </row>
    <row r="217" ht="15">
      <c r="A217" s="6" t="s">
        <v>1855</v>
      </c>
      <c r="B217" s="8">
        <f t="shared" si="40"/>
        <v>1255</v>
      </c>
      <c r="C217" s="8">
        <f t="shared" si="41"/>
        <v>1398</v>
      </c>
      <c r="D217" s="8">
        <f>VLOOKUP(A217,fonds!$B$2:$F$495,4,FALSE())</f>
        <v>12551212</v>
      </c>
      <c r="E217" s="8">
        <f>VLOOKUP($A217,fonds!$B$2:$F$495,5,FALSE())</f>
        <v>13981219</v>
      </c>
      <c r="F217" s="10">
        <v>12551212</v>
      </c>
      <c r="G217" s="10">
        <v>13981219</v>
      </c>
      <c r="H217" s="1">
        <f t="shared" si="42"/>
        <v>1430007</v>
      </c>
    </row>
    <row r="218" ht="15">
      <c r="A218" s="6" t="s">
        <v>1979</v>
      </c>
      <c r="B218" s="8">
        <f t="shared" si="40"/>
        <v>1255</v>
      </c>
      <c r="C218" s="8">
        <f t="shared" si="41"/>
        <v>1735</v>
      </c>
      <c r="D218" s="8">
        <f>VLOOKUP(A218,fonds!$B$2:$F$495,4,FALSE())</f>
        <v>12559999</v>
      </c>
      <c r="E218" s="8">
        <f>VLOOKUP($A218,fonds!$B$2:$F$495,5,FALSE())</f>
        <v>17350814</v>
      </c>
      <c r="F218" s="10">
        <v>12559999</v>
      </c>
      <c r="G218" s="10">
        <v>17350814</v>
      </c>
      <c r="H218" s="1">
        <f t="shared" si="42"/>
        <v>4790815</v>
      </c>
    </row>
    <row r="219" ht="15">
      <c r="A219" s="6" t="s">
        <v>1099</v>
      </c>
      <c r="B219" s="8">
        <f t="shared" si="40"/>
        <v>1256</v>
      </c>
      <c r="C219" s="8">
        <f t="shared" si="41"/>
        <v>1760</v>
      </c>
      <c r="D219" s="8">
        <f>VLOOKUP(A219,fonds!$B$2:$F$495,4,FALSE())</f>
        <v>12560126</v>
      </c>
      <c r="E219" s="8">
        <f>VLOOKUP($A219,fonds!$B$2:$F$495,5,FALSE())</f>
        <v>17601224</v>
      </c>
      <c r="F219" s="10">
        <v>12560126</v>
      </c>
      <c r="G219" s="10">
        <v>17601224</v>
      </c>
      <c r="H219" s="1">
        <f t="shared" si="42"/>
        <v>5041098</v>
      </c>
    </row>
    <row r="220" ht="15">
      <c r="A220" s="6" t="s">
        <v>863</v>
      </c>
      <c r="B220" s="8">
        <f t="shared" si="40"/>
        <v>1256</v>
      </c>
      <c r="C220" s="8">
        <f t="shared" si="41"/>
        <v>1523</v>
      </c>
      <c r="D220" s="8">
        <f>VLOOKUP(A220,fonds!$B$2:$F$495,4,FALSE())</f>
        <v>12561223</v>
      </c>
      <c r="E220" s="8">
        <f>VLOOKUP($A220,fonds!$B$2:$F$495,5,FALSE())</f>
        <v>15231004</v>
      </c>
      <c r="F220" s="10">
        <v>12561223</v>
      </c>
      <c r="G220" s="10">
        <v>15231004</v>
      </c>
      <c r="H220" s="1">
        <f t="shared" si="42"/>
        <v>2669781</v>
      </c>
    </row>
    <row r="221" ht="15">
      <c r="A221" s="6" t="s">
        <v>189</v>
      </c>
      <c r="B221" s="8">
        <f t="shared" si="40"/>
        <v>1256</v>
      </c>
      <c r="C221" s="8">
        <f t="shared" si="41"/>
        <v>1752</v>
      </c>
      <c r="D221" s="8">
        <f>VLOOKUP(A221,fonds!$B$2:$F$495,4,FALSE())</f>
        <v>12569999</v>
      </c>
      <c r="E221" s="8">
        <f>VLOOKUP($A221,fonds!$B$2:$F$495,5,FALSE())</f>
        <v>17520612</v>
      </c>
      <c r="F221" s="10">
        <v>12569999</v>
      </c>
      <c r="G221" s="10">
        <v>17520612</v>
      </c>
      <c r="H221" s="1">
        <f t="shared" si="42"/>
        <v>4950613</v>
      </c>
    </row>
    <row r="222" ht="15">
      <c r="A222" s="6" t="s">
        <v>329</v>
      </c>
      <c r="B222" s="8">
        <f t="shared" si="40"/>
        <v>1257</v>
      </c>
      <c r="C222" s="8">
        <f t="shared" si="41"/>
        <v>1257</v>
      </c>
      <c r="D222" s="8">
        <f>VLOOKUP(A222,fonds!$B$2:$F$495,4,FALSE())</f>
        <v>12570730</v>
      </c>
      <c r="E222" s="8">
        <f>VLOOKUP($A222,fonds!$B$2:$F$495,5,FALSE())</f>
        <v>12570730</v>
      </c>
      <c r="F222" s="10">
        <v>12570730</v>
      </c>
      <c r="G222" s="10">
        <v>12570730</v>
      </c>
      <c r="H222" s="1">
        <f t="shared" si="42"/>
        <v>0</v>
      </c>
    </row>
    <row r="223" ht="15">
      <c r="A223" s="6" t="s">
        <v>508</v>
      </c>
      <c r="B223" s="8">
        <f t="shared" si="40"/>
        <v>1257</v>
      </c>
      <c r="C223" s="8">
        <f t="shared" si="41"/>
        <v>1799</v>
      </c>
      <c r="D223" s="8">
        <f>VLOOKUP(A223,fonds!$B$2:$F$495,4,FALSE())</f>
        <v>12570808</v>
      </c>
      <c r="E223" s="8">
        <f>VLOOKUP($A223,fonds!$B$2:$F$495,5,FALSE())</f>
        <v>17990930</v>
      </c>
      <c r="F223" s="10">
        <v>12570808</v>
      </c>
      <c r="G223" s="10">
        <v>17990930</v>
      </c>
      <c r="H223" s="1">
        <f t="shared" si="42"/>
        <v>5420122</v>
      </c>
    </row>
    <row r="224" ht="15">
      <c r="A224" s="6" t="s">
        <v>492</v>
      </c>
      <c r="B224" s="8">
        <f t="shared" si="40"/>
        <v>1258</v>
      </c>
      <c r="C224" s="8">
        <f t="shared" si="41"/>
        <v>1289</v>
      </c>
      <c r="D224" s="8">
        <f>VLOOKUP(A224,fonds!$B$2:$F$495,4,FALSE())</f>
        <v>12580107</v>
      </c>
      <c r="E224" s="8">
        <f>VLOOKUP($A224,fonds!$B$2:$F$495,5,FALSE())</f>
        <v>12890101</v>
      </c>
      <c r="F224" s="10">
        <v>12580107</v>
      </c>
      <c r="G224" s="10">
        <v>12890101</v>
      </c>
      <c r="H224" s="1">
        <f t="shared" si="42"/>
        <v>309994</v>
      </c>
    </row>
    <row r="225" ht="15">
      <c r="A225" s="6" t="s">
        <v>775</v>
      </c>
      <c r="B225" s="8">
        <f t="shared" si="40"/>
        <v>1258</v>
      </c>
      <c r="C225" s="8">
        <f t="shared" si="41"/>
        <v>1841</v>
      </c>
      <c r="D225" s="8">
        <f>VLOOKUP(A225,fonds!$B$2:$F$495,4,FALSE())</f>
        <v>12580223</v>
      </c>
      <c r="E225" s="8">
        <f>VLOOKUP($A225,fonds!$B$2:$F$495,5,FALSE())</f>
        <v>18411228</v>
      </c>
      <c r="F225" s="10">
        <v>12580223</v>
      </c>
      <c r="G225" s="10">
        <v>18411228</v>
      </c>
      <c r="H225" s="1">
        <f t="shared" si="42"/>
        <v>5831005</v>
      </c>
    </row>
    <row r="226" ht="15">
      <c r="A226" s="6" t="s">
        <v>1119</v>
      </c>
      <c r="B226" s="8">
        <f t="shared" si="40"/>
        <v>1259</v>
      </c>
      <c r="C226" s="8">
        <f t="shared" si="41"/>
        <v>1631</v>
      </c>
      <c r="D226" s="8">
        <f>VLOOKUP(A226,fonds!$B$2:$F$495,4,FALSE())</f>
        <v>12590713</v>
      </c>
      <c r="E226" s="8">
        <f>VLOOKUP($A226,fonds!$B$2:$F$495,5,FALSE())</f>
        <v>16310321</v>
      </c>
      <c r="F226" s="10">
        <v>12590713</v>
      </c>
      <c r="G226" s="10">
        <v>16310321</v>
      </c>
      <c r="H226" s="1">
        <f t="shared" si="42"/>
        <v>3719608</v>
      </c>
    </row>
    <row r="227" ht="15">
      <c r="A227" s="6" t="s">
        <v>1607</v>
      </c>
      <c r="B227" s="8">
        <f t="shared" si="40"/>
        <v>1260</v>
      </c>
      <c r="C227" s="8">
        <f t="shared" si="41"/>
        <v>1379</v>
      </c>
      <c r="D227" s="8">
        <f>VLOOKUP(A227,fonds!$B$2:$F$495,4,FALSE())</f>
        <v>12600105</v>
      </c>
      <c r="E227" s="8">
        <f>VLOOKUP($A227,fonds!$B$2:$F$495,5,FALSE())</f>
        <v>13791226</v>
      </c>
      <c r="F227" s="10">
        <v>12600105</v>
      </c>
      <c r="G227" s="10">
        <v>13791226</v>
      </c>
      <c r="H227" s="1">
        <f t="shared" si="42"/>
        <v>1191121</v>
      </c>
    </row>
    <row r="228" ht="15">
      <c r="A228" s="6" t="s">
        <v>1903</v>
      </c>
      <c r="B228" s="8">
        <f t="shared" ref="B228:B291" si="43">FLOOR(F228/10000,1)</f>
        <v>1261</v>
      </c>
      <c r="C228" s="8">
        <f t="shared" ref="C228:C291" si="44">FLOOR(G228/10000,1)</f>
        <v>1398</v>
      </c>
      <c r="D228" s="8">
        <f>VLOOKUP(A228,fonds!$B$2:$F$495,4,FALSE())</f>
        <v>12611020</v>
      </c>
      <c r="E228" s="8">
        <f>VLOOKUP($A228,fonds!$B$2:$F$495,5,FALSE())</f>
        <v>13980409</v>
      </c>
      <c r="F228" s="10">
        <v>12611020</v>
      </c>
      <c r="G228" s="10">
        <v>13980409</v>
      </c>
      <c r="H228" s="1">
        <f t="shared" ref="H228:H291" si="45">G228-F228</f>
        <v>1369389</v>
      </c>
    </row>
    <row r="229" ht="15">
      <c r="A229" s="6" t="s">
        <v>1703</v>
      </c>
      <c r="B229" s="8">
        <f t="shared" si="43"/>
        <v>1263</v>
      </c>
      <c r="C229" s="8">
        <f t="shared" si="44"/>
        <v>1397</v>
      </c>
      <c r="D229" s="8">
        <f>VLOOKUP(A229,fonds!$B$2:$F$495,4,FALSE())</f>
        <v>12630324</v>
      </c>
      <c r="E229" s="8">
        <f>VLOOKUP($A229,fonds!$B$2:$F$495,5,FALSE())</f>
        <v>13970729</v>
      </c>
      <c r="F229" s="10">
        <v>12630324</v>
      </c>
      <c r="G229" s="10">
        <v>13970729</v>
      </c>
      <c r="H229" s="1">
        <f t="shared" si="45"/>
        <v>1340405</v>
      </c>
    </row>
    <row r="230" ht="15">
      <c r="A230" s="6" t="s">
        <v>65</v>
      </c>
      <c r="B230" s="8">
        <f t="shared" si="43"/>
        <v>1263</v>
      </c>
      <c r="C230" s="8">
        <f t="shared" si="44"/>
        <v>1488</v>
      </c>
      <c r="D230" s="8">
        <f>VLOOKUP(A230,fonds!$B$2:$F$495,4,FALSE())</f>
        <v>12630507</v>
      </c>
      <c r="E230" s="8">
        <f>VLOOKUP($A230,fonds!$B$2:$F$495,5,FALSE())</f>
        <v>14880417</v>
      </c>
      <c r="F230" s="10">
        <v>12630507</v>
      </c>
      <c r="G230" s="10">
        <v>14880417</v>
      </c>
      <c r="H230" s="1">
        <f t="shared" si="45"/>
        <v>2249910</v>
      </c>
    </row>
    <row r="231" ht="15">
      <c r="A231" s="6" t="s">
        <v>859</v>
      </c>
      <c r="B231" s="8">
        <f t="shared" si="43"/>
        <v>1263</v>
      </c>
      <c r="C231" s="8">
        <f t="shared" si="44"/>
        <v>1840</v>
      </c>
      <c r="D231" s="8">
        <f>VLOOKUP(A231,fonds!$B$2:$F$495,4,FALSE())</f>
        <v>12631231</v>
      </c>
      <c r="E231" s="8">
        <f>VLOOKUP($A231,fonds!$B$2:$F$495,5,FALSE())</f>
        <v>18401124</v>
      </c>
      <c r="F231" s="10">
        <v>12631231</v>
      </c>
      <c r="G231" s="10">
        <v>18401124</v>
      </c>
      <c r="H231" s="1">
        <f t="shared" si="45"/>
        <v>5769893</v>
      </c>
    </row>
    <row r="232" ht="15">
      <c r="A232" s="6" t="s">
        <v>560</v>
      </c>
      <c r="B232" s="8">
        <f t="shared" si="43"/>
        <v>1264</v>
      </c>
      <c r="C232" s="8">
        <f t="shared" si="44"/>
        <v>1776</v>
      </c>
      <c r="D232" s="8">
        <f>VLOOKUP(A232,fonds!$B$2:$F$495,4,FALSE())</f>
        <v>12640418</v>
      </c>
      <c r="E232" s="8">
        <f>VLOOKUP($A232,fonds!$B$2:$F$495,5,FALSE())</f>
        <v>17761128</v>
      </c>
      <c r="F232" s="10">
        <v>12640418</v>
      </c>
      <c r="G232" s="10">
        <v>17761128</v>
      </c>
      <c r="H232" s="1">
        <f t="shared" si="45"/>
        <v>5120710</v>
      </c>
    </row>
    <row r="233" ht="15">
      <c r="A233" s="6" t="s">
        <v>205</v>
      </c>
      <c r="B233" s="8">
        <f t="shared" si="43"/>
        <v>1265</v>
      </c>
      <c r="C233" s="8">
        <f t="shared" si="44"/>
        <v>1640</v>
      </c>
      <c r="D233" s="8">
        <f>VLOOKUP(A233,fonds!$B$2:$F$495,4,FALSE())</f>
        <v>12650504</v>
      </c>
      <c r="E233" s="8">
        <f>VLOOKUP($A233,fonds!$B$2:$F$495,5,FALSE())</f>
        <v>16400409</v>
      </c>
      <c r="F233" s="10">
        <v>12650504</v>
      </c>
      <c r="G233" s="10">
        <v>16400409</v>
      </c>
      <c r="H233" s="1">
        <f t="shared" si="45"/>
        <v>3749905</v>
      </c>
    </row>
    <row r="234" ht="15">
      <c r="A234" s="6" t="s">
        <v>1883</v>
      </c>
      <c r="B234" s="8">
        <f t="shared" si="43"/>
        <v>1265</v>
      </c>
      <c r="C234" s="8">
        <f t="shared" si="44"/>
        <v>1398</v>
      </c>
      <c r="D234" s="8">
        <f>VLOOKUP(A234,fonds!$B$2:$F$495,4,FALSE())</f>
        <v>12650509</v>
      </c>
      <c r="E234" s="8">
        <f>VLOOKUP($A234,fonds!$B$2:$F$495,5,FALSE())</f>
        <v>13980715</v>
      </c>
      <c r="F234" s="10">
        <v>12650509</v>
      </c>
      <c r="G234" s="10">
        <v>13980715</v>
      </c>
      <c r="H234" s="1">
        <f t="shared" si="45"/>
        <v>1330206</v>
      </c>
    </row>
    <row r="235" ht="15">
      <c r="A235" s="6" t="s">
        <v>1051</v>
      </c>
      <c r="B235" s="8">
        <f t="shared" si="43"/>
        <v>1268</v>
      </c>
      <c r="C235" s="8">
        <f t="shared" si="44"/>
        <v>1791</v>
      </c>
      <c r="D235" s="8">
        <f>VLOOKUP(A235,fonds!$B$2:$F$495,4,FALSE())</f>
        <v>12680207</v>
      </c>
      <c r="E235" s="8">
        <f>VLOOKUP($A235,fonds!$B$2:$F$495,5,FALSE())</f>
        <v>17910724</v>
      </c>
      <c r="F235" s="10">
        <v>12680207</v>
      </c>
      <c r="G235" s="10">
        <v>17910724</v>
      </c>
      <c r="H235" s="1">
        <f t="shared" si="45"/>
        <v>5230517</v>
      </c>
    </row>
    <row r="236" ht="15">
      <c r="A236" s="6" t="s">
        <v>101</v>
      </c>
      <c r="B236" s="8">
        <f t="shared" si="43"/>
        <v>1268</v>
      </c>
      <c r="C236" s="8">
        <f t="shared" si="44"/>
        <v>1461</v>
      </c>
      <c r="D236" s="8">
        <f>VLOOKUP(A236,fonds!$B$2:$F$495,4,FALSE())</f>
        <v>12681231</v>
      </c>
      <c r="E236" s="8">
        <f>VLOOKUP($A236,fonds!$B$2:$F$495,5,FALSE())</f>
        <v>14610527</v>
      </c>
      <c r="F236" s="10">
        <v>12681231</v>
      </c>
      <c r="G236" s="10">
        <v>14610527</v>
      </c>
      <c r="H236" s="1">
        <f t="shared" si="45"/>
        <v>1929296</v>
      </c>
    </row>
    <row r="237" ht="15">
      <c r="A237" s="6" t="s">
        <v>1111</v>
      </c>
      <c r="B237" s="8">
        <f t="shared" si="43"/>
        <v>1270</v>
      </c>
      <c r="C237" s="8">
        <f t="shared" si="44"/>
        <v>1795</v>
      </c>
      <c r="D237" s="8">
        <f>VLOOKUP(A237,fonds!$B$2:$F$495,4,FALSE())</f>
        <v>12700408</v>
      </c>
      <c r="E237" s="8">
        <f>VLOOKUP($A237,fonds!$B$2:$F$495,5,FALSE())</f>
        <v>17950721</v>
      </c>
      <c r="F237" s="10">
        <v>12700408</v>
      </c>
      <c r="G237" s="10">
        <v>17950721</v>
      </c>
      <c r="H237" s="1">
        <f t="shared" si="45"/>
        <v>5250313</v>
      </c>
    </row>
    <row r="238" ht="15">
      <c r="A238" s="6" t="s">
        <v>1027</v>
      </c>
      <c r="B238" s="8">
        <f t="shared" si="43"/>
        <v>1272</v>
      </c>
      <c r="C238" s="8">
        <f t="shared" si="44"/>
        <v>1424</v>
      </c>
      <c r="D238" s="8">
        <f>VLOOKUP(A238,fonds!$B$2:$F$495,4,FALSE())</f>
        <v>12720521</v>
      </c>
      <c r="E238" s="8">
        <f>VLOOKUP($A238,fonds!$B$2:$F$495,5,FALSE())</f>
        <v>14240214</v>
      </c>
      <c r="F238" s="10">
        <v>12720521</v>
      </c>
      <c r="G238" s="10">
        <v>14240214</v>
      </c>
      <c r="H238" s="1">
        <f t="shared" si="45"/>
        <v>1519693</v>
      </c>
    </row>
    <row r="239" ht="15">
      <c r="A239" s="6" t="s">
        <v>947</v>
      </c>
      <c r="B239" s="8">
        <f t="shared" si="43"/>
        <v>1273</v>
      </c>
      <c r="C239" s="8">
        <f t="shared" si="44"/>
        <v>1524</v>
      </c>
      <c r="D239" s="8">
        <f>VLOOKUP(A239,fonds!$B$2:$F$495,4,FALSE())</f>
        <v>12730114</v>
      </c>
      <c r="E239" s="8">
        <f>VLOOKUP($A239,fonds!$B$2:$F$495,5,FALSE())</f>
        <v>15240403</v>
      </c>
      <c r="F239" s="10">
        <v>12730114</v>
      </c>
      <c r="G239" s="10">
        <v>15240403</v>
      </c>
      <c r="H239" s="1">
        <f t="shared" si="45"/>
        <v>2510289</v>
      </c>
    </row>
    <row r="240" ht="15">
      <c r="A240" s="6" t="s">
        <v>213</v>
      </c>
      <c r="B240" s="8">
        <f t="shared" si="43"/>
        <v>1273</v>
      </c>
      <c r="C240" s="8">
        <f t="shared" si="44"/>
        <v>1273</v>
      </c>
      <c r="D240" s="8">
        <f>VLOOKUP(A240,fonds!$B$2:$F$495,4,FALSE())</f>
        <v>12731122</v>
      </c>
      <c r="E240" s="8">
        <f>VLOOKUP($A240,fonds!$B$2:$F$495,5,FALSE())</f>
        <v>12731122</v>
      </c>
      <c r="F240" s="10">
        <v>12731122</v>
      </c>
      <c r="G240" s="10">
        <v>12731122</v>
      </c>
      <c r="H240" s="1">
        <f t="shared" si="45"/>
        <v>0</v>
      </c>
    </row>
    <row r="241" ht="15">
      <c r="A241" s="6" t="s">
        <v>89</v>
      </c>
      <c r="B241" s="8">
        <f t="shared" si="43"/>
        <v>1273</v>
      </c>
      <c r="C241" s="8">
        <f t="shared" si="44"/>
        <v>1568</v>
      </c>
      <c r="D241" s="8">
        <f>VLOOKUP(A241,fonds!$B$2:$F$495,4,FALSE())</f>
        <v>12731219</v>
      </c>
      <c r="E241" s="8">
        <f>VLOOKUP($A241,fonds!$B$2:$F$495,5,FALSE())</f>
        <v>15680401</v>
      </c>
      <c r="F241" s="10">
        <v>12731219</v>
      </c>
      <c r="G241" s="10">
        <v>15680401</v>
      </c>
      <c r="H241" s="1">
        <f t="shared" si="45"/>
        <v>2949182</v>
      </c>
    </row>
    <row r="242" ht="15">
      <c r="A242" s="6" t="s">
        <v>815</v>
      </c>
      <c r="B242" s="8">
        <f t="shared" si="43"/>
        <v>1274</v>
      </c>
      <c r="C242" s="8">
        <f t="shared" si="44"/>
        <v>1578</v>
      </c>
      <c r="D242" s="8">
        <f>VLOOKUP(A242,fonds!$B$2:$F$495,4,FALSE())</f>
        <v>12740310</v>
      </c>
      <c r="E242" s="8">
        <f>VLOOKUP($A242,fonds!$B$2:$F$495,5,FALSE())</f>
        <v>15780229</v>
      </c>
      <c r="F242" s="10">
        <v>12740310</v>
      </c>
      <c r="G242" s="10">
        <v>15780229</v>
      </c>
      <c r="H242" s="1">
        <f t="shared" si="45"/>
        <v>3039919</v>
      </c>
    </row>
    <row r="243" ht="15">
      <c r="A243" s="6" t="s">
        <v>1523</v>
      </c>
      <c r="B243" s="8">
        <f t="shared" si="43"/>
        <v>1275</v>
      </c>
      <c r="C243" s="8">
        <f t="shared" si="44"/>
        <v>1398</v>
      </c>
      <c r="D243" s="8">
        <f>VLOOKUP(A243,fonds!$B$2:$F$495,4,FALSE())</f>
        <v>12750120</v>
      </c>
      <c r="E243" s="8">
        <f>VLOOKUP($A243,fonds!$B$2:$F$495,5,FALSE())</f>
        <v>13980205</v>
      </c>
      <c r="F243" s="10">
        <v>12750120</v>
      </c>
      <c r="G243" s="10">
        <v>13980205</v>
      </c>
      <c r="H243" s="1">
        <f t="shared" si="45"/>
        <v>1230085</v>
      </c>
    </row>
    <row r="244" ht="15">
      <c r="A244" s="6" t="s">
        <v>1527</v>
      </c>
      <c r="B244" s="8">
        <f t="shared" si="43"/>
        <v>1276</v>
      </c>
      <c r="C244" s="8">
        <f t="shared" si="44"/>
        <v>1399</v>
      </c>
      <c r="D244" s="8">
        <f>VLOOKUP(A244,fonds!$B$2:$F$495,4,FALSE())</f>
        <v>12760828</v>
      </c>
      <c r="E244" s="8">
        <f>VLOOKUP($A244,fonds!$B$2:$F$495,5,FALSE())</f>
        <v>13990127</v>
      </c>
      <c r="F244" s="10">
        <v>12760828</v>
      </c>
      <c r="G244" s="10">
        <v>13990127</v>
      </c>
      <c r="H244" s="1">
        <f t="shared" si="45"/>
        <v>1229299</v>
      </c>
    </row>
    <row r="245" ht="15">
      <c r="A245" s="6" t="s">
        <v>464</v>
      </c>
      <c r="B245" s="8">
        <f t="shared" si="43"/>
        <v>1276</v>
      </c>
      <c r="C245" s="8">
        <f t="shared" si="44"/>
        <v>1729</v>
      </c>
      <c r="D245" s="8">
        <f>VLOOKUP(A245,fonds!$B$2:$F$495,4,FALSE())</f>
        <v>12761231</v>
      </c>
      <c r="E245" s="8">
        <f>VLOOKUP($A245,fonds!$B$2:$F$495,5,FALSE())</f>
        <v>17290712</v>
      </c>
      <c r="F245" s="10">
        <v>12761231</v>
      </c>
      <c r="G245" s="10">
        <v>17290712</v>
      </c>
      <c r="H245" s="1">
        <f t="shared" si="45"/>
        <v>4529481</v>
      </c>
    </row>
    <row r="246" ht="15">
      <c r="A246" s="6" t="s">
        <v>353</v>
      </c>
      <c r="B246" s="8">
        <f t="shared" si="43"/>
        <v>1278</v>
      </c>
      <c r="C246" s="8">
        <f t="shared" si="44"/>
        <v>1489</v>
      </c>
      <c r="D246" s="8">
        <f>VLOOKUP(A246,fonds!$B$2:$F$495,4,FALSE())</f>
        <v>12780211</v>
      </c>
      <c r="E246" s="8">
        <f>VLOOKUP($A246,fonds!$B$2:$F$495,5,FALSE())</f>
        <v>14890926</v>
      </c>
      <c r="F246" s="10">
        <v>12780211</v>
      </c>
      <c r="G246" s="10">
        <v>14890926</v>
      </c>
      <c r="H246" s="1">
        <f t="shared" si="45"/>
        <v>2110715</v>
      </c>
    </row>
    <row r="247" ht="15">
      <c r="A247" s="6" t="s">
        <v>807</v>
      </c>
      <c r="B247" s="8">
        <f t="shared" si="43"/>
        <v>1278</v>
      </c>
      <c r="C247" s="8">
        <f t="shared" si="44"/>
        <v>1407</v>
      </c>
      <c r="D247" s="8">
        <f>VLOOKUP(A247,fonds!$B$2:$F$495,4,FALSE())</f>
        <v>12780727</v>
      </c>
      <c r="E247" s="8">
        <f>VLOOKUP($A247,fonds!$B$2:$F$495,5,FALSE())</f>
        <v>14070611</v>
      </c>
      <c r="F247" s="10">
        <v>12780727</v>
      </c>
      <c r="G247" s="10">
        <v>14070611</v>
      </c>
      <c r="H247" s="1">
        <f t="shared" si="45"/>
        <v>1289884</v>
      </c>
    </row>
    <row r="248" ht="15">
      <c r="A248" s="6" t="s">
        <v>1655</v>
      </c>
      <c r="B248" s="8">
        <f t="shared" si="43"/>
        <v>1278</v>
      </c>
      <c r="C248" s="8">
        <f t="shared" si="44"/>
        <v>1398</v>
      </c>
      <c r="D248" s="8">
        <f>VLOOKUP(A248,fonds!$B$2:$F$495,4,FALSE())</f>
        <v>12781228</v>
      </c>
      <c r="E248" s="8">
        <f>VLOOKUP($A248,fonds!$B$2:$F$495,5,FALSE())</f>
        <v>13980815</v>
      </c>
      <c r="F248" s="10">
        <v>12781228</v>
      </c>
      <c r="G248" s="10">
        <v>13980815</v>
      </c>
      <c r="H248" s="1">
        <f t="shared" si="45"/>
        <v>1199587</v>
      </c>
    </row>
    <row r="249" ht="15">
      <c r="A249" s="6" t="s">
        <v>1475</v>
      </c>
      <c r="B249" s="8">
        <f t="shared" si="43"/>
        <v>1280</v>
      </c>
      <c r="C249" s="8">
        <f t="shared" si="44"/>
        <v>1387</v>
      </c>
      <c r="D249" s="8">
        <f>VLOOKUP(A249,fonds!$B$2:$F$495,4,FALSE())</f>
        <v>12800703</v>
      </c>
      <c r="E249" s="8">
        <f>VLOOKUP($A249,fonds!$B$2:$F$495,5,FALSE())</f>
        <v>13870426</v>
      </c>
      <c r="F249" s="10">
        <v>12800703</v>
      </c>
      <c r="G249" s="10">
        <v>13870426</v>
      </c>
      <c r="H249" s="1">
        <f t="shared" si="45"/>
        <v>1069723</v>
      </c>
    </row>
    <row r="250" ht="15">
      <c r="A250" s="6" t="s">
        <v>41</v>
      </c>
      <c r="B250" s="8">
        <f t="shared" si="43"/>
        <v>1282</v>
      </c>
      <c r="C250" s="8">
        <f t="shared" si="44"/>
        <v>1340</v>
      </c>
      <c r="D250" s="8">
        <f>VLOOKUP(A250,fonds!$B$2:$F$495,4,FALSE())</f>
        <v>12820905</v>
      </c>
      <c r="E250" s="8">
        <f>VLOOKUP($A250,fonds!$B$2:$F$495,5,FALSE())</f>
        <v>13400424</v>
      </c>
      <c r="F250" s="10">
        <v>12820905</v>
      </c>
      <c r="G250" s="10">
        <v>13400424</v>
      </c>
      <c r="H250" s="1">
        <f t="shared" si="45"/>
        <v>579519</v>
      </c>
    </row>
    <row r="251" ht="15">
      <c r="A251" s="6" t="s">
        <v>1911</v>
      </c>
      <c r="B251" s="8">
        <f t="shared" si="43"/>
        <v>1282</v>
      </c>
      <c r="C251" s="8">
        <f t="shared" si="44"/>
        <v>1385</v>
      </c>
      <c r="D251" s="8">
        <f>VLOOKUP(A251,fonds!$B$2:$F$495,4,FALSE())</f>
        <v>12820926</v>
      </c>
      <c r="E251" s="8">
        <f>VLOOKUP($A251,fonds!$B$2:$F$495,5,FALSE())</f>
        <v>13850429</v>
      </c>
      <c r="F251" s="10">
        <v>12820926</v>
      </c>
      <c r="G251" s="10">
        <v>13850429</v>
      </c>
      <c r="H251" s="1">
        <f t="shared" si="45"/>
        <v>1029503</v>
      </c>
    </row>
    <row r="252" ht="15">
      <c r="A252" s="6" t="s">
        <v>1691</v>
      </c>
      <c r="B252" s="8">
        <f t="shared" si="43"/>
        <v>1282</v>
      </c>
      <c r="C252" s="8">
        <f t="shared" si="44"/>
        <v>1391</v>
      </c>
      <c r="D252" s="8">
        <f>VLOOKUP(A252,fonds!$B$2:$F$495,4,FALSE())</f>
        <v>12821019</v>
      </c>
      <c r="E252" s="8">
        <f>VLOOKUP($A252,fonds!$B$2:$F$495,5,FALSE())</f>
        <v>13910630</v>
      </c>
      <c r="F252" s="10">
        <v>12821019</v>
      </c>
      <c r="G252" s="10">
        <v>13910630</v>
      </c>
      <c r="H252" s="1">
        <f t="shared" si="45"/>
        <v>1089611</v>
      </c>
    </row>
    <row r="253" ht="15">
      <c r="A253" s="6" t="s">
        <v>935</v>
      </c>
      <c r="B253" s="8">
        <f t="shared" si="43"/>
        <v>1283</v>
      </c>
      <c r="C253" s="8">
        <f t="shared" si="44"/>
        <v>1523</v>
      </c>
      <c r="D253" s="8">
        <f>VLOOKUP(A253,fonds!$B$2:$F$495,4,FALSE())</f>
        <v>12831121</v>
      </c>
      <c r="E253" s="8">
        <f>VLOOKUP($A253,fonds!$B$2:$F$495,5,FALSE())</f>
        <v>15230128</v>
      </c>
      <c r="F253" s="10">
        <v>12831121</v>
      </c>
      <c r="G253" s="10">
        <v>15230128</v>
      </c>
      <c r="H253" s="1">
        <f t="shared" si="45"/>
        <v>2399007</v>
      </c>
    </row>
    <row r="254" ht="15">
      <c r="A254" s="6" t="s">
        <v>843</v>
      </c>
      <c r="B254" s="8">
        <f t="shared" si="43"/>
        <v>1285</v>
      </c>
      <c r="C254" s="8">
        <f t="shared" si="44"/>
        <v>1510</v>
      </c>
      <c r="D254" s="8">
        <f>VLOOKUP(A254,fonds!$B$2:$F$495,4,FALSE())</f>
        <v>12850701</v>
      </c>
      <c r="E254" s="8">
        <f>VLOOKUP($A254,fonds!$B$2:$F$495,5,FALSE())</f>
        <v>15100125</v>
      </c>
      <c r="F254" s="10">
        <v>12850701</v>
      </c>
      <c r="G254" s="10">
        <v>15100125</v>
      </c>
      <c r="H254" s="1">
        <f t="shared" si="45"/>
        <v>2249424</v>
      </c>
    </row>
    <row r="255" ht="15">
      <c r="A255" s="6" t="s">
        <v>1639</v>
      </c>
      <c r="B255" s="8">
        <f t="shared" si="43"/>
        <v>1285</v>
      </c>
      <c r="C255" s="8">
        <f t="shared" si="44"/>
        <v>1390</v>
      </c>
      <c r="D255" s="8">
        <f>VLOOKUP(A255,fonds!$B$2:$F$495,4,FALSE())</f>
        <v>12851208</v>
      </c>
      <c r="E255" s="8">
        <f>VLOOKUP($A255,fonds!$B$2:$F$495,5,FALSE())</f>
        <v>13900326</v>
      </c>
      <c r="F255" s="10">
        <v>12851208</v>
      </c>
      <c r="G255" s="10">
        <v>13900326</v>
      </c>
      <c r="H255" s="1">
        <f t="shared" si="45"/>
        <v>1049118</v>
      </c>
    </row>
    <row r="256" ht="15">
      <c r="A256" s="6" t="s">
        <v>739</v>
      </c>
      <c r="B256" s="8">
        <f t="shared" si="43"/>
        <v>1286</v>
      </c>
      <c r="C256" s="8">
        <f t="shared" si="44"/>
        <v>1780</v>
      </c>
      <c r="D256" s="8">
        <f>VLOOKUP(A256,fonds!$B$2:$F$495,4,FALSE())</f>
        <v>12860226</v>
      </c>
      <c r="E256" s="8">
        <f>VLOOKUP($A256,fonds!$B$2:$F$495,5,FALSE())</f>
        <v>17800110</v>
      </c>
      <c r="F256" s="10">
        <v>12860226</v>
      </c>
      <c r="G256" s="10">
        <v>17800110</v>
      </c>
      <c r="H256" s="1">
        <f t="shared" si="45"/>
        <v>4939884</v>
      </c>
    </row>
    <row r="257" ht="15">
      <c r="A257" s="6" t="s">
        <v>735</v>
      </c>
      <c r="B257" s="8">
        <f t="shared" si="43"/>
        <v>1287</v>
      </c>
      <c r="C257" s="8">
        <f t="shared" si="44"/>
        <v>1754</v>
      </c>
      <c r="D257" s="8">
        <f>VLOOKUP(A257,fonds!$B$2:$F$495,4,FALSE())</f>
        <v>12870226</v>
      </c>
      <c r="E257" s="8">
        <f>VLOOKUP($A257,fonds!$B$2:$F$495,5,FALSE())</f>
        <v>17540220</v>
      </c>
      <c r="F257" s="10">
        <v>12870226</v>
      </c>
      <c r="G257" s="10">
        <v>17540220</v>
      </c>
      <c r="H257" s="1">
        <f t="shared" si="45"/>
        <v>4669994</v>
      </c>
    </row>
    <row r="258" ht="15">
      <c r="A258" s="6" t="s">
        <v>1531</v>
      </c>
      <c r="B258" s="8">
        <f t="shared" si="43"/>
        <v>1288</v>
      </c>
      <c r="C258" s="8">
        <f t="shared" si="44"/>
        <v>1390</v>
      </c>
      <c r="D258" s="8">
        <f>VLOOKUP(A258,fonds!$B$2:$F$495,4,FALSE())</f>
        <v>12880202</v>
      </c>
      <c r="E258" s="8">
        <f>VLOOKUP($A258,fonds!$B$2:$F$495,5,FALSE())</f>
        <v>13900817</v>
      </c>
      <c r="F258" s="10">
        <v>12880202</v>
      </c>
      <c r="G258" s="10">
        <v>13900817</v>
      </c>
      <c r="H258" s="1">
        <f t="shared" si="45"/>
        <v>1020615</v>
      </c>
    </row>
    <row r="259" ht="15">
      <c r="A259" s="6" t="s">
        <v>277</v>
      </c>
      <c r="B259" s="8">
        <f t="shared" si="43"/>
        <v>1288</v>
      </c>
      <c r="C259" s="8">
        <f t="shared" si="44"/>
        <v>1313</v>
      </c>
      <c r="D259" s="8">
        <f>VLOOKUP(A259,fonds!$B$2:$F$495,4,FALSE())</f>
        <v>12880728</v>
      </c>
      <c r="E259" s="8">
        <f>VLOOKUP($A259,fonds!$B$2:$F$495,5,FALSE())</f>
        <v>13130202</v>
      </c>
      <c r="F259" s="10">
        <v>12880728</v>
      </c>
      <c r="G259" s="10">
        <v>13130202</v>
      </c>
      <c r="H259" s="1">
        <f t="shared" si="45"/>
        <v>249474</v>
      </c>
    </row>
    <row r="260" ht="15">
      <c r="A260" s="6" t="s">
        <v>544</v>
      </c>
      <c r="B260" s="8">
        <f t="shared" si="43"/>
        <v>1288</v>
      </c>
      <c r="C260" s="8">
        <f t="shared" si="44"/>
        <v>1451</v>
      </c>
      <c r="D260" s="8">
        <f>VLOOKUP(A260,fonds!$B$2:$F$495,4,FALSE())</f>
        <v>12881125</v>
      </c>
      <c r="E260" s="8">
        <f>VLOOKUP($A260,fonds!$B$2:$F$495,5,FALSE())</f>
        <v>14510227</v>
      </c>
      <c r="F260" s="10">
        <v>12881125</v>
      </c>
      <c r="G260" s="10">
        <v>14510227</v>
      </c>
      <c r="H260" s="1">
        <f t="shared" si="45"/>
        <v>1629102</v>
      </c>
    </row>
    <row r="261" ht="15">
      <c r="A261" s="6" t="s">
        <v>1115</v>
      </c>
      <c r="B261" s="8">
        <f t="shared" si="43"/>
        <v>1289</v>
      </c>
      <c r="C261" s="8">
        <f t="shared" si="44"/>
        <v>1904</v>
      </c>
      <c r="D261" s="8">
        <f>VLOOKUP(A261,fonds!$B$2:$F$495,4,FALSE())</f>
        <v>12890106</v>
      </c>
      <c r="E261" s="8">
        <f>VLOOKUP($A261,fonds!$B$2:$F$495,5,FALSE())</f>
        <v>19040605</v>
      </c>
      <c r="F261" s="10">
        <v>12890106</v>
      </c>
      <c r="G261" s="10">
        <v>19040605</v>
      </c>
      <c r="H261" s="1">
        <f t="shared" si="45"/>
        <v>6150499</v>
      </c>
    </row>
    <row r="262" ht="15">
      <c r="A262" s="6" t="s">
        <v>743</v>
      </c>
      <c r="B262" s="8">
        <f t="shared" si="43"/>
        <v>1289</v>
      </c>
      <c r="C262" s="8">
        <f t="shared" si="44"/>
        <v>1754</v>
      </c>
      <c r="D262" s="8">
        <f>VLOOKUP(A262,fonds!$B$2:$F$495,4,FALSE())</f>
        <v>12890503</v>
      </c>
      <c r="E262" s="8">
        <f>VLOOKUP($A262,fonds!$B$2:$F$495,5,FALSE())</f>
        <v>17541101</v>
      </c>
      <c r="F262" s="10">
        <v>12890503</v>
      </c>
      <c r="G262" s="10">
        <v>17541101</v>
      </c>
      <c r="H262" s="1">
        <f t="shared" si="45"/>
        <v>4650598</v>
      </c>
    </row>
    <row r="263" ht="15">
      <c r="A263" s="6" t="s">
        <v>1015</v>
      </c>
      <c r="B263" s="8">
        <f t="shared" si="43"/>
        <v>1289</v>
      </c>
      <c r="C263" s="8">
        <f t="shared" si="44"/>
        <v>1704</v>
      </c>
      <c r="D263" s="8">
        <f>VLOOKUP(A263,fonds!$B$2:$F$495,4,FALSE())</f>
        <v>12899999</v>
      </c>
      <c r="E263" s="8">
        <f>VLOOKUP($A263,fonds!$B$2:$F$495,5,FALSE())</f>
        <v>17040910</v>
      </c>
      <c r="F263" s="10">
        <v>12899999</v>
      </c>
      <c r="G263" s="10">
        <v>17040910</v>
      </c>
      <c r="H263" s="1">
        <f t="shared" si="45"/>
        <v>4140911</v>
      </c>
    </row>
    <row r="264" ht="15">
      <c r="A264" s="6" t="s">
        <v>1563</v>
      </c>
      <c r="B264" s="8">
        <f t="shared" si="43"/>
        <v>1292</v>
      </c>
      <c r="C264" s="8">
        <f t="shared" si="44"/>
        <v>1392</v>
      </c>
      <c r="D264" s="8">
        <f>VLOOKUP(A264,fonds!$B$2:$F$495,4,FALSE())</f>
        <v>12921124</v>
      </c>
      <c r="E264" s="8">
        <f>VLOOKUP($A264,fonds!$B$2:$F$495,5,FALSE())</f>
        <v>13921026</v>
      </c>
      <c r="F264" s="10">
        <v>12921124</v>
      </c>
      <c r="G264" s="10">
        <v>13921026</v>
      </c>
      <c r="H264" s="1">
        <f t="shared" si="45"/>
        <v>999902</v>
      </c>
    </row>
    <row r="265" ht="15">
      <c r="A265" s="6" t="s">
        <v>1895</v>
      </c>
      <c r="B265" s="8">
        <f t="shared" si="43"/>
        <v>1293</v>
      </c>
      <c r="C265" s="8">
        <f t="shared" si="44"/>
        <v>1397</v>
      </c>
      <c r="D265" s="8">
        <f>VLOOKUP(A265,fonds!$B$2:$F$495,4,FALSE())</f>
        <v>12930131</v>
      </c>
      <c r="E265" s="8">
        <f>VLOOKUP($A265,fonds!$B$2:$F$495,5,FALSE())</f>
        <v>13970427</v>
      </c>
      <c r="F265" s="10">
        <v>12930131</v>
      </c>
      <c r="G265" s="10">
        <v>13970427</v>
      </c>
      <c r="H265" s="1">
        <f t="shared" si="45"/>
        <v>1040296</v>
      </c>
    </row>
    <row r="266" ht="15">
      <c r="A266" s="6" t="s">
        <v>1003</v>
      </c>
      <c r="B266" s="8">
        <f t="shared" si="43"/>
        <v>1293</v>
      </c>
      <c r="C266" s="8">
        <f t="shared" si="44"/>
        <v>1697</v>
      </c>
      <c r="D266" s="8">
        <f>VLOOKUP(A266,fonds!$B$2:$F$495,4,FALSE())</f>
        <v>12930226</v>
      </c>
      <c r="E266" s="8">
        <f>VLOOKUP($A266,fonds!$B$2:$F$495,5,FALSE())</f>
        <v>16970705</v>
      </c>
      <c r="F266" s="10">
        <v>12930226</v>
      </c>
      <c r="G266" s="10">
        <v>16970705</v>
      </c>
      <c r="H266" s="1">
        <f t="shared" si="45"/>
        <v>4040479</v>
      </c>
    </row>
    <row r="267" ht="15">
      <c r="A267" s="6" t="s">
        <v>927</v>
      </c>
      <c r="B267" s="8">
        <f t="shared" si="43"/>
        <v>1293</v>
      </c>
      <c r="C267" s="8">
        <f t="shared" si="44"/>
        <v>1522</v>
      </c>
      <c r="D267" s="8">
        <f>VLOOKUP(A267,fonds!$B$2:$F$495,4,FALSE())</f>
        <v>12931229</v>
      </c>
      <c r="E267" s="8">
        <f>VLOOKUP($A267,fonds!$B$2:$F$495,5,FALSE())</f>
        <v>15221104</v>
      </c>
      <c r="F267" s="10">
        <v>12931229</v>
      </c>
      <c r="G267" s="10">
        <v>15221104</v>
      </c>
      <c r="H267" s="1">
        <f t="shared" si="45"/>
        <v>2289875</v>
      </c>
    </row>
    <row r="268" ht="15">
      <c r="A268" s="6" t="s">
        <v>979</v>
      </c>
      <c r="B268" s="8">
        <f t="shared" si="43"/>
        <v>1294</v>
      </c>
      <c r="C268" s="8">
        <f t="shared" si="44"/>
        <v>1785</v>
      </c>
      <c r="D268" s="8">
        <f>VLOOKUP(A268,fonds!$B$2:$F$495,4,FALSE())</f>
        <v>12940524</v>
      </c>
      <c r="E268" s="8">
        <f>VLOOKUP($A268,fonds!$B$2:$F$495,5,FALSE())</f>
        <v>17850104</v>
      </c>
      <c r="F268" s="10">
        <v>12940524</v>
      </c>
      <c r="G268" s="10">
        <v>17850104</v>
      </c>
      <c r="H268" s="1">
        <f t="shared" si="45"/>
        <v>4909580</v>
      </c>
    </row>
    <row r="269" ht="15">
      <c r="A269" s="6" t="s">
        <v>437</v>
      </c>
      <c r="B269" s="8">
        <f t="shared" si="43"/>
        <v>1295</v>
      </c>
      <c r="C269" s="8">
        <f t="shared" si="44"/>
        <v>1773</v>
      </c>
      <c r="D269" s="8">
        <f>VLOOKUP(A269,fonds!$B$2:$F$495,4,FALSE())</f>
        <v>12950921</v>
      </c>
      <c r="E269" s="8">
        <f>VLOOKUP($A269,fonds!$B$2:$F$495,5,FALSE())</f>
        <v>17731231</v>
      </c>
      <c r="F269" s="10">
        <v>12950921</v>
      </c>
      <c r="G269" s="10">
        <v>17731231</v>
      </c>
      <c r="H269" s="1">
        <f t="shared" si="45"/>
        <v>4780310</v>
      </c>
    </row>
    <row r="270" ht="15">
      <c r="A270" s="6" t="s">
        <v>1647</v>
      </c>
      <c r="B270" s="8">
        <f t="shared" si="43"/>
        <v>1295</v>
      </c>
      <c r="C270" s="8">
        <f t="shared" si="44"/>
        <v>1398</v>
      </c>
      <c r="D270" s="8">
        <f>VLOOKUP(A270,fonds!$B$2:$F$495,4,FALSE())</f>
        <v>12951006</v>
      </c>
      <c r="E270" s="8">
        <f>VLOOKUP($A270,fonds!$B$2:$F$495,5,FALSE())</f>
        <v>13980114</v>
      </c>
      <c r="F270" s="10">
        <v>12951006</v>
      </c>
      <c r="G270" s="10">
        <v>13980114</v>
      </c>
      <c r="H270" s="1">
        <f t="shared" si="45"/>
        <v>1029108</v>
      </c>
    </row>
    <row r="271" ht="15">
      <c r="A271" s="6" t="s">
        <v>1839</v>
      </c>
      <c r="B271" s="8">
        <f t="shared" si="43"/>
        <v>1295</v>
      </c>
      <c r="C271" s="8">
        <f t="shared" si="44"/>
        <v>1397</v>
      </c>
      <c r="D271" s="8">
        <f>VLOOKUP(A271,fonds!$B$2:$F$495,4,FALSE())</f>
        <v>12951006</v>
      </c>
      <c r="E271" s="8">
        <f>VLOOKUP($A271,fonds!$B$2:$F$495,5,FALSE())</f>
        <v>13971212</v>
      </c>
      <c r="F271" s="10">
        <v>12951006</v>
      </c>
      <c r="G271" s="10">
        <v>13971212</v>
      </c>
      <c r="H271" s="1">
        <f t="shared" si="45"/>
        <v>1020206</v>
      </c>
    </row>
    <row r="272" ht="15">
      <c r="A272" s="6" t="s">
        <v>536</v>
      </c>
      <c r="B272" s="8">
        <f t="shared" si="43"/>
        <v>1296</v>
      </c>
      <c r="C272" s="8">
        <f t="shared" si="44"/>
        <v>1917</v>
      </c>
      <c r="D272" s="8">
        <f>VLOOKUP(A272,fonds!$B$2:$F$495,4,FALSE())</f>
        <v>12960121</v>
      </c>
      <c r="E272" s="8">
        <f>VLOOKUP($A272,fonds!$B$2:$F$495,5,FALSE())</f>
        <v>19171109</v>
      </c>
      <c r="F272" s="10">
        <v>12960121</v>
      </c>
      <c r="G272" s="10">
        <v>19171109</v>
      </c>
      <c r="H272" s="1">
        <f t="shared" si="45"/>
        <v>6210988</v>
      </c>
    </row>
    <row r="273" ht="15">
      <c r="A273" s="6" t="s">
        <v>751</v>
      </c>
      <c r="B273" s="8">
        <f t="shared" si="43"/>
        <v>1296</v>
      </c>
      <c r="C273" s="8">
        <f t="shared" si="44"/>
        <v>1780</v>
      </c>
      <c r="D273" s="8">
        <f>VLOOKUP(A273,fonds!$B$2:$F$495,4,FALSE())</f>
        <v>12961018</v>
      </c>
      <c r="E273" s="8">
        <f>VLOOKUP($A273,fonds!$B$2:$F$495,5,FALSE())</f>
        <v>17801018</v>
      </c>
      <c r="F273" s="10">
        <v>12961018</v>
      </c>
      <c r="G273" s="10">
        <v>17801018</v>
      </c>
      <c r="H273" s="1">
        <f t="shared" si="45"/>
        <v>4840000</v>
      </c>
    </row>
    <row r="274" ht="15">
      <c r="A274" s="6" t="s">
        <v>895</v>
      </c>
      <c r="B274" s="8">
        <f t="shared" si="43"/>
        <v>1297</v>
      </c>
      <c r="C274" s="8">
        <f t="shared" si="44"/>
        <v>1523</v>
      </c>
      <c r="D274" s="8">
        <f>VLOOKUP(A274,fonds!$B$2:$F$495,4,FALSE())</f>
        <v>12970718</v>
      </c>
      <c r="E274" s="8">
        <f>VLOOKUP($A274,fonds!$B$2:$F$495,5,FALSE())</f>
        <v>15230530</v>
      </c>
      <c r="F274" s="10">
        <v>12970718</v>
      </c>
      <c r="G274" s="10">
        <v>15230530</v>
      </c>
      <c r="H274" s="1">
        <f t="shared" si="45"/>
        <v>2259812</v>
      </c>
    </row>
    <row r="275" ht="15">
      <c r="A275" s="6" t="s">
        <v>1275</v>
      </c>
      <c r="B275" s="8">
        <f t="shared" si="43"/>
        <v>1298</v>
      </c>
      <c r="C275" s="8">
        <f t="shared" si="44"/>
        <v>1779</v>
      </c>
      <c r="D275" s="8">
        <f>VLOOKUP(A275,fonds!$B$2:$F$495,4,FALSE())</f>
        <v>12980110</v>
      </c>
      <c r="E275" s="8">
        <f>VLOOKUP($A275,fonds!$B$2:$F$495,5,FALSE())</f>
        <v>17790507</v>
      </c>
      <c r="F275" s="10">
        <v>12980110</v>
      </c>
      <c r="G275" s="10">
        <v>17790507</v>
      </c>
      <c r="H275" s="1">
        <f t="shared" si="45"/>
        <v>4810397</v>
      </c>
    </row>
    <row r="276" ht="15">
      <c r="A276" s="6" t="s">
        <v>1775</v>
      </c>
      <c r="B276" s="8">
        <f t="shared" si="43"/>
        <v>1298</v>
      </c>
      <c r="C276" s="8">
        <f t="shared" si="44"/>
        <v>1530</v>
      </c>
      <c r="D276" s="8">
        <f>VLOOKUP(A276,fonds!$B$2:$F$495,4,FALSE())</f>
        <v>12981211</v>
      </c>
      <c r="E276" s="8">
        <f>VLOOKUP($A276,fonds!$B$2:$F$495,5,FALSE())</f>
        <v>15301002</v>
      </c>
      <c r="F276" s="10">
        <v>12981211</v>
      </c>
      <c r="G276" s="10">
        <v>15301002</v>
      </c>
      <c r="H276" s="1">
        <f t="shared" si="45"/>
        <v>2319791</v>
      </c>
    </row>
    <row r="277" ht="15">
      <c r="A277" s="6" t="s">
        <v>245</v>
      </c>
      <c r="B277" s="8">
        <f t="shared" si="43"/>
        <v>1299</v>
      </c>
      <c r="C277" s="8">
        <f t="shared" si="44"/>
        <v>1484</v>
      </c>
      <c r="D277" s="8">
        <f>VLOOKUP(A277,fonds!$B$2:$F$495,4,FALSE())</f>
        <v>12990224</v>
      </c>
      <c r="E277" s="8">
        <f>VLOOKUP($A277,fonds!$B$2:$F$495,5,FALSE())</f>
        <v>14840927</v>
      </c>
      <c r="F277" s="10">
        <v>12990224</v>
      </c>
      <c r="G277" s="10">
        <v>14840927</v>
      </c>
      <c r="H277" s="1">
        <f t="shared" si="45"/>
        <v>1850703</v>
      </c>
    </row>
    <row r="278" ht="15">
      <c r="A278" s="6" t="s">
        <v>1907</v>
      </c>
      <c r="B278" s="8">
        <f t="shared" si="43"/>
        <v>1299</v>
      </c>
      <c r="C278" s="8">
        <f t="shared" si="44"/>
        <v>1361</v>
      </c>
      <c r="D278" s="8">
        <f>VLOOKUP(A278,fonds!$B$2:$F$495,4,FALSE())</f>
        <v>12990521</v>
      </c>
      <c r="E278" s="8">
        <f>VLOOKUP($A278,fonds!$B$2:$F$495,5,FALSE())</f>
        <v>13610816</v>
      </c>
      <c r="F278" s="10">
        <v>12990521</v>
      </c>
      <c r="G278" s="10">
        <v>13610816</v>
      </c>
      <c r="H278" s="1">
        <f t="shared" si="45"/>
        <v>620295</v>
      </c>
    </row>
    <row r="279" ht="15">
      <c r="A279" s="6" t="s">
        <v>1663</v>
      </c>
      <c r="B279" s="8">
        <f t="shared" si="43"/>
        <v>1299</v>
      </c>
      <c r="C279" s="8">
        <f t="shared" si="44"/>
        <v>1373</v>
      </c>
      <c r="D279" s="8">
        <f>VLOOKUP(A279,fonds!$B$2:$F$495,4,FALSE())</f>
        <v>12990824</v>
      </c>
      <c r="E279" s="8">
        <f>VLOOKUP($A279,fonds!$B$2:$F$495,5,FALSE())</f>
        <v>13730209</v>
      </c>
      <c r="F279" s="10">
        <v>12990824</v>
      </c>
      <c r="G279" s="10">
        <v>13730209</v>
      </c>
      <c r="H279" s="1">
        <f t="shared" si="45"/>
        <v>739385</v>
      </c>
    </row>
    <row r="280" ht="15">
      <c r="A280" s="6" t="s">
        <v>1899</v>
      </c>
      <c r="B280" s="8">
        <f t="shared" si="43"/>
        <v>1299</v>
      </c>
      <c r="C280" s="8">
        <f t="shared" si="44"/>
        <v>1299</v>
      </c>
      <c r="D280" s="8">
        <f>VLOOKUP(A280,fonds!$B$2:$F$495,4,FALSE())</f>
        <v>12991222</v>
      </c>
      <c r="E280" s="8">
        <f>VLOOKUP($A280,fonds!$B$2:$F$495,5,FALSE())</f>
        <v>12991222</v>
      </c>
      <c r="F280" s="10">
        <v>12991222</v>
      </c>
      <c r="G280" s="10">
        <v>12991222</v>
      </c>
      <c r="H280" s="1">
        <f t="shared" si="45"/>
        <v>0</v>
      </c>
    </row>
    <row r="281" ht="15">
      <c r="A281" s="6" t="s">
        <v>715</v>
      </c>
      <c r="B281" s="8">
        <f t="shared" si="43"/>
        <v>1300</v>
      </c>
      <c r="C281" s="8">
        <f t="shared" si="44"/>
        <v>1755</v>
      </c>
      <c r="D281" s="8">
        <f>VLOOKUP(A281,fonds!$B$2:$F$495,4,FALSE())</f>
        <v>13000312</v>
      </c>
      <c r="E281" s="8">
        <f>VLOOKUP($A281,fonds!$B$2:$F$495,5,FALSE())</f>
        <v>17550503</v>
      </c>
      <c r="F281" s="10">
        <v>13000312</v>
      </c>
      <c r="G281" s="10">
        <v>17550503</v>
      </c>
      <c r="H281" s="1">
        <f t="shared" si="45"/>
        <v>4550191</v>
      </c>
    </row>
    <row r="282" ht="15">
      <c r="A282" s="6" t="s">
        <v>157</v>
      </c>
      <c r="B282" s="8">
        <f t="shared" si="43"/>
        <v>1302</v>
      </c>
      <c r="C282" s="8">
        <f t="shared" si="44"/>
        <v>1568</v>
      </c>
      <c r="D282" s="8">
        <f>VLOOKUP(A282,fonds!$B$2:$F$495,4,FALSE())</f>
        <v>13020329</v>
      </c>
      <c r="E282" s="8">
        <f>VLOOKUP($A282,fonds!$B$2:$F$495,5,FALSE())</f>
        <v>15680227</v>
      </c>
      <c r="F282" s="10">
        <v>13020329</v>
      </c>
      <c r="G282" s="10">
        <v>15680227</v>
      </c>
      <c r="H282" s="1">
        <f t="shared" si="45"/>
        <v>2659898</v>
      </c>
    </row>
    <row r="283" ht="15">
      <c r="A283" s="6" t="s">
        <v>1971</v>
      </c>
      <c r="B283" s="8">
        <f t="shared" si="43"/>
        <v>1302</v>
      </c>
      <c r="C283" s="8">
        <f t="shared" si="44"/>
        <v>1302</v>
      </c>
      <c r="D283" s="8">
        <f>VLOOKUP(A283,fonds!$B$2:$F$495,4,FALSE())</f>
        <v>13020616</v>
      </c>
      <c r="E283" s="8">
        <f>VLOOKUP($A283,fonds!$B$2:$F$495,5,FALSE())</f>
        <v>13020616</v>
      </c>
      <c r="F283" s="10">
        <v>13020616</v>
      </c>
      <c r="G283" s="10">
        <v>13020616</v>
      </c>
      <c r="H283" s="1">
        <f t="shared" si="45"/>
        <v>0</v>
      </c>
    </row>
    <row r="284" ht="15">
      <c r="A284" s="6" t="s">
        <v>1603</v>
      </c>
      <c r="B284" s="8">
        <f t="shared" si="43"/>
        <v>1303</v>
      </c>
      <c r="C284" s="8">
        <f t="shared" si="44"/>
        <v>1389</v>
      </c>
      <c r="D284" s="8">
        <f>VLOOKUP(A284,fonds!$B$2:$F$495,4,FALSE())</f>
        <v>13030217</v>
      </c>
      <c r="E284" s="8">
        <f>VLOOKUP($A284,fonds!$B$2:$F$495,5,FALSE())</f>
        <v>13890624</v>
      </c>
      <c r="F284" s="10">
        <v>13030217</v>
      </c>
      <c r="G284" s="10">
        <v>13890624</v>
      </c>
      <c r="H284" s="1">
        <f t="shared" si="45"/>
        <v>860407</v>
      </c>
    </row>
    <row r="285" ht="15">
      <c r="A285" s="6" t="s">
        <v>1923</v>
      </c>
      <c r="B285" s="8">
        <f t="shared" si="43"/>
        <v>1304</v>
      </c>
      <c r="C285" s="8">
        <f t="shared" si="44"/>
        <v>1392</v>
      </c>
      <c r="D285" s="8">
        <f>VLOOKUP(A285,fonds!$B$2:$F$495,4,FALSE())</f>
        <v>13040131</v>
      </c>
      <c r="E285" s="8">
        <f>VLOOKUP($A285,fonds!$B$2:$F$495,5,FALSE())</f>
        <v>13920111</v>
      </c>
      <c r="F285" s="10">
        <v>13040131</v>
      </c>
      <c r="G285" s="10">
        <v>13920111</v>
      </c>
      <c r="H285" s="1">
        <f t="shared" si="45"/>
        <v>879980</v>
      </c>
    </row>
    <row r="286" ht="15">
      <c r="A286" s="6" t="s">
        <v>1955</v>
      </c>
      <c r="B286" s="8">
        <f t="shared" si="43"/>
        <v>1304</v>
      </c>
      <c r="C286" s="8">
        <f t="shared" si="44"/>
        <v>1815</v>
      </c>
      <c r="D286" s="8">
        <f>VLOOKUP(A286,fonds!$B$2:$F$495,4,FALSE())</f>
        <v>13040228</v>
      </c>
      <c r="E286" s="8">
        <f>VLOOKUP($A286,fonds!$B$2:$F$495,5,FALSE())</f>
        <v>18150808</v>
      </c>
      <c r="F286" s="10">
        <v>13040228</v>
      </c>
      <c r="G286" s="10">
        <v>18150808</v>
      </c>
      <c r="H286" s="1">
        <f t="shared" si="45"/>
        <v>5110580</v>
      </c>
    </row>
    <row r="287" ht="15">
      <c r="A287" s="6" t="s">
        <v>1459</v>
      </c>
      <c r="B287" s="8">
        <f t="shared" si="43"/>
        <v>1304</v>
      </c>
      <c r="C287" s="8">
        <f t="shared" si="44"/>
        <v>1392</v>
      </c>
      <c r="D287" s="8">
        <f>VLOOKUP(A287,fonds!$B$2:$F$495,4,FALSE())</f>
        <v>13040318</v>
      </c>
      <c r="E287" s="8">
        <f>VLOOKUP($A287,fonds!$B$2:$F$495,5,FALSE())</f>
        <v>13920314</v>
      </c>
      <c r="F287" s="10">
        <v>13040318</v>
      </c>
      <c r="G287" s="10">
        <v>13920314</v>
      </c>
      <c r="H287" s="1">
        <f t="shared" si="45"/>
        <v>879996</v>
      </c>
    </row>
    <row r="288" ht="15">
      <c r="A288" s="6" t="s">
        <v>433</v>
      </c>
      <c r="B288" s="8">
        <f t="shared" si="43"/>
        <v>1305</v>
      </c>
      <c r="C288" s="8">
        <f t="shared" si="44"/>
        <v>1328</v>
      </c>
      <c r="D288" s="8">
        <f>VLOOKUP(A288,fonds!$B$2:$F$495,4,FALSE())</f>
        <v>13050325</v>
      </c>
      <c r="E288" s="8">
        <f>VLOOKUP($A288,fonds!$B$2:$F$495,5,FALSE())</f>
        <v>13281221</v>
      </c>
      <c r="F288" s="10">
        <v>13050325</v>
      </c>
      <c r="G288" s="10">
        <v>13281221</v>
      </c>
      <c r="H288" s="1">
        <f t="shared" si="45"/>
        <v>230896</v>
      </c>
    </row>
    <row r="289" ht="15">
      <c r="A289" s="6" t="s">
        <v>161</v>
      </c>
      <c r="B289" s="8">
        <f t="shared" si="43"/>
        <v>1305</v>
      </c>
      <c r="C289" s="8">
        <f t="shared" si="44"/>
        <v>1771</v>
      </c>
      <c r="D289" s="8">
        <f>VLOOKUP(A289,fonds!$B$2:$F$495,4,FALSE())</f>
        <v>13051217</v>
      </c>
      <c r="E289" s="8">
        <f>VLOOKUP($A289,fonds!$B$2:$F$495,5,FALSE())</f>
        <v>17710828</v>
      </c>
      <c r="F289" s="10">
        <v>13051217</v>
      </c>
      <c r="G289" s="10">
        <v>17710828</v>
      </c>
      <c r="H289" s="1">
        <f t="shared" si="45"/>
        <v>4659611</v>
      </c>
    </row>
    <row r="290" ht="15">
      <c r="A290" s="6" t="s">
        <v>1479</v>
      </c>
      <c r="B290" s="8">
        <f t="shared" si="43"/>
        <v>1307</v>
      </c>
      <c r="C290" s="8">
        <f t="shared" si="44"/>
        <v>1398</v>
      </c>
      <c r="D290" s="8">
        <f>VLOOKUP(A290,fonds!$B$2:$F$495,4,FALSE())</f>
        <v>13070202</v>
      </c>
      <c r="E290" s="8">
        <f>VLOOKUP($A290,fonds!$B$2:$F$495,5,FALSE())</f>
        <v>13980724</v>
      </c>
      <c r="F290" s="10">
        <v>13070202</v>
      </c>
      <c r="G290" s="10">
        <v>13980724</v>
      </c>
      <c r="H290" s="1">
        <f t="shared" si="45"/>
        <v>910522</v>
      </c>
    </row>
    <row r="291" ht="15">
      <c r="A291" s="6" t="s">
        <v>1467</v>
      </c>
      <c r="B291" s="8">
        <f t="shared" si="43"/>
        <v>1307</v>
      </c>
      <c r="C291" s="8">
        <f t="shared" si="44"/>
        <v>1386</v>
      </c>
      <c r="D291" s="8">
        <f>VLOOKUP(A291,fonds!$B$2:$F$495,4,FALSE())</f>
        <v>13071113</v>
      </c>
      <c r="E291" s="8">
        <f>VLOOKUP($A291,fonds!$B$2:$F$495,5,FALSE())</f>
        <v>13861105</v>
      </c>
      <c r="F291" s="10">
        <v>13071113</v>
      </c>
      <c r="G291" s="10">
        <v>13861105</v>
      </c>
      <c r="H291" s="1">
        <f t="shared" si="45"/>
        <v>789992</v>
      </c>
    </row>
    <row r="292" ht="15">
      <c r="A292" s="6" t="s">
        <v>1915</v>
      </c>
      <c r="B292" s="8">
        <f t="shared" ref="B292:B355" si="46">FLOOR(F292/10000,1)</f>
        <v>1309</v>
      </c>
      <c r="C292" s="8">
        <f t="shared" ref="C292:C355" si="47">FLOOR(G292/10000,1)</f>
        <v>1398</v>
      </c>
      <c r="D292" s="8">
        <f>VLOOKUP(A292,fonds!$B$2:$F$495,4,FALSE())</f>
        <v>13090105</v>
      </c>
      <c r="E292" s="8">
        <f>VLOOKUP($A292,fonds!$B$2:$F$495,5,FALSE())</f>
        <v>13980406</v>
      </c>
      <c r="F292" s="10">
        <v>13090105</v>
      </c>
      <c r="G292" s="10">
        <v>13980406</v>
      </c>
      <c r="H292" s="1">
        <f t="shared" ref="H292:H355" si="48">G292-F292</f>
        <v>890301</v>
      </c>
    </row>
    <row r="293" ht="15">
      <c r="A293" s="6" t="s">
        <v>1859</v>
      </c>
      <c r="B293" s="8">
        <f t="shared" si="46"/>
        <v>1310</v>
      </c>
      <c r="C293" s="8">
        <f t="shared" si="47"/>
        <v>1383</v>
      </c>
      <c r="D293" s="8">
        <f>VLOOKUP(A293,fonds!$B$2:$F$495,4,FALSE())</f>
        <v>13100927</v>
      </c>
      <c r="E293" s="8">
        <f>VLOOKUP($A293,fonds!$B$2:$F$495,5,FALSE())</f>
        <v>13830806</v>
      </c>
      <c r="F293" s="10">
        <v>13100927</v>
      </c>
      <c r="G293" s="10">
        <v>13830806</v>
      </c>
      <c r="H293" s="1">
        <f t="shared" si="48"/>
        <v>729879</v>
      </c>
    </row>
    <row r="294" ht="15">
      <c r="A294" s="6" t="s">
        <v>1063</v>
      </c>
      <c r="B294" s="8">
        <f t="shared" si="46"/>
        <v>1310</v>
      </c>
      <c r="C294" s="8">
        <f t="shared" si="47"/>
        <v>1787</v>
      </c>
      <c r="D294" s="8">
        <f>VLOOKUP(A294,fonds!$B$2:$F$495,4,FALSE())</f>
        <v>13101206</v>
      </c>
      <c r="E294" s="8">
        <f>VLOOKUP($A294,fonds!$B$2:$F$495,5,FALSE())</f>
        <v>17870509</v>
      </c>
      <c r="F294" s="10">
        <v>13101206</v>
      </c>
      <c r="G294" s="10">
        <v>17870509</v>
      </c>
      <c r="H294" s="1">
        <f t="shared" si="48"/>
        <v>4769303</v>
      </c>
    </row>
    <row r="295" ht="15">
      <c r="A295" s="6" t="s">
        <v>707</v>
      </c>
      <c r="B295" s="8">
        <f t="shared" si="46"/>
        <v>1312</v>
      </c>
      <c r="C295" s="8">
        <f t="shared" si="47"/>
        <v>1747</v>
      </c>
      <c r="D295" s="8">
        <f>VLOOKUP(A295,fonds!$B$2:$F$495,4,FALSE())</f>
        <v>13120617</v>
      </c>
      <c r="E295" s="8">
        <f>VLOOKUP($A295,fonds!$B$2:$F$495,5,FALSE())</f>
        <v>17471107</v>
      </c>
      <c r="F295" s="10">
        <v>13120617</v>
      </c>
      <c r="G295" s="10">
        <v>17471107</v>
      </c>
      <c r="H295" s="1">
        <f t="shared" si="48"/>
        <v>4350490</v>
      </c>
    </row>
    <row r="296" ht="15">
      <c r="A296" s="6" t="s">
        <v>1767</v>
      </c>
      <c r="B296" s="8">
        <f t="shared" si="46"/>
        <v>1313</v>
      </c>
      <c r="C296" s="8">
        <f t="shared" si="47"/>
        <v>1394</v>
      </c>
      <c r="D296" s="8">
        <f>VLOOKUP(A296,fonds!$B$2:$F$495,4,FALSE())</f>
        <v>13131201</v>
      </c>
      <c r="E296" s="8">
        <f>VLOOKUP($A296,fonds!$B$2:$F$495,5,FALSE())</f>
        <v>13941220</v>
      </c>
      <c r="F296" s="10">
        <v>13131201</v>
      </c>
      <c r="G296" s="10">
        <v>13941220</v>
      </c>
      <c r="H296" s="1">
        <f t="shared" si="48"/>
        <v>810019</v>
      </c>
    </row>
    <row r="297" ht="15">
      <c r="A297" s="6" t="s">
        <v>1759</v>
      </c>
      <c r="B297" s="8">
        <f t="shared" si="46"/>
        <v>1315</v>
      </c>
      <c r="C297" s="8">
        <f t="shared" si="47"/>
        <v>1395</v>
      </c>
      <c r="D297" s="8">
        <f>VLOOKUP(A297,fonds!$B$2:$F$495,4,FALSE())</f>
        <v>13150228</v>
      </c>
      <c r="E297" s="8">
        <f>VLOOKUP($A297,fonds!$B$2:$F$495,5,FALSE())</f>
        <v>13950606</v>
      </c>
      <c r="F297" s="10">
        <v>13150228</v>
      </c>
      <c r="G297" s="10">
        <v>13950606</v>
      </c>
      <c r="H297" s="1">
        <f t="shared" si="48"/>
        <v>800378</v>
      </c>
    </row>
    <row r="298" ht="15">
      <c r="A298" s="6" t="s">
        <v>619</v>
      </c>
      <c r="B298" s="8">
        <f t="shared" si="46"/>
        <v>1315</v>
      </c>
      <c r="C298" s="8">
        <f t="shared" si="47"/>
        <v>1742</v>
      </c>
      <c r="D298" s="8">
        <f>VLOOKUP(A298,fonds!$B$2:$F$495,4,FALSE())</f>
        <v>13150499</v>
      </c>
      <c r="E298" s="8">
        <f>VLOOKUP($A298,fonds!$B$2:$F$495,5,FALSE())</f>
        <v>17420517</v>
      </c>
      <c r="F298" s="10">
        <v>13150499</v>
      </c>
      <c r="G298" s="10">
        <v>17420517</v>
      </c>
      <c r="H298" s="1">
        <f t="shared" si="48"/>
        <v>4270018</v>
      </c>
    </row>
    <row r="299" ht="15">
      <c r="A299" s="6" t="s">
        <v>799</v>
      </c>
      <c r="B299" s="8">
        <f t="shared" si="46"/>
        <v>1315</v>
      </c>
      <c r="C299" s="8">
        <f t="shared" si="47"/>
        <v>1522</v>
      </c>
      <c r="D299" s="8">
        <f>VLOOKUP(A299,fonds!$B$2:$F$495,4,FALSE())</f>
        <v>13151007</v>
      </c>
      <c r="E299" s="8">
        <f>VLOOKUP($A299,fonds!$B$2:$F$495,5,FALSE())</f>
        <v>15220603</v>
      </c>
      <c r="F299" s="10">
        <v>13151007</v>
      </c>
      <c r="G299" s="10">
        <v>15220603</v>
      </c>
      <c r="H299" s="1">
        <f t="shared" si="48"/>
        <v>2069596</v>
      </c>
    </row>
    <row r="300" ht="15">
      <c r="A300" s="6" t="s">
        <v>25</v>
      </c>
      <c r="B300" s="8">
        <f t="shared" si="46"/>
        <v>1316</v>
      </c>
      <c r="C300" s="8">
        <f t="shared" si="47"/>
        <v>1782</v>
      </c>
      <c r="D300" s="8">
        <f>VLOOKUP(A300,fonds!$B$2:$F$495,4,FALSE())</f>
        <v>13161021</v>
      </c>
      <c r="E300" s="8">
        <f>VLOOKUP($A300,fonds!$B$2:$F$495,5,FALSE())</f>
        <v>17820622</v>
      </c>
      <c r="F300" s="10">
        <v>13161021</v>
      </c>
      <c r="G300" s="10">
        <v>17820622</v>
      </c>
      <c r="H300" s="1">
        <f t="shared" si="48"/>
        <v>4659601</v>
      </c>
    </row>
    <row r="301" ht="15">
      <c r="A301" s="6" t="s">
        <v>337</v>
      </c>
      <c r="B301" s="8">
        <f t="shared" si="46"/>
        <v>1316</v>
      </c>
      <c r="C301" s="8">
        <f t="shared" si="47"/>
        <v>1682</v>
      </c>
      <c r="D301" s="8">
        <f>VLOOKUP(A301,fonds!$B$2:$F$495,4,FALSE())</f>
        <v>13161021</v>
      </c>
      <c r="E301" s="8">
        <f>VLOOKUP($A301,fonds!$B$2:$F$495,5,FALSE())</f>
        <v>16820226</v>
      </c>
      <c r="F301" s="10">
        <v>13161021</v>
      </c>
      <c r="G301" s="10">
        <v>16820226</v>
      </c>
      <c r="H301" s="1">
        <f t="shared" si="48"/>
        <v>3659205</v>
      </c>
    </row>
    <row r="302" ht="15">
      <c r="A302" s="6" t="s">
        <v>1299</v>
      </c>
      <c r="B302" s="8">
        <f t="shared" si="46"/>
        <v>1317</v>
      </c>
      <c r="C302" s="8">
        <f t="shared" si="47"/>
        <v>1790</v>
      </c>
      <c r="D302" s="8">
        <f>VLOOKUP(A302,fonds!$B$2:$F$495,4,FALSE())</f>
        <v>13170609</v>
      </c>
      <c r="E302" s="8">
        <f>VLOOKUP($A302,fonds!$B$2:$F$495,5,FALSE())</f>
        <v>17900299</v>
      </c>
      <c r="F302" s="10">
        <v>13170609</v>
      </c>
      <c r="G302" s="10">
        <v>17900299</v>
      </c>
      <c r="H302" s="1">
        <f t="shared" si="48"/>
        <v>4729690</v>
      </c>
    </row>
    <row r="303" ht="15">
      <c r="A303" s="6" t="s">
        <v>229</v>
      </c>
      <c r="B303" s="8">
        <f t="shared" si="46"/>
        <v>1317</v>
      </c>
      <c r="C303" s="8">
        <f t="shared" si="47"/>
        <v>1317</v>
      </c>
      <c r="D303" s="8">
        <f>VLOOKUP(A303,fonds!$B$2:$F$495,4,FALSE())</f>
        <v>13170829</v>
      </c>
      <c r="E303" s="8">
        <f>VLOOKUP($A303,fonds!$B$2:$F$495,5,FALSE())</f>
        <v>13170829</v>
      </c>
      <c r="F303" s="10">
        <v>13170829</v>
      </c>
      <c r="G303" s="10">
        <v>13170829</v>
      </c>
      <c r="H303" s="1">
        <f t="shared" si="48"/>
        <v>0</v>
      </c>
    </row>
    <row r="304" ht="15">
      <c r="A304" s="6" t="s">
        <v>516</v>
      </c>
      <c r="B304" s="8">
        <f t="shared" si="46"/>
        <v>1318</v>
      </c>
      <c r="C304" s="8">
        <f t="shared" si="47"/>
        <v>1393</v>
      </c>
      <c r="D304" s="8">
        <f>VLOOKUP(A304,fonds!$B$2:$F$495,4,FALSE())</f>
        <v>13180911</v>
      </c>
      <c r="E304" s="8">
        <f>VLOOKUP($A304,fonds!$B$2:$F$495,5,FALSE())</f>
        <v>13930205</v>
      </c>
      <c r="F304" s="10">
        <v>13180911</v>
      </c>
      <c r="G304" s="10">
        <v>13930205</v>
      </c>
      <c r="H304" s="1">
        <f t="shared" si="48"/>
        <v>749294</v>
      </c>
    </row>
    <row r="305" ht="15">
      <c r="A305" s="6" t="s">
        <v>939</v>
      </c>
      <c r="B305" s="8">
        <f t="shared" si="46"/>
        <v>1321</v>
      </c>
      <c r="C305" s="8">
        <f t="shared" si="47"/>
        <v>1444</v>
      </c>
      <c r="D305" s="8">
        <f>VLOOKUP(A305,fonds!$B$2:$F$495,4,FALSE())</f>
        <v>13211214</v>
      </c>
      <c r="E305" s="8">
        <f>VLOOKUP($A305,fonds!$B$2:$F$495,5,FALSE())</f>
        <v>14440605</v>
      </c>
      <c r="F305" s="10">
        <v>13211214</v>
      </c>
      <c r="G305" s="10">
        <v>14440605</v>
      </c>
      <c r="H305" s="1">
        <f t="shared" si="48"/>
        <v>1229391</v>
      </c>
    </row>
    <row r="306" ht="15">
      <c r="A306" s="6" t="s">
        <v>1307</v>
      </c>
      <c r="B306" s="8">
        <f t="shared" si="46"/>
        <v>1326</v>
      </c>
      <c r="C306" s="8">
        <f t="shared" si="47"/>
        <v>1553</v>
      </c>
      <c r="D306" s="8">
        <f>VLOOKUP(A306,fonds!$B$2:$F$495,4,FALSE())</f>
        <v>13260215</v>
      </c>
      <c r="E306" s="8">
        <f>VLOOKUP($A306,fonds!$B$2:$F$495,5,FALSE())</f>
        <v>15530501</v>
      </c>
      <c r="F306" s="10">
        <v>13260215</v>
      </c>
      <c r="G306" s="10">
        <v>15530501</v>
      </c>
      <c r="H306" s="1">
        <f t="shared" si="48"/>
        <v>2270286</v>
      </c>
    </row>
    <row r="307" ht="15">
      <c r="A307" s="6" t="s">
        <v>1939</v>
      </c>
      <c r="B307" s="8">
        <f t="shared" si="46"/>
        <v>1326</v>
      </c>
      <c r="C307" s="8">
        <f t="shared" si="47"/>
        <v>1720</v>
      </c>
      <c r="D307" s="8">
        <f>VLOOKUP(A307,fonds!$B$2:$F$495,4,FALSE())</f>
        <v>13260425</v>
      </c>
      <c r="E307" s="8">
        <f>VLOOKUP($A307,fonds!$B$2:$F$495,5,FALSE())</f>
        <v>17200225</v>
      </c>
      <c r="F307" s="10">
        <v>13260425</v>
      </c>
      <c r="G307" s="10">
        <v>17200225</v>
      </c>
      <c r="H307" s="1">
        <f t="shared" si="48"/>
        <v>3939800</v>
      </c>
    </row>
    <row r="308" ht="15">
      <c r="A308" s="6" t="s">
        <v>221</v>
      </c>
      <c r="B308" s="8">
        <f t="shared" si="46"/>
        <v>1326</v>
      </c>
      <c r="C308" s="8">
        <f t="shared" si="47"/>
        <v>1751</v>
      </c>
      <c r="D308" s="8">
        <f>VLOOKUP(A308,fonds!$B$2:$F$495,4,FALSE())</f>
        <v>13260929</v>
      </c>
      <c r="E308" s="8">
        <f>VLOOKUP($A308,fonds!$B$2:$F$495,5,FALSE())</f>
        <v>17511001</v>
      </c>
      <c r="F308" s="10">
        <v>13260929</v>
      </c>
      <c r="G308" s="10">
        <v>17511001</v>
      </c>
      <c r="H308" s="1">
        <f t="shared" si="48"/>
        <v>4250072</v>
      </c>
    </row>
    <row r="309" ht="15">
      <c r="A309" s="6" t="s">
        <v>1547</v>
      </c>
      <c r="B309" s="8">
        <f t="shared" si="46"/>
        <v>1328</v>
      </c>
      <c r="C309" s="8">
        <f t="shared" si="47"/>
        <v>1398</v>
      </c>
      <c r="D309" s="8">
        <f>VLOOKUP(A309,fonds!$B$2:$F$495,4,FALSE())</f>
        <v>13280201</v>
      </c>
      <c r="E309" s="8">
        <f>VLOOKUP($A309,fonds!$B$2:$F$495,5,FALSE())</f>
        <v>13981215</v>
      </c>
      <c r="F309" s="10">
        <v>13280201</v>
      </c>
      <c r="G309" s="10">
        <v>13981215</v>
      </c>
      <c r="H309" s="1">
        <f t="shared" si="48"/>
        <v>701014</v>
      </c>
    </row>
    <row r="310" ht="15">
      <c r="A310" s="6" t="s">
        <v>1811</v>
      </c>
      <c r="B310" s="8">
        <f t="shared" si="46"/>
        <v>1330</v>
      </c>
      <c r="C310" s="8">
        <f t="shared" si="47"/>
        <v>1396</v>
      </c>
      <c r="D310" s="8">
        <f>VLOOKUP(A310,fonds!$B$2:$F$495,4,FALSE())</f>
        <v>13300423</v>
      </c>
      <c r="E310" s="8">
        <f>VLOOKUP($A310,fonds!$B$2:$F$495,5,FALSE())</f>
        <v>13960920</v>
      </c>
      <c r="F310" s="10">
        <v>13300423</v>
      </c>
      <c r="G310" s="10">
        <v>13960920</v>
      </c>
      <c r="H310" s="1">
        <f t="shared" si="48"/>
        <v>660497</v>
      </c>
    </row>
    <row r="311" ht="15">
      <c r="A311" s="6" t="s">
        <v>333</v>
      </c>
      <c r="B311" s="8">
        <f t="shared" si="46"/>
        <v>1332</v>
      </c>
      <c r="C311" s="8">
        <f t="shared" si="47"/>
        <v>1332</v>
      </c>
      <c r="D311" s="8">
        <f>VLOOKUP(A311,fonds!$B$2:$F$495,4,FALSE())</f>
        <v>13320325</v>
      </c>
      <c r="E311" s="8">
        <f>VLOOKUP($A311,fonds!$B$2:$F$495,5,FALSE())</f>
        <v>13320325</v>
      </c>
      <c r="F311" s="10">
        <v>13320325</v>
      </c>
      <c r="G311" s="10">
        <v>13320325</v>
      </c>
      <c r="H311" s="1">
        <f t="shared" si="48"/>
        <v>0</v>
      </c>
    </row>
    <row r="312" ht="15">
      <c r="A312" s="6" t="s">
        <v>687</v>
      </c>
      <c r="B312" s="8">
        <f t="shared" si="46"/>
        <v>1332</v>
      </c>
      <c r="C312" s="8">
        <f t="shared" si="47"/>
        <v>1781</v>
      </c>
      <c r="D312" s="8">
        <f>VLOOKUP(A312,fonds!$B$2:$F$495,4,FALSE())</f>
        <v>13320713</v>
      </c>
      <c r="E312" s="8">
        <f>VLOOKUP($A312,fonds!$B$2:$F$495,5,FALSE())</f>
        <v>17811115</v>
      </c>
      <c r="F312" s="10">
        <v>13320713</v>
      </c>
      <c r="G312" s="10">
        <v>17811115</v>
      </c>
      <c r="H312" s="1">
        <f t="shared" si="48"/>
        <v>4490402</v>
      </c>
    </row>
    <row r="313" ht="15">
      <c r="A313" s="6" t="s">
        <v>1103</v>
      </c>
      <c r="B313" s="8">
        <f t="shared" si="46"/>
        <v>1333</v>
      </c>
      <c r="C313" s="8">
        <f t="shared" si="47"/>
        <v>1680</v>
      </c>
      <c r="D313" s="8">
        <f>VLOOKUP(A313,fonds!$B$2:$F$495,4,FALSE())</f>
        <v>13330315</v>
      </c>
      <c r="E313" s="8">
        <f>VLOOKUP($A313,fonds!$B$2:$F$495,5,FALSE())</f>
        <v>16800221</v>
      </c>
      <c r="F313" s="10">
        <v>13330315</v>
      </c>
      <c r="G313" s="10">
        <v>16800221</v>
      </c>
      <c r="H313" s="1">
        <f t="shared" si="48"/>
        <v>3469906</v>
      </c>
    </row>
    <row r="314" ht="15">
      <c r="A314" s="6" t="s">
        <v>77</v>
      </c>
      <c r="B314" s="8">
        <f t="shared" si="46"/>
        <v>1333</v>
      </c>
      <c r="C314" s="8">
        <f t="shared" si="47"/>
        <v>1333</v>
      </c>
      <c r="D314" s="8">
        <f>VLOOKUP(A314,fonds!$B$2:$F$495,4,FALSE())</f>
        <v>13330616</v>
      </c>
      <c r="E314" s="8">
        <f>VLOOKUP($A314,fonds!$B$2:$F$495,5,FALSE())</f>
        <v>13330616</v>
      </c>
      <c r="F314" s="10">
        <v>13330616</v>
      </c>
      <c r="G314" s="10">
        <v>13330616</v>
      </c>
      <c r="H314" s="1">
        <f t="shared" si="48"/>
        <v>0</v>
      </c>
    </row>
    <row r="315" ht="15">
      <c r="A315" s="6" t="s">
        <v>293</v>
      </c>
      <c r="B315" s="8">
        <f t="shared" si="46"/>
        <v>1333</v>
      </c>
      <c r="C315" s="8">
        <f t="shared" si="47"/>
        <v>1467</v>
      </c>
      <c r="D315" s="8">
        <f>VLOOKUP(A315,fonds!$B$2:$F$495,4,FALSE())</f>
        <v>13331126</v>
      </c>
      <c r="E315" s="8">
        <f>VLOOKUP($A315,fonds!$B$2:$F$495,5,FALSE())</f>
        <v>14670907</v>
      </c>
      <c r="F315" s="10">
        <v>13331126</v>
      </c>
      <c r="G315" s="10">
        <v>14670907</v>
      </c>
      <c r="H315" s="1">
        <f t="shared" si="48"/>
        <v>1339781</v>
      </c>
    </row>
    <row r="316" ht="15">
      <c r="A316" s="6" t="s">
        <v>1651</v>
      </c>
      <c r="B316" s="8">
        <f t="shared" si="46"/>
        <v>1334</v>
      </c>
      <c r="C316" s="8">
        <f t="shared" si="47"/>
        <v>1388</v>
      </c>
      <c r="D316" s="8">
        <f>VLOOKUP(A316,fonds!$B$2:$F$495,4,FALSE())</f>
        <v>13340205</v>
      </c>
      <c r="E316" s="8">
        <f>VLOOKUP($A316,fonds!$B$2:$F$495,5,FALSE())</f>
        <v>13880920</v>
      </c>
      <c r="F316" s="10">
        <v>13340205</v>
      </c>
      <c r="G316" s="10">
        <v>13880920</v>
      </c>
      <c r="H316" s="1">
        <f t="shared" si="48"/>
        <v>540715</v>
      </c>
    </row>
    <row r="317" ht="15">
      <c r="A317" s="6" t="s">
        <v>1943</v>
      </c>
      <c r="B317" s="8">
        <f t="shared" si="46"/>
        <v>1334</v>
      </c>
      <c r="C317" s="8">
        <f t="shared" si="47"/>
        <v>1735</v>
      </c>
      <c r="D317" s="8">
        <f>VLOOKUP(A317,fonds!$B$2:$F$495,4,FALSE())</f>
        <v>13340601</v>
      </c>
      <c r="E317" s="8">
        <f>VLOOKUP($A317,fonds!$B$2:$F$495,5,FALSE())</f>
        <v>17350527</v>
      </c>
      <c r="F317" s="10">
        <v>13340601</v>
      </c>
      <c r="G317" s="10">
        <v>17350527</v>
      </c>
      <c r="H317" s="1">
        <f t="shared" si="48"/>
        <v>4009926</v>
      </c>
    </row>
    <row r="318" ht="15">
      <c r="A318" s="6" t="s">
        <v>919</v>
      </c>
      <c r="B318" s="8">
        <f t="shared" si="46"/>
        <v>1336</v>
      </c>
      <c r="C318" s="8">
        <f t="shared" si="47"/>
        <v>1336</v>
      </c>
      <c r="D318" s="8">
        <f>VLOOKUP(A318,fonds!$B$2:$F$495,4,FALSE())</f>
        <v>13360312</v>
      </c>
      <c r="E318" s="8">
        <f>VLOOKUP($A318,fonds!$B$2:$F$495,5,FALSE())</f>
        <v>13360312</v>
      </c>
      <c r="F318" s="10">
        <v>13360312</v>
      </c>
      <c r="G318" s="10">
        <v>13360312</v>
      </c>
      <c r="H318" s="1">
        <f t="shared" si="48"/>
        <v>0</v>
      </c>
    </row>
    <row r="319" ht="15">
      <c r="A319" s="6" t="s">
        <v>767</v>
      </c>
      <c r="B319" s="8">
        <f t="shared" si="46"/>
        <v>1338</v>
      </c>
      <c r="C319" s="8">
        <f t="shared" si="47"/>
        <v>1772</v>
      </c>
      <c r="D319" s="8">
        <f>VLOOKUP(A319,fonds!$B$2:$F$495,4,FALSE())</f>
        <v>13380325</v>
      </c>
      <c r="E319" s="8">
        <f>VLOOKUP($A319,fonds!$B$2:$F$495,5,FALSE())</f>
        <v>17720309</v>
      </c>
      <c r="F319" s="10">
        <v>13380325</v>
      </c>
      <c r="G319" s="10">
        <v>17720309</v>
      </c>
      <c r="H319" s="1">
        <f t="shared" si="48"/>
        <v>4339984</v>
      </c>
    </row>
    <row r="320" ht="15">
      <c r="A320" s="6" t="s">
        <v>1755</v>
      </c>
      <c r="B320" s="8">
        <f t="shared" si="46"/>
        <v>1338</v>
      </c>
      <c r="C320" s="8">
        <f t="shared" si="47"/>
        <v>1393</v>
      </c>
      <c r="D320" s="8">
        <f>VLOOKUP(A320,fonds!$B$2:$F$495,4,FALSE())</f>
        <v>13380503</v>
      </c>
      <c r="E320" s="8">
        <f>VLOOKUP($A320,fonds!$B$2:$F$495,5,FALSE())</f>
        <v>13930120</v>
      </c>
      <c r="F320" s="10">
        <v>13380503</v>
      </c>
      <c r="G320" s="10">
        <v>13930120</v>
      </c>
      <c r="H320" s="1">
        <f t="shared" si="48"/>
        <v>549617</v>
      </c>
    </row>
    <row r="321" ht="15">
      <c r="A321" s="6" t="s">
        <v>281</v>
      </c>
      <c r="B321" s="8">
        <f t="shared" si="46"/>
        <v>1338</v>
      </c>
      <c r="C321" s="8">
        <f t="shared" si="47"/>
        <v>1338</v>
      </c>
      <c r="D321" s="8">
        <f>VLOOKUP(A321,fonds!$B$2:$F$495,4,FALSE())</f>
        <v>13380826</v>
      </c>
      <c r="E321" s="8">
        <f>VLOOKUP($A321,fonds!$B$2:$F$495,5,FALSE())</f>
        <v>13380826</v>
      </c>
      <c r="F321" s="10">
        <v>13380826</v>
      </c>
      <c r="G321" s="10">
        <v>13380826</v>
      </c>
      <c r="H321" s="1">
        <f t="shared" si="48"/>
        <v>0</v>
      </c>
    </row>
    <row r="322" ht="15">
      <c r="A322" s="6" t="s">
        <v>887</v>
      </c>
      <c r="B322" s="8">
        <f t="shared" si="46"/>
        <v>1339</v>
      </c>
      <c r="C322" s="8">
        <f t="shared" si="47"/>
        <v>1508</v>
      </c>
      <c r="D322" s="8">
        <f>VLOOKUP(A322,fonds!$B$2:$F$495,4,FALSE())</f>
        <v>13390304</v>
      </c>
      <c r="E322" s="8">
        <f>VLOOKUP($A322,fonds!$B$2:$F$495,5,FALSE())</f>
        <v>15080626</v>
      </c>
      <c r="F322" s="10">
        <v>13390304</v>
      </c>
      <c r="G322" s="10">
        <v>15080626</v>
      </c>
      <c r="H322" s="1">
        <f t="shared" si="48"/>
        <v>1690322</v>
      </c>
    </row>
    <row r="323" ht="15">
      <c r="A323" s="6" t="s">
        <v>480</v>
      </c>
      <c r="B323" s="8">
        <f t="shared" si="46"/>
        <v>1340</v>
      </c>
      <c r="C323" s="8">
        <f t="shared" si="47"/>
        <v>1419</v>
      </c>
      <c r="D323" s="8">
        <f>VLOOKUP(A323,fonds!$B$2:$F$495,4,FALSE())</f>
        <v>13400831</v>
      </c>
      <c r="E323" s="8">
        <f>VLOOKUP($A323,fonds!$B$2:$F$495,5,FALSE())</f>
        <v>14190302</v>
      </c>
      <c r="F323" s="10">
        <v>13400831</v>
      </c>
      <c r="G323" s="10">
        <v>14190302</v>
      </c>
      <c r="H323" s="1">
        <f t="shared" si="48"/>
        <v>789471</v>
      </c>
    </row>
    <row r="324" ht="15">
      <c r="A324" s="6" t="s">
        <v>153</v>
      </c>
      <c r="B324" s="8">
        <f t="shared" si="46"/>
        <v>1340</v>
      </c>
      <c r="C324" s="8">
        <f t="shared" si="47"/>
        <v>1388</v>
      </c>
      <c r="D324" s="8">
        <f>VLOOKUP(A324,fonds!$B$2:$F$495,4,FALSE())</f>
        <v>13401008</v>
      </c>
      <c r="E324" s="8">
        <f>VLOOKUP($A324,fonds!$B$2:$F$495,5,FALSE())</f>
        <v>13881021</v>
      </c>
      <c r="F324" s="10">
        <v>13401008</v>
      </c>
      <c r="G324" s="10">
        <v>13881021</v>
      </c>
      <c r="H324" s="1">
        <f t="shared" si="48"/>
        <v>480013</v>
      </c>
    </row>
    <row r="325" ht="15">
      <c r="A325" s="6" t="s">
        <v>907</v>
      </c>
      <c r="B325" s="8">
        <f t="shared" si="46"/>
        <v>1342</v>
      </c>
      <c r="C325" s="8">
        <f t="shared" si="47"/>
        <v>1455</v>
      </c>
      <c r="D325" s="8">
        <f>VLOOKUP(A325,fonds!$B$2:$F$495,4,FALSE())</f>
        <v>13420207</v>
      </c>
      <c r="E325" s="8">
        <f>VLOOKUP($A325,fonds!$B$2:$F$495,5,FALSE())</f>
        <v>14550827</v>
      </c>
      <c r="F325" s="10">
        <v>13420207</v>
      </c>
      <c r="G325" s="10">
        <v>14550827</v>
      </c>
      <c r="H325" s="1">
        <f t="shared" si="48"/>
        <v>1130620</v>
      </c>
    </row>
    <row r="326" ht="15">
      <c r="A326" s="6" t="s">
        <v>791</v>
      </c>
      <c r="B326" s="8">
        <f t="shared" si="46"/>
        <v>1342</v>
      </c>
      <c r="C326" s="8">
        <f t="shared" si="47"/>
        <v>1597</v>
      </c>
      <c r="D326" s="8">
        <f>VLOOKUP(A326,fonds!$B$2:$F$495,4,FALSE())</f>
        <v>13420419</v>
      </c>
      <c r="E326" s="8">
        <f>VLOOKUP($A326,fonds!$B$2:$F$495,5,FALSE())</f>
        <v>15970106</v>
      </c>
      <c r="F326" s="10">
        <v>13420419</v>
      </c>
      <c r="G326" s="10">
        <v>15970106</v>
      </c>
      <c r="H326" s="1">
        <f t="shared" si="48"/>
        <v>2549687</v>
      </c>
    </row>
    <row r="327" ht="15">
      <c r="A327" s="6" t="s">
        <v>201</v>
      </c>
      <c r="B327" s="8">
        <f t="shared" si="46"/>
        <v>1342</v>
      </c>
      <c r="C327" s="8">
        <f t="shared" si="47"/>
        <v>1742</v>
      </c>
      <c r="D327" s="8">
        <f>VLOOKUP(A327,fonds!$B$2:$F$495,4,FALSE())</f>
        <v>13420509</v>
      </c>
      <c r="E327" s="8">
        <f>VLOOKUP($A327,fonds!$B$2:$F$495,5,FALSE())</f>
        <v>17420601</v>
      </c>
      <c r="F327" s="10">
        <v>13420509</v>
      </c>
      <c r="G327" s="10">
        <v>17420601</v>
      </c>
      <c r="H327" s="1">
        <f t="shared" si="48"/>
        <v>4000092</v>
      </c>
    </row>
    <row r="328" ht="15">
      <c r="A328" s="6" t="s">
        <v>847</v>
      </c>
      <c r="B328" s="8">
        <f t="shared" si="46"/>
        <v>1342</v>
      </c>
      <c r="C328" s="8">
        <f t="shared" si="47"/>
        <v>1412</v>
      </c>
      <c r="D328" s="8">
        <f>VLOOKUP(A328,fonds!$B$2:$F$495,4,FALSE())</f>
        <v>13420805</v>
      </c>
      <c r="E328" s="8">
        <f>VLOOKUP($A328,fonds!$B$2:$F$495,5,FALSE())</f>
        <v>14121118</v>
      </c>
      <c r="F328" s="10">
        <v>13420805</v>
      </c>
      <c r="G328" s="10">
        <v>14121118</v>
      </c>
      <c r="H328" s="1">
        <f t="shared" si="48"/>
        <v>700313</v>
      </c>
    </row>
    <row r="329" ht="15">
      <c r="A329" s="6" t="s">
        <v>727</v>
      </c>
      <c r="B329" s="8">
        <f t="shared" si="46"/>
        <v>1342</v>
      </c>
      <c r="C329" s="8">
        <f t="shared" si="47"/>
        <v>1523</v>
      </c>
      <c r="D329" s="8">
        <f>VLOOKUP(A329,fonds!$B$2:$F$495,4,FALSE())</f>
        <v>13420824</v>
      </c>
      <c r="E329" s="8">
        <f>VLOOKUP($A329,fonds!$B$2:$F$495,5,FALSE())</f>
        <v>15230312</v>
      </c>
      <c r="F329" s="10">
        <v>13420824</v>
      </c>
      <c r="G329" s="10">
        <v>15230312</v>
      </c>
      <c r="H329" s="1">
        <f t="shared" si="48"/>
        <v>1809488</v>
      </c>
    </row>
    <row r="330" ht="15">
      <c r="A330" s="6" t="s">
        <v>261</v>
      </c>
      <c r="B330" s="8">
        <f t="shared" si="46"/>
        <v>1343</v>
      </c>
      <c r="C330" s="8">
        <f t="shared" si="47"/>
        <v>1343</v>
      </c>
      <c r="D330" s="8">
        <f>VLOOKUP(A330,fonds!$B$2:$F$495,4,FALSE())</f>
        <v>13430108</v>
      </c>
      <c r="E330" s="8">
        <f>VLOOKUP($A330,fonds!$B$2:$F$495,5,FALSE())</f>
        <v>13430108</v>
      </c>
      <c r="F330" s="10">
        <v>13430108</v>
      </c>
      <c r="G330" s="10">
        <v>13430108</v>
      </c>
      <c r="H330" s="1">
        <f t="shared" si="48"/>
        <v>0</v>
      </c>
    </row>
    <row r="331" ht="15">
      <c r="A331" s="6" t="s">
        <v>169</v>
      </c>
      <c r="B331" s="8">
        <f t="shared" si="46"/>
        <v>1344</v>
      </c>
      <c r="C331" s="8">
        <f t="shared" si="47"/>
        <v>1410</v>
      </c>
      <c r="D331" s="8">
        <f>VLOOKUP(A331,fonds!$B$2:$F$495,4,FALSE())</f>
        <v>13440121</v>
      </c>
      <c r="E331" s="8">
        <f>VLOOKUP($A331,fonds!$B$2:$F$495,5,FALSE())</f>
        <v>14100408</v>
      </c>
      <c r="F331" s="10">
        <v>13440121</v>
      </c>
      <c r="G331" s="10">
        <v>14100408</v>
      </c>
      <c r="H331" s="1">
        <f t="shared" si="48"/>
        <v>660287</v>
      </c>
    </row>
    <row r="332" ht="15">
      <c r="A332" s="6" t="s">
        <v>389</v>
      </c>
      <c r="B332" s="8">
        <f t="shared" si="46"/>
        <v>1344</v>
      </c>
      <c r="C332" s="8">
        <f t="shared" si="47"/>
        <v>1529</v>
      </c>
      <c r="D332" s="8">
        <f>VLOOKUP(A332,fonds!$B$2:$F$495,4,FALSE())</f>
        <v>13440912</v>
      </c>
      <c r="E332" s="8">
        <f>VLOOKUP($A332,fonds!$B$2:$F$495,5,FALSE())</f>
        <v>15290706</v>
      </c>
      <c r="F332" s="10">
        <v>13440912</v>
      </c>
      <c r="G332" s="10">
        <v>15290706</v>
      </c>
      <c r="H332" s="1">
        <f t="shared" si="48"/>
        <v>1849794</v>
      </c>
    </row>
    <row r="333" ht="15">
      <c r="A333" s="6" t="s">
        <v>265</v>
      </c>
      <c r="B333" s="8">
        <f t="shared" si="46"/>
        <v>1344</v>
      </c>
      <c r="C333" s="8">
        <f t="shared" si="47"/>
        <v>1507</v>
      </c>
      <c r="D333" s="8">
        <f>VLOOKUP(A333,fonds!$B$2:$F$495,4,FALSE())</f>
        <v>13440912</v>
      </c>
      <c r="E333" s="8">
        <f>VLOOKUP($A333,fonds!$B$2:$F$495,5,FALSE())</f>
        <v>15070322</v>
      </c>
      <c r="F333" s="10">
        <v>13440912</v>
      </c>
      <c r="G333" s="10">
        <v>15070322</v>
      </c>
      <c r="H333" s="1">
        <f t="shared" si="48"/>
        <v>1629410</v>
      </c>
    </row>
    <row r="334" ht="15">
      <c r="A334" s="6" t="s">
        <v>1671</v>
      </c>
      <c r="B334" s="8">
        <f t="shared" si="46"/>
        <v>1344</v>
      </c>
      <c r="C334" s="8">
        <f t="shared" si="47"/>
        <v>1397</v>
      </c>
      <c r="D334" s="8">
        <f>VLOOKUP(A334,fonds!$B$2:$F$495,4,FALSE())</f>
        <v>13441009</v>
      </c>
      <c r="E334" s="8">
        <f>VLOOKUP($A334,fonds!$B$2:$F$495,5,FALSE())</f>
        <v>13970511</v>
      </c>
      <c r="F334" s="10">
        <v>13441009</v>
      </c>
      <c r="G334" s="10">
        <v>13970511</v>
      </c>
      <c r="H334" s="1">
        <f t="shared" si="48"/>
        <v>529502</v>
      </c>
    </row>
    <row r="335" ht="15">
      <c r="A335" s="6" t="s">
        <v>1723</v>
      </c>
      <c r="B335" s="8">
        <f t="shared" si="46"/>
        <v>1345</v>
      </c>
      <c r="C335" s="8">
        <f t="shared" si="47"/>
        <v>1345</v>
      </c>
      <c r="D335" s="8">
        <f>VLOOKUP(A335,fonds!$B$2:$F$495,4,FALSE())</f>
        <v>13450821</v>
      </c>
      <c r="E335" s="8">
        <f>VLOOKUP($A335,fonds!$B$2:$F$495,5,FALSE())</f>
        <v>13451110</v>
      </c>
      <c r="F335" s="10">
        <v>13450821</v>
      </c>
      <c r="G335" s="10">
        <v>13451110</v>
      </c>
      <c r="H335" s="1">
        <f t="shared" si="48"/>
        <v>289</v>
      </c>
    </row>
    <row r="336" ht="15">
      <c r="A336" s="6" t="s">
        <v>975</v>
      </c>
      <c r="B336" s="8">
        <f t="shared" si="46"/>
        <v>1346</v>
      </c>
      <c r="C336" s="8">
        <f t="shared" si="47"/>
        <v>1506</v>
      </c>
      <c r="D336" s="8">
        <f>VLOOKUP(A336,fonds!$B$2:$F$495,4,FALSE())</f>
        <v>13460509</v>
      </c>
      <c r="E336" s="8">
        <f>VLOOKUP($A336,fonds!$B$2:$F$495,5,FALSE())</f>
        <v>15061104</v>
      </c>
      <c r="F336" s="10">
        <v>13460509</v>
      </c>
      <c r="G336" s="10">
        <v>15061104</v>
      </c>
      <c r="H336" s="1">
        <f t="shared" si="48"/>
        <v>1600595</v>
      </c>
    </row>
    <row r="337" ht="15">
      <c r="A337" s="6" t="s">
        <v>1847</v>
      </c>
      <c r="B337" s="8">
        <f t="shared" si="46"/>
        <v>1348</v>
      </c>
      <c r="C337" s="8">
        <f t="shared" si="47"/>
        <v>1397</v>
      </c>
      <c r="D337" s="8">
        <f>VLOOKUP(A337,fonds!$B$2:$F$495,4,FALSE())</f>
        <v>13480107</v>
      </c>
      <c r="E337" s="8">
        <f>VLOOKUP($A337,fonds!$B$2:$F$495,5,FALSE())</f>
        <v>13971229</v>
      </c>
      <c r="F337" s="10">
        <v>13480107</v>
      </c>
      <c r="G337" s="10">
        <v>13971229</v>
      </c>
      <c r="H337" s="1">
        <f t="shared" si="48"/>
        <v>491122</v>
      </c>
    </row>
    <row r="338" ht="15">
      <c r="A338" s="6" t="s">
        <v>93</v>
      </c>
      <c r="B338" s="8">
        <f t="shared" si="46"/>
        <v>1349</v>
      </c>
      <c r="C338" s="8">
        <f t="shared" si="47"/>
        <v>1572</v>
      </c>
      <c r="D338" s="8">
        <f>VLOOKUP(A338,fonds!$B$2:$F$495,4,FALSE())</f>
        <v>13490312</v>
      </c>
      <c r="E338" s="8">
        <f>VLOOKUP($A338,fonds!$B$2:$F$495,5,FALSE())</f>
        <v>15720815</v>
      </c>
      <c r="F338" s="10">
        <v>13490312</v>
      </c>
      <c r="G338" s="10">
        <v>15720815</v>
      </c>
      <c r="H338" s="1">
        <f t="shared" si="48"/>
        <v>2230503</v>
      </c>
    </row>
    <row r="339" ht="15">
      <c r="A339" s="6" t="s">
        <v>1047</v>
      </c>
      <c r="B339" s="8">
        <f t="shared" si="46"/>
        <v>1349</v>
      </c>
      <c r="C339" s="8">
        <f t="shared" si="47"/>
        <v>1701</v>
      </c>
      <c r="D339" s="8">
        <f>VLOOKUP(A339,fonds!$B$2:$F$495,4,FALSE())</f>
        <v>13490529</v>
      </c>
      <c r="E339" s="8">
        <f>VLOOKUP($A339,fonds!$B$2:$F$495,5,FALSE())</f>
        <v>17010523</v>
      </c>
      <c r="F339" s="10">
        <v>13490529</v>
      </c>
      <c r="G339" s="10">
        <v>17010523</v>
      </c>
      <c r="H339" s="1">
        <f t="shared" si="48"/>
        <v>3519994</v>
      </c>
    </row>
    <row r="340" ht="15">
      <c r="A340" s="6" t="s">
        <v>1719</v>
      </c>
      <c r="B340" s="8">
        <f t="shared" si="46"/>
        <v>1349</v>
      </c>
      <c r="C340" s="8">
        <f t="shared" si="47"/>
        <v>1396</v>
      </c>
      <c r="D340" s="8">
        <f>VLOOKUP(A340,fonds!$B$2:$F$495,4,FALSE())</f>
        <v>13490723</v>
      </c>
      <c r="E340" s="8">
        <f>VLOOKUP($A340,fonds!$B$2:$F$495,5,FALSE())</f>
        <v>13960619</v>
      </c>
      <c r="F340" s="10">
        <v>13490723</v>
      </c>
      <c r="G340" s="10">
        <v>13960619</v>
      </c>
      <c r="H340" s="1">
        <f t="shared" si="48"/>
        <v>469896</v>
      </c>
    </row>
    <row r="341" ht="15">
      <c r="A341" s="6" t="s">
        <v>903</v>
      </c>
      <c r="B341" s="8">
        <f t="shared" si="46"/>
        <v>1349</v>
      </c>
      <c r="C341" s="8">
        <f t="shared" si="47"/>
        <v>1406</v>
      </c>
      <c r="D341" s="8">
        <f>VLOOKUP(A341,fonds!$B$2:$F$495,4,FALSE())</f>
        <v>13490829</v>
      </c>
      <c r="E341" s="8">
        <f>VLOOKUP($A341,fonds!$B$2:$F$495,5,FALSE())</f>
        <v>14060211</v>
      </c>
      <c r="F341" s="10">
        <v>13490829</v>
      </c>
      <c r="G341" s="10">
        <v>14060211</v>
      </c>
      <c r="H341" s="1">
        <f t="shared" si="48"/>
        <v>569382</v>
      </c>
    </row>
    <row r="342" ht="15">
      <c r="A342" s="6" t="s">
        <v>1039</v>
      </c>
      <c r="B342" s="8">
        <f t="shared" si="46"/>
        <v>1350</v>
      </c>
      <c r="C342" s="8">
        <f t="shared" si="47"/>
        <v>1574</v>
      </c>
      <c r="D342" s="8">
        <f>VLOOKUP(A342,fonds!$B$2:$F$495,4,FALSE())</f>
        <v>13500202</v>
      </c>
      <c r="E342" s="8">
        <f>VLOOKUP($A342,fonds!$B$2:$F$495,5,FALSE())</f>
        <v>15740412</v>
      </c>
      <c r="F342" s="10">
        <v>13500202</v>
      </c>
      <c r="G342" s="10">
        <v>15740412</v>
      </c>
      <c r="H342" s="1">
        <f t="shared" si="48"/>
        <v>2240210</v>
      </c>
    </row>
    <row r="343" ht="15">
      <c r="A343" s="6" t="s">
        <v>57</v>
      </c>
      <c r="B343" s="8">
        <f t="shared" si="46"/>
        <v>1350</v>
      </c>
      <c r="C343" s="8">
        <f t="shared" si="47"/>
        <v>1545</v>
      </c>
      <c r="D343" s="8">
        <f>VLOOKUP(A343,fonds!$B$2:$F$495,4,FALSE())</f>
        <v>13501123</v>
      </c>
      <c r="E343" s="8">
        <f>VLOOKUP($A343,fonds!$B$2:$F$495,5,FALSE())</f>
        <v>15450424</v>
      </c>
      <c r="F343" s="10">
        <v>13501123</v>
      </c>
      <c r="G343" s="10">
        <v>15450424</v>
      </c>
      <c r="H343" s="1">
        <f t="shared" si="48"/>
        <v>1949301</v>
      </c>
    </row>
    <row r="344" ht="15">
      <c r="A344" s="6" t="s">
        <v>177</v>
      </c>
      <c r="B344" s="8">
        <f t="shared" si="46"/>
        <v>1352</v>
      </c>
      <c r="C344" s="8">
        <f t="shared" si="47"/>
        <v>1454</v>
      </c>
      <c r="D344" s="8">
        <f>VLOOKUP(A344,fonds!$B$2:$F$495,4,FALSE())</f>
        <v>13520329</v>
      </c>
      <c r="E344" s="8">
        <f>VLOOKUP($A344,fonds!$B$2:$F$495,5,FALSE())</f>
        <v>14541125</v>
      </c>
      <c r="F344" s="10">
        <v>13520329</v>
      </c>
      <c r="G344" s="10">
        <v>14541125</v>
      </c>
      <c r="H344" s="1">
        <f t="shared" si="48"/>
        <v>1020796</v>
      </c>
    </row>
    <row r="345" ht="15">
      <c r="A345" s="6" t="s">
        <v>1139</v>
      </c>
      <c r="B345" s="8">
        <f t="shared" si="46"/>
        <v>1356</v>
      </c>
      <c r="C345" s="8">
        <f t="shared" si="47"/>
        <v>1802</v>
      </c>
      <c r="D345" s="8">
        <f>VLOOKUP(A345,fonds!$B$2:$F$495,4,FALSE())</f>
        <v>13560305</v>
      </c>
      <c r="E345" s="8">
        <f>VLOOKUP($A345,fonds!$B$2:$F$495,5,FALSE())</f>
        <v>18020603</v>
      </c>
      <c r="F345" s="10">
        <v>13560305</v>
      </c>
      <c r="G345" s="10">
        <v>18020603</v>
      </c>
      <c r="H345" s="1">
        <f t="shared" si="48"/>
        <v>4460298</v>
      </c>
    </row>
    <row r="346" ht="15">
      <c r="A346" s="6" t="s">
        <v>117</v>
      </c>
      <c r="B346" s="8">
        <f t="shared" si="46"/>
        <v>1356</v>
      </c>
      <c r="C346" s="8">
        <f t="shared" si="47"/>
        <v>1356</v>
      </c>
      <c r="D346" s="8">
        <f>VLOOKUP(A346,fonds!$B$2:$F$495,4,FALSE())</f>
        <v>13560601</v>
      </c>
      <c r="E346" s="8">
        <f>VLOOKUP($A346,fonds!$B$2:$F$495,5,FALSE())</f>
        <v>13560601</v>
      </c>
      <c r="F346" s="10">
        <v>13560601</v>
      </c>
      <c r="G346" s="10">
        <v>13560601</v>
      </c>
      <c r="H346" s="1">
        <f t="shared" si="48"/>
        <v>0</v>
      </c>
    </row>
    <row r="347" ht="15">
      <c r="A347" s="6" t="s">
        <v>1787</v>
      </c>
      <c r="B347" s="8">
        <f t="shared" si="46"/>
        <v>1357</v>
      </c>
      <c r="C347" s="8">
        <f t="shared" si="47"/>
        <v>1394</v>
      </c>
      <c r="D347" s="8">
        <f>VLOOKUP(A347,fonds!$B$2:$F$495,4,FALSE())</f>
        <v>13570518</v>
      </c>
      <c r="E347" s="8">
        <f>VLOOKUP($A347,fonds!$B$2:$F$495,5,FALSE())</f>
        <v>13940807</v>
      </c>
      <c r="F347" s="10">
        <v>13570518</v>
      </c>
      <c r="G347" s="10">
        <v>13940807</v>
      </c>
      <c r="H347" s="1">
        <f t="shared" si="48"/>
        <v>370289</v>
      </c>
    </row>
    <row r="348" ht="15">
      <c r="A348" s="6" t="s">
        <v>891</v>
      </c>
      <c r="B348" s="8">
        <f t="shared" si="46"/>
        <v>1358</v>
      </c>
      <c r="C348" s="8">
        <f t="shared" si="47"/>
        <v>1521</v>
      </c>
      <c r="D348" s="8">
        <f>VLOOKUP(A348,fonds!$B$2:$F$495,4,FALSE())</f>
        <v>13580406</v>
      </c>
      <c r="E348" s="8">
        <f>VLOOKUP($A348,fonds!$B$2:$F$495,5,FALSE())</f>
        <v>15210617</v>
      </c>
      <c r="F348" s="10">
        <v>13580406</v>
      </c>
      <c r="G348" s="10">
        <v>15210617</v>
      </c>
      <c r="H348" s="1">
        <f t="shared" si="48"/>
        <v>1630211</v>
      </c>
    </row>
    <row r="349" ht="15">
      <c r="A349" s="6" t="s">
        <v>1575</v>
      </c>
      <c r="B349" s="8">
        <f t="shared" si="46"/>
        <v>1358</v>
      </c>
      <c r="C349" s="8">
        <f t="shared" si="47"/>
        <v>1358</v>
      </c>
      <c r="D349" s="8">
        <f>VLOOKUP(A349,fonds!$B$2:$F$495,4,FALSE())</f>
        <v>13581202</v>
      </c>
      <c r="E349" s="8">
        <f>VLOOKUP($A349,fonds!$B$2:$F$495,5,FALSE())</f>
        <v>13581202</v>
      </c>
      <c r="F349" s="10">
        <v>13581202</v>
      </c>
      <c r="G349" s="10">
        <v>13581202</v>
      </c>
      <c r="H349" s="1">
        <f t="shared" si="48"/>
        <v>0</v>
      </c>
    </row>
    <row r="350" ht="15">
      <c r="A350" s="6" t="s">
        <v>225</v>
      </c>
      <c r="B350" s="8">
        <f t="shared" si="46"/>
        <v>1360</v>
      </c>
      <c r="C350" s="8">
        <f t="shared" si="47"/>
        <v>1532</v>
      </c>
      <c r="D350" s="8">
        <f>VLOOKUP(A350,fonds!$B$2:$F$495,4,FALSE())</f>
        <v>13600106</v>
      </c>
      <c r="E350" s="8">
        <f>VLOOKUP($A350,fonds!$B$2:$F$495,5,FALSE())</f>
        <v>15320209</v>
      </c>
      <c r="F350" s="10">
        <v>13600106</v>
      </c>
      <c r="G350" s="10">
        <v>15320209</v>
      </c>
      <c r="H350" s="1">
        <f t="shared" si="48"/>
        <v>1720103</v>
      </c>
    </row>
    <row r="351" ht="15">
      <c r="A351" s="6" t="s">
        <v>943</v>
      </c>
      <c r="B351" s="8">
        <f t="shared" si="46"/>
        <v>1362</v>
      </c>
      <c r="C351" s="8">
        <f t="shared" si="47"/>
        <v>1362</v>
      </c>
      <c r="D351" s="8">
        <f>VLOOKUP(A351,fonds!$B$2:$F$495,4,FALSE())</f>
        <v>13620202</v>
      </c>
      <c r="E351" s="8">
        <f>VLOOKUP($A351,fonds!$B$2:$F$495,5,FALSE())</f>
        <v>13620202</v>
      </c>
      <c r="F351" s="10">
        <v>13620202</v>
      </c>
      <c r="G351" s="10">
        <v>13620202</v>
      </c>
      <c r="H351" s="1">
        <f t="shared" si="48"/>
        <v>0</v>
      </c>
    </row>
    <row r="352" ht="15">
      <c r="A352" s="6" t="s">
        <v>1615</v>
      </c>
      <c r="B352" s="8">
        <f t="shared" si="46"/>
        <v>1363</v>
      </c>
      <c r="C352" s="8">
        <f t="shared" si="47"/>
        <v>1363</v>
      </c>
      <c r="D352" s="8">
        <f>VLOOKUP(A352,fonds!$B$2:$F$495,4,FALSE())</f>
        <v>13630301</v>
      </c>
      <c r="E352" s="8">
        <f>VLOOKUP($A352,fonds!$B$2:$F$495,5,FALSE())</f>
        <v>13630301</v>
      </c>
      <c r="F352" s="10">
        <v>13630301</v>
      </c>
      <c r="G352" s="10">
        <v>13630301</v>
      </c>
      <c r="H352" s="1">
        <f t="shared" si="48"/>
        <v>0</v>
      </c>
    </row>
    <row r="353" ht="15">
      <c r="A353" s="6" t="s">
        <v>1827</v>
      </c>
      <c r="B353" s="8">
        <f t="shared" si="46"/>
        <v>1364</v>
      </c>
      <c r="C353" s="8">
        <f t="shared" si="47"/>
        <v>1379</v>
      </c>
      <c r="D353" s="8">
        <f>VLOOKUP(A353,fonds!$B$2:$F$495,4,FALSE())</f>
        <v>13640215</v>
      </c>
      <c r="E353" s="8">
        <f>VLOOKUP($A353,fonds!$B$2:$F$495,5,FALSE())</f>
        <v>13790815</v>
      </c>
      <c r="F353" s="10">
        <v>13640215</v>
      </c>
      <c r="G353" s="10">
        <v>13790815</v>
      </c>
      <c r="H353" s="1">
        <f t="shared" si="48"/>
        <v>150600</v>
      </c>
    </row>
    <row r="354" ht="15">
      <c r="A354" s="6" t="s">
        <v>1993</v>
      </c>
      <c r="B354" s="8">
        <f t="shared" si="46"/>
        <v>1364</v>
      </c>
      <c r="C354" s="8">
        <f t="shared" si="47"/>
        <v>1671</v>
      </c>
      <c r="D354" s="8" t="e">
        <f>VLOOKUP(A354,fonds!$B$2:$F$495,4,FALSE())</f>
        <v>#N/A</v>
      </c>
      <c r="E354" s="8" t="e">
        <f>VLOOKUP($A354,fonds!$B$2:$F$495,5,FALSE())</f>
        <v>#N/A</v>
      </c>
      <c r="F354" s="10">
        <v>13640507</v>
      </c>
      <c r="G354" s="10">
        <v>16710403</v>
      </c>
      <c r="H354" s="1">
        <f t="shared" si="48"/>
        <v>3069896</v>
      </c>
    </row>
    <row r="355" ht="15">
      <c r="A355" s="6" t="s">
        <v>899</v>
      </c>
      <c r="B355" s="8">
        <f t="shared" si="46"/>
        <v>1367</v>
      </c>
      <c r="C355" s="8">
        <f t="shared" si="47"/>
        <v>1524</v>
      </c>
      <c r="D355" s="8">
        <f>VLOOKUP(A355,fonds!$B$2:$F$495,4,FALSE())</f>
        <v>13670512</v>
      </c>
      <c r="E355" s="8">
        <f>VLOOKUP($A355,fonds!$B$2:$F$495,5,FALSE())</f>
        <v>15240826</v>
      </c>
      <c r="F355" s="10">
        <v>13670512</v>
      </c>
      <c r="G355" s="10">
        <v>15240826</v>
      </c>
      <c r="H355" s="1">
        <f t="shared" si="48"/>
        <v>1570314</v>
      </c>
    </row>
    <row r="356" ht="15">
      <c r="A356" s="6" t="s">
        <v>341</v>
      </c>
      <c r="B356" s="8">
        <f t="shared" ref="B356:B419" si="49">FLOOR(F356/10000,1)</f>
        <v>1368</v>
      </c>
      <c r="C356" s="8">
        <f t="shared" ref="C356:C419" si="50">FLOOR(G356/10000,1)</f>
        <v>1742</v>
      </c>
      <c r="D356" s="8">
        <f>VLOOKUP(A356,fonds!$B$2:$F$495,4,FALSE())</f>
        <v>13681111</v>
      </c>
      <c r="E356" s="8">
        <f>VLOOKUP($A356,fonds!$B$2:$F$495,5,FALSE())</f>
        <v>17421231</v>
      </c>
      <c r="F356" s="10">
        <v>13681111</v>
      </c>
      <c r="G356" s="10">
        <v>17421231</v>
      </c>
      <c r="H356" s="1">
        <f t="shared" ref="H356:H419" si="51">G356-F356</f>
        <v>3740120</v>
      </c>
    </row>
    <row r="357" ht="15">
      <c r="A357" s="6" t="s">
        <v>17</v>
      </c>
      <c r="B357" s="8">
        <f t="shared" si="49"/>
        <v>1368</v>
      </c>
      <c r="C357" s="8">
        <f t="shared" si="50"/>
        <v>1830</v>
      </c>
      <c r="D357" s="8">
        <f>VLOOKUP(A357,fonds!$B$2:$F$495,4,FALSE())</f>
        <v>13681213</v>
      </c>
      <c r="E357" s="8">
        <f>VLOOKUP($A357,fonds!$B$2:$F$495,5,FALSE())</f>
        <v>18309999</v>
      </c>
      <c r="F357" s="10">
        <v>13681213</v>
      </c>
      <c r="G357" s="10">
        <v>18309999</v>
      </c>
      <c r="H357" s="1">
        <f t="shared" si="51"/>
        <v>4628786</v>
      </c>
    </row>
    <row r="358" ht="15">
      <c r="A358" s="6" t="s">
        <v>301</v>
      </c>
      <c r="B358" s="8">
        <f t="shared" si="49"/>
        <v>1372</v>
      </c>
      <c r="C358" s="8">
        <f t="shared" si="50"/>
        <v>1755</v>
      </c>
      <c r="D358" s="8">
        <f>VLOOKUP(A358,fonds!$B$2:$F$495,4,FALSE())</f>
        <v>13721111</v>
      </c>
      <c r="E358" s="8">
        <f>VLOOKUP($A358,fonds!$B$2:$F$495,5,FALSE())</f>
        <v>17550108</v>
      </c>
      <c r="F358" s="10">
        <v>13721111</v>
      </c>
      <c r="G358" s="10">
        <v>17550108</v>
      </c>
      <c r="H358" s="1">
        <f t="shared" si="51"/>
        <v>3828997</v>
      </c>
    </row>
    <row r="359" ht="15">
      <c r="A359" s="6" t="s">
        <v>472</v>
      </c>
      <c r="B359" s="8">
        <f t="shared" si="49"/>
        <v>1372</v>
      </c>
      <c r="C359" s="8">
        <f t="shared" si="50"/>
        <v>1372</v>
      </c>
      <c r="D359" s="8">
        <f>VLOOKUP(A359,fonds!$B$2:$F$495,4,FALSE())</f>
        <v>13721111</v>
      </c>
      <c r="E359" s="8">
        <f>VLOOKUP($A359,fonds!$B$2:$F$495,5,FALSE())</f>
        <v>13721111</v>
      </c>
      <c r="F359" s="10">
        <v>13721111</v>
      </c>
      <c r="G359" s="10">
        <v>13721111</v>
      </c>
      <c r="H359" s="1">
        <f t="shared" si="51"/>
        <v>0</v>
      </c>
    </row>
    <row r="360" ht="15">
      <c r="A360" s="6" t="s">
        <v>1891</v>
      </c>
      <c r="B360" s="8">
        <f t="shared" si="49"/>
        <v>1373</v>
      </c>
      <c r="C360" s="8">
        <f t="shared" si="50"/>
        <v>1390</v>
      </c>
      <c r="D360" s="8">
        <f>VLOOKUP(A360,fonds!$B$2:$F$495,4,FALSE())</f>
        <v>13730926</v>
      </c>
      <c r="E360" s="8">
        <f>VLOOKUP($A360,fonds!$B$2:$F$495,5,FALSE())</f>
        <v>13900408</v>
      </c>
      <c r="F360" s="10">
        <v>13730926</v>
      </c>
      <c r="G360" s="10">
        <v>13900408</v>
      </c>
      <c r="H360" s="1">
        <f t="shared" si="51"/>
        <v>169482</v>
      </c>
    </row>
    <row r="361" ht="15">
      <c r="A361" s="6" t="s">
        <v>1619</v>
      </c>
      <c r="B361" s="8">
        <f t="shared" si="49"/>
        <v>1374</v>
      </c>
      <c r="C361" s="8">
        <f t="shared" si="50"/>
        <v>1391</v>
      </c>
      <c r="D361" s="8">
        <f>VLOOKUP(A361,fonds!$B$2:$F$495,4,FALSE())</f>
        <v>13740314</v>
      </c>
      <c r="E361" s="8">
        <f>VLOOKUP($A361,fonds!$B$2:$F$495,5,FALSE())</f>
        <v>13910429</v>
      </c>
      <c r="F361" s="10">
        <v>13740314</v>
      </c>
      <c r="G361" s="10">
        <v>13910429</v>
      </c>
      <c r="H361" s="1">
        <f t="shared" si="51"/>
        <v>170115</v>
      </c>
    </row>
    <row r="362" ht="15">
      <c r="A362" s="6" t="s">
        <v>819</v>
      </c>
      <c r="B362" s="8">
        <f t="shared" si="49"/>
        <v>1374</v>
      </c>
      <c r="C362" s="8">
        <f t="shared" si="50"/>
        <v>1475</v>
      </c>
      <c r="D362" s="8">
        <f>VLOOKUP(A362,fonds!$B$2:$F$495,4,FALSE())</f>
        <v>13740917</v>
      </c>
      <c r="E362" s="8">
        <f>VLOOKUP($A362,fonds!$B$2:$F$495,5,FALSE())</f>
        <v>14750706</v>
      </c>
      <c r="F362" s="10">
        <v>13740917</v>
      </c>
      <c r="G362" s="10">
        <v>14750706</v>
      </c>
      <c r="H362" s="1">
        <f t="shared" si="51"/>
        <v>1009789</v>
      </c>
    </row>
    <row r="363" ht="15">
      <c r="A363" s="6" t="s">
        <v>476</v>
      </c>
      <c r="B363" s="8">
        <f t="shared" si="49"/>
        <v>1377</v>
      </c>
      <c r="C363" s="8">
        <f t="shared" si="50"/>
        <v>1551</v>
      </c>
      <c r="D363" s="8">
        <f>VLOOKUP(A363,fonds!$B$2:$F$495,4,FALSE())</f>
        <v>13779999</v>
      </c>
      <c r="E363" s="8">
        <f>VLOOKUP($A363,fonds!$B$2:$F$495,5,FALSE())</f>
        <v>15510709</v>
      </c>
      <c r="F363" s="10">
        <v>13779999</v>
      </c>
      <c r="G363" s="10">
        <v>15510709</v>
      </c>
      <c r="H363" s="1">
        <f t="shared" si="51"/>
        <v>1730710</v>
      </c>
    </row>
    <row r="364" ht="15">
      <c r="A364" s="6" t="s">
        <v>1667</v>
      </c>
      <c r="B364" s="8">
        <f t="shared" si="49"/>
        <v>1378</v>
      </c>
      <c r="C364" s="8">
        <f t="shared" si="50"/>
        <v>1378</v>
      </c>
      <c r="D364" s="8">
        <f>VLOOKUP(A364,fonds!$B$2:$F$495,4,FALSE())</f>
        <v>13780922</v>
      </c>
      <c r="E364" s="8">
        <f>VLOOKUP($A364,fonds!$B$2:$F$495,5,FALSE())</f>
        <v>13780922</v>
      </c>
      <c r="F364" s="10">
        <v>13780922</v>
      </c>
      <c r="G364" s="10">
        <v>13780922</v>
      </c>
      <c r="H364" s="1">
        <f t="shared" si="51"/>
        <v>0</v>
      </c>
    </row>
    <row r="365" ht="15">
      <c r="A365" s="6" t="s">
        <v>795</v>
      </c>
      <c r="B365" s="8">
        <f t="shared" si="49"/>
        <v>1379</v>
      </c>
      <c r="C365" s="8">
        <f t="shared" si="50"/>
        <v>1756</v>
      </c>
      <c r="D365" s="8">
        <f>VLOOKUP(A365,fonds!$B$2:$F$495,4,FALSE())</f>
        <v>13790107</v>
      </c>
      <c r="E365" s="8">
        <f>VLOOKUP($A365,fonds!$B$2:$F$495,5,FALSE())</f>
        <v>17560221</v>
      </c>
      <c r="F365" s="10">
        <v>13790107</v>
      </c>
      <c r="G365" s="10">
        <v>17560221</v>
      </c>
      <c r="H365" s="1">
        <f t="shared" si="51"/>
        <v>3770114</v>
      </c>
    </row>
    <row r="366" ht="15">
      <c r="A366" s="6" t="s">
        <v>381</v>
      </c>
      <c r="B366" s="8">
        <f t="shared" si="49"/>
        <v>1380</v>
      </c>
      <c r="C366" s="8">
        <f t="shared" si="50"/>
        <v>1380</v>
      </c>
      <c r="D366" s="8">
        <f>VLOOKUP(A366,fonds!$B$2:$F$495,4,FALSE())</f>
        <v>13800228</v>
      </c>
      <c r="E366" s="8">
        <f>VLOOKUP($A366,fonds!$B$2:$F$495,5,FALSE())</f>
        <v>13800228</v>
      </c>
      <c r="F366" s="10">
        <v>13800228</v>
      </c>
      <c r="G366" s="10">
        <v>13800228</v>
      </c>
      <c r="H366" s="1">
        <f t="shared" si="51"/>
        <v>0</v>
      </c>
    </row>
    <row r="367" ht="15">
      <c r="A367" s="6" t="s">
        <v>811</v>
      </c>
      <c r="B367" s="8">
        <f t="shared" si="49"/>
        <v>1380</v>
      </c>
      <c r="C367" s="8">
        <f t="shared" si="50"/>
        <v>1380</v>
      </c>
      <c r="D367" s="8">
        <f>VLOOKUP(A367,fonds!$B$2:$F$495,4,FALSE())</f>
        <v>13800228</v>
      </c>
      <c r="E367" s="8">
        <f>VLOOKUP($A367,fonds!$B$2:$F$495,5,FALSE())</f>
        <v>13800228</v>
      </c>
      <c r="F367" s="10">
        <v>13800228</v>
      </c>
      <c r="G367" s="10">
        <v>13800228</v>
      </c>
      <c r="H367" s="1">
        <f t="shared" si="51"/>
        <v>0</v>
      </c>
    </row>
    <row r="368" ht="15">
      <c r="A368" s="6" t="s">
        <v>305</v>
      </c>
      <c r="B368" s="8">
        <f t="shared" si="49"/>
        <v>1381</v>
      </c>
      <c r="C368" s="8">
        <f t="shared" si="50"/>
        <v>1507</v>
      </c>
      <c r="D368" s="8">
        <f>VLOOKUP(A368,fonds!$B$2:$F$495,4,FALSE())</f>
        <v>13810530</v>
      </c>
      <c r="E368" s="8">
        <f>VLOOKUP($A368,fonds!$B$2:$F$495,5,FALSE())</f>
        <v>15070322</v>
      </c>
      <c r="F368" s="10">
        <v>13810530</v>
      </c>
      <c r="G368" s="10">
        <v>15070322</v>
      </c>
      <c r="H368" s="1">
        <f t="shared" si="51"/>
        <v>1259792</v>
      </c>
    </row>
    <row r="369" ht="15">
      <c r="A369" s="6" t="s">
        <v>651</v>
      </c>
      <c r="B369" s="8">
        <f t="shared" si="49"/>
        <v>1381</v>
      </c>
      <c r="C369" s="8">
        <f t="shared" si="50"/>
        <v>1777</v>
      </c>
      <c r="D369" s="8">
        <f>VLOOKUP(A369,fonds!$B$2:$F$495,4,FALSE())</f>
        <v>13810827</v>
      </c>
      <c r="E369" s="8">
        <f>VLOOKUP($A369,fonds!$B$2:$F$495,5,FALSE())</f>
        <v>17770808</v>
      </c>
      <c r="F369" s="10">
        <v>13810827</v>
      </c>
      <c r="G369" s="10">
        <v>17770808</v>
      </c>
      <c r="H369" s="1">
        <f t="shared" si="51"/>
        <v>3959981</v>
      </c>
    </row>
    <row r="370" ht="15">
      <c r="A370" s="6" t="s">
        <v>1579</v>
      </c>
      <c r="B370" s="8">
        <f t="shared" si="49"/>
        <v>1382</v>
      </c>
      <c r="C370" s="8">
        <f t="shared" si="50"/>
        <v>1396</v>
      </c>
      <c r="D370" s="8">
        <f>VLOOKUP(A370,fonds!$B$2:$F$495,4,FALSE())</f>
        <v>13820226</v>
      </c>
      <c r="E370" s="8">
        <f>VLOOKUP($A370,fonds!$B$2:$F$495,5,FALSE())</f>
        <v>13960125</v>
      </c>
      <c r="F370" s="10">
        <v>13820226</v>
      </c>
      <c r="G370" s="10">
        <v>13960125</v>
      </c>
      <c r="H370" s="1">
        <f t="shared" si="51"/>
        <v>139899</v>
      </c>
    </row>
    <row r="371" ht="15">
      <c r="A371" s="6" t="s">
        <v>647</v>
      </c>
      <c r="B371" s="8">
        <f t="shared" si="49"/>
        <v>1383</v>
      </c>
      <c r="C371" s="8">
        <f t="shared" si="50"/>
        <v>1639</v>
      </c>
      <c r="D371" s="8">
        <f>VLOOKUP(A371,fonds!$B$2:$F$495,4,FALSE())</f>
        <v>13830913</v>
      </c>
      <c r="E371" s="8">
        <f>VLOOKUP($A371,fonds!$B$2:$F$495,5,FALSE())</f>
        <v>16391218</v>
      </c>
      <c r="F371" s="10">
        <v>13830913</v>
      </c>
      <c r="G371" s="10">
        <v>16391218</v>
      </c>
      <c r="H371" s="1">
        <f t="shared" si="51"/>
        <v>2560305</v>
      </c>
    </row>
    <row r="372" ht="15">
      <c r="A372" s="6" t="s">
        <v>699</v>
      </c>
      <c r="B372" s="8">
        <f t="shared" si="49"/>
        <v>1384</v>
      </c>
      <c r="C372" s="8">
        <f t="shared" si="50"/>
        <v>1524</v>
      </c>
      <c r="D372" s="8">
        <f>VLOOKUP(A372,fonds!$B$2:$F$495,4,FALSE())</f>
        <v>13849999</v>
      </c>
      <c r="E372" s="8">
        <f>VLOOKUP($A372,fonds!$B$2:$F$495,5,FALSE())</f>
        <v>15240505</v>
      </c>
      <c r="F372" s="10">
        <v>13849999</v>
      </c>
      <c r="G372" s="10">
        <v>15240505</v>
      </c>
      <c r="H372" s="1">
        <f t="shared" si="51"/>
        <v>1390506</v>
      </c>
    </row>
    <row r="373" ht="15">
      <c r="A373" s="6" t="s">
        <v>1539</v>
      </c>
      <c r="B373" s="8">
        <f t="shared" si="49"/>
        <v>1385</v>
      </c>
      <c r="C373" s="8">
        <f t="shared" si="50"/>
        <v>1385</v>
      </c>
      <c r="D373" s="8">
        <f>VLOOKUP(A373,fonds!$B$2:$F$495,4,FALSE())</f>
        <v>13851210</v>
      </c>
      <c r="E373" s="8">
        <f>VLOOKUP($A373,fonds!$B$2:$F$495,5,FALSE())</f>
        <v>13851210</v>
      </c>
      <c r="F373" s="10">
        <v>13851210</v>
      </c>
      <c r="G373" s="10">
        <v>13851210</v>
      </c>
      <c r="H373" s="1">
        <f t="shared" si="51"/>
        <v>0</v>
      </c>
    </row>
    <row r="374" ht="15">
      <c r="A374" s="6" t="s">
        <v>759</v>
      </c>
      <c r="B374" s="8">
        <f t="shared" si="49"/>
        <v>1386</v>
      </c>
      <c r="C374" s="8">
        <f t="shared" si="50"/>
        <v>1508</v>
      </c>
      <c r="D374" s="8">
        <f>VLOOKUP(A374,fonds!$B$2:$F$495,4,FALSE())</f>
        <v>13860212</v>
      </c>
      <c r="E374" s="8">
        <f>VLOOKUP($A374,fonds!$B$2:$F$495,5,FALSE())</f>
        <v>15080125</v>
      </c>
      <c r="F374" s="10">
        <v>13860212</v>
      </c>
      <c r="G374" s="10">
        <v>15080125</v>
      </c>
      <c r="H374" s="1">
        <f t="shared" si="51"/>
        <v>1219913</v>
      </c>
    </row>
    <row r="375" ht="15">
      <c r="A375" s="6" t="s">
        <v>1387</v>
      </c>
      <c r="B375" s="8">
        <f t="shared" si="49"/>
        <v>1390</v>
      </c>
      <c r="C375" s="8">
        <f t="shared" si="50"/>
        <v>1701</v>
      </c>
      <c r="D375" s="8">
        <f>VLOOKUP(A375,fonds!$B$2:$F$495,4,FALSE())</f>
        <v>13900110</v>
      </c>
      <c r="E375" s="8">
        <f>VLOOKUP($A375,fonds!$B$2:$F$495,5,FALSE())</f>
        <v>17019999</v>
      </c>
      <c r="F375" s="10">
        <v>13900110</v>
      </c>
      <c r="G375" s="10">
        <v>17019999</v>
      </c>
      <c r="H375" s="1">
        <f t="shared" si="51"/>
        <v>3119889</v>
      </c>
    </row>
    <row r="376" ht="15">
      <c r="A376" s="6" t="s">
        <v>1875</v>
      </c>
      <c r="B376" s="8">
        <f t="shared" si="49"/>
        <v>1390</v>
      </c>
      <c r="C376" s="8">
        <f t="shared" si="50"/>
        <v>1398</v>
      </c>
      <c r="D376" s="8">
        <f>VLOOKUP(A376,fonds!$B$2:$F$495,4,FALSE())</f>
        <v>13901224</v>
      </c>
      <c r="E376" s="8">
        <f>VLOOKUP($A376,fonds!$B$2:$F$495,5,FALSE())</f>
        <v>13980930</v>
      </c>
      <c r="F376" s="10">
        <v>13901224</v>
      </c>
      <c r="G376" s="10">
        <v>13980930</v>
      </c>
      <c r="H376" s="1">
        <f t="shared" si="51"/>
        <v>79706</v>
      </c>
    </row>
    <row r="377" ht="15">
      <c r="A377" s="6" t="s">
        <v>1739</v>
      </c>
      <c r="B377" s="8">
        <f t="shared" si="49"/>
        <v>1391</v>
      </c>
      <c r="C377" s="8">
        <f t="shared" si="50"/>
        <v>1391</v>
      </c>
      <c r="D377" s="8">
        <f>VLOOKUP(A377,fonds!$B$2:$F$495,4,FALSE())</f>
        <v>13910926</v>
      </c>
      <c r="E377" s="8">
        <f>VLOOKUP($A377,fonds!$B$2:$F$495,5,FALSE())</f>
        <v>13910926</v>
      </c>
      <c r="F377" s="10">
        <v>13910926</v>
      </c>
      <c r="G377" s="10">
        <v>13910926</v>
      </c>
      <c r="H377" s="1">
        <f t="shared" si="51"/>
        <v>0</v>
      </c>
    </row>
    <row r="378" ht="15">
      <c r="A378" s="6" t="s">
        <v>691</v>
      </c>
      <c r="B378" s="8">
        <f t="shared" si="49"/>
        <v>1392</v>
      </c>
      <c r="C378" s="8">
        <f t="shared" si="50"/>
        <v>1757</v>
      </c>
      <c r="D378" s="8">
        <f>VLOOKUP(A378,fonds!$B$2:$F$495,4,FALSE())</f>
        <v>13921114</v>
      </c>
      <c r="E378" s="8">
        <f>VLOOKUP($A378,fonds!$B$2:$F$495,5,FALSE())</f>
        <v>17570209</v>
      </c>
      <c r="F378" s="10">
        <v>13921114</v>
      </c>
      <c r="G378" s="10">
        <v>17570209</v>
      </c>
      <c r="H378" s="1">
        <f t="shared" si="51"/>
        <v>3649095</v>
      </c>
    </row>
    <row r="379" ht="15">
      <c r="A379" s="6" t="s">
        <v>1311</v>
      </c>
      <c r="B379" s="8">
        <f t="shared" si="49"/>
        <v>1393</v>
      </c>
      <c r="C379" s="8">
        <f t="shared" si="50"/>
        <v>1551</v>
      </c>
      <c r="D379" s="8">
        <f>VLOOKUP(A379,fonds!$B$2:$F$495,4,FALSE())</f>
        <v>13930615</v>
      </c>
      <c r="E379" s="8">
        <f>VLOOKUP($A379,fonds!$B$2:$F$495,5,FALSE())</f>
        <v>15510218</v>
      </c>
      <c r="F379" s="10">
        <v>13930615</v>
      </c>
      <c r="G379" s="10">
        <v>15510218</v>
      </c>
      <c r="H379" s="1">
        <f t="shared" si="51"/>
        <v>1579603</v>
      </c>
    </row>
    <row r="380" ht="15">
      <c r="A380" s="6" t="s">
        <v>643</v>
      </c>
      <c r="B380" s="8">
        <f t="shared" si="49"/>
        <v>1395</v>
      </c>
      <c r="C380" s="8">
        <f t="shared" si="50"/>
        <v>1715</v>
      </c>
      <c r="D380" s="8">
        <f>VLOOKUP(A380,fonds!$B$2:$F$495,4,FALSE())</f>
        <v>13950529</v>
      </c>
      <c r="E380" s="8">
        <f>VLOOKUP($A380,fonds!$B$2:$F$495,5,FALSE())</f>
        <v>17151101</v>
      </c>
      <c r="F380" s="10">
        <v>13950529</v>
      </c>
      <c r="G380" s="10">
        <v>17151101</v>
      </c>
      <c r="H380" s="1">
        <f t="shared" si="51"/>
        <v>3200572</v>
      </c>
    </row>
    <row r="381" ht="15">
      <c r="A381" s="6" t="s">
        <v>1035</v>
      </c>
      <c r="B381" s="8">
        <f t="shared" si="49"/>
        <v>1395</v>
      </c>
      <c r="C381" s="8">
        <f t="shared" si="50"/>
        <v>1503</v>
      </c>
      <c r="D381" s="8">
        <f>VLOOKUP(A381,fonds!$B$2:$F$495,4,FALSE())</f>
        <v>13950605</v>
      </c>
      <c r="E381" s="8">
        <f>VLOOKUP($A381,fonds!$B$2:$F$495,5,FALSE())</f>
        <v>15031231</v>
      </c>
      <c r="F381" s="10">
        <v>13950605</v>
      </c>
      <c r="G381" s="10">
        <v>15031231</v>
      </c>
      <c r="H381" s="1">
        <f t="shared" si="51"/>
        <v>1080626</v>
      </c>
    </row>
    <row r="382" ht="15">
      <c r="A382" s="6" t="s">
        <v>488</v>
      </c>
      <c r="B382" s="8">
        <f t="shared" si="49"/>
        <v>1396</v>
      </c>
      <c r="C382" s="8">
        <f t="shared" si="50"/>
        <v>1607</v>
      </c>
      <c r="D382" s="8">
        <f>VLOOKUP(A382,fonds!$B$2:$F$495,4,FALSE())</f>
        <v>13960000</v>
      </c>
      <c r="E382" s="8">
        <f>VLOOKUP($A382,fonds!$B$2:$F$495,5,FALSE())</f>
        <v>16070228</v>
      </c>
      <c r="F382" s="10">
        <v>13960000</v>
      </c>
      <c r="G382" s="10">
        <v>16070228</v>
      </c>
      <c r="H382" s="1">
        <f t="shared" si="51"/>
        <v>2110228</v>
      </c>
    </row>
    <row r="383" ht="15">
      <c r="A383" s="6" t="s">
        <v>875</v>
      </c>
      <c r="B383" s="8">
        <f t="shared" si="49"/>
        <v>1398</v>
      </c>
      <c r="C383" s="8">
        <f t="shared" si="50"/>
        <v>1512</v>
      </c>
      <c r="D383" s="8">
        <f>VLOOKUP(A383,fonds!$B$2:$F$495,4,FALSE())</f>
        <v>13980525</v>
      </c>
      <c r="E383" s="8">
        <f>VLOOKUP($A383,fonds!$B$2:$F$495,5,FALSE())</f>
        <v>15120211</v>
      </c>
      <c r="F383" s="10">
        <v>13980525</v>
      </c>
      <c r="G383" s="10">
        <v>15120211</v>
      </c>
      <c r="H383" s="1">
        <f t="shared" si="51"/>
        <v>1139686</v>
      </c>
    </row>
    <row r="384" ht="15">
      <c r="A384" s="6" t="s">
        <v>113</v>
      </c>
      <c r="B384" s="8">
        <f t="shared" si="49"/>
        <v>1398</v>
      </c>
      <c r="C384" s="8">
        <f t="shared" si="50"/>
        <v>1398</v>
      </c>
      <c r="D384" s="8">
        <f>VLOOKUP(A384,fonds!$B$2:$F$495,4,FALSE())</f>
        <v>13980525</v>
      </c>
      <c r="E384" s="8">
        <f>VLOOKUP($A384,fonds!$B$2:$F$495,5,FALSE())</f>
        <v>13980525</v>
      </c>
      <c r="F384" s="10">
        <v>13980525</v>
      </c>
      <c r="G384" s="10">
        <v>13980525</v>
      </c>
      <c r="H384" s="1">
        <f t="shared" si="51"/>
        <v>0</v>
      </c>
    </row>
    <row r="385" ht="15">
      <c r="A385" s="6" t="s">
        <v>285</v>
      </c>
      <c r="B385" s="8">
        <f t="shared" si="49"/>
        <v>1399</v>
      </c>
      <c r="C385" s="8">
        <f t="shared" si="50"/>
        <v>1424</v>
      </c>
      <c r="D385" s="8">
        <f>VLOOKUP(A385,fonds!$B$2:$F$495,4,FALSE())</f>
        <v>13990602</v>
      </c>
      <c r="E385" s="8">
        <f>VLOOKUP($A385,fonds!$B$2:$F$495,5,FALSE())</f>
        <v>14240802</v>
      </c>
      <c r="F385" s="10">
        <v>13990602</v>
      </c>
      <c r="G385" s="10">
        <v>14240802</v>
      </c>
      <c r="H385" s="1">
        <f t="shared" si="51"/>
        <v>250200</v>
      </c>
    </row>
    <row r="386" ht="15">
      <c r="A386" s="6" t="s">
        <v>823</v>
      </c>
      <c r="B386" s="8">
        <f t="shared" si="49"/>
        <v>1400</v>
      </c>
      <c r="C386" s="8">
        <f t="shared" si="50"/>
        <v>1500</v>
      </c>
      <c r="D386" s="8">
        <f>VLOOKUP(A386,fonds!$B$2:$F$495,4,FALSE())</f>
        <v>14000719</v>
      </c>
      <c r="E386" s="8">
        <f>VLOOKUP($A386,fonds!$B$2:$F$495,5,FALSE())</f>
        <v>15000401</v>
      </c>
      <c r="F386" s="10">
        <v>14000719</v>
      </c>
      <c r="G386" s="10">
        <v>15000401</v>
      </c>
      <c r="H386" s="1">
        <f t="shared" si="51"/>
        <v>999682</v>
      </c>
    </row>
    <row r="387" ht="15">
      <c r="A387" s="6" t="s">
        <v>233</v>
      </c>
      <c r="B387" s="8">
        <f t="shared" si="49"/>
        <v>1401</v>
      </c>
      <c r="C387" s="8">
        <f t="shared" si="50"/>
        <v>1666</v>
      </c>
      <c r="D387" s="8">
        <f>VLOOKUP(A387,fonds!$B$2:$F$495,4,FALSE())</f>
        <v>14010825</v>
      </c>
      <c r="E387" s="8">
        <f>VLOOKUP($A387,fonds!$B$2:$F$495,5,FALSE())</f>
        <v>16660410</v>
      </c>
      <c r="F387" s="10">
        <v>14010825</v>
      </c>
      <c r="G387" s="10">
        <v>16660410</v>
      </c>
      <c r="H387" s="1">
        <f t="shared" si="51"/>
        <v>2649585</v>
      </c>
    </row>
    <row r="388" ht="15">
      <c r="A388" s="6" t="s">
        <v>273</v>
      </c>
      <c r="B388" s="8">
        <f t="shared" si="49"/>
        <v>1401</v>
      </c>
      <c r="C388" s="8">
        <f t="shared" si="50"/>
        <v>1666</v>
      </c>
      <c r="D388" s="8">
        <f>VLOOKUP(A388,fonds!$B$2:$F$495,4,FALSE())</f>
        <v>14010825</v>
      </c>
      <c r="E388" s="8">
        <f>VLOOKUP($A388,fonds!$B$2:$F$495,5,FALSE())</f>
        <v>16660410</v>
      </c>
      <c r="F388" s="10">
        <v>14010825</v>
      </c>
      <c r="G388" s="10">
        <v>16660410</v>
      </c>
      <c r="H388" s="1">
        <f t="shared" si="51"/>
        <v>2649585</v>
      </c>
    </row>
    <row r="389" ht="15">
      <c r="A389" s="6" t="s">
        <v>145</v>
      </c>
      <c r="B389" s="8">
        <f t="shared" si="49"/>
        <v>1403</v>
      </c>
      <c r="C389" s="8">
        <f t="shared" si="50"/>
        <v>1459</v>
      </c>
      <c r="D389" s="8">
        <f>VLOOKUP(A389,fonds!$B$2:$F$495,4,FALSE())</f>
        <v>14031214</v>
      </c>
      <c r="E389" s="8">
        <f>VLOOKUP($A389,fonds!$B$2:$F$495,5,FALSE())</f>
        <v>14590108</v>
      </c>
      <c r="F389" s="10">
        <v>14031214</v>
      </c>
      <c r="G389" s="10">
        <v>14590108</v>
      </c>
      <c r="H389" s="1">
        <f t="shared" si="51"/>
        <v>558894</v>
      </c>
    </row>
    <row r="390" ht="15">
      <c r="A390" s="6" t="s">
        <v>1935</v>
      </c>
      <c r="B390" s="8">
        <f t="shared" si="49"/>
        <v>1404</v>
      </c>
      <c r="C390" s="8">
        <f t="shared" si="50"/>
        <v>1635</v>
      </c>
      <c r="D390" s="8">
        <f>VLOOKUP(A390,fonds!$B$2:$F$495,4,FALSE())</f>
        <v>14040217</v>
      </c>
      <c r="E390" s="8">
        <f>VLOOKUP($A390,fonds!$B$2:$F$495,5,FALSE())</f>
        <v>16350817</v>
      </c>
      <c r="F390" s="10">
        <v>14040217</v>
      </c>
      <c r="G390" s="10">
        <v>16350817</v>
      </c>
      <c r="H390" s="1">
        <f t="shared" si="51"/>
        <v>2310600</v>
      </c>
    </row>
    <row r="391" ht="15">
      <c r="A391" s="6" t="s">
        <v>779</v>
      </c>
      <c r="B391" s="8">
        <f t="shared" si="49"/>
        <v>1405</v>
      </c>
      <c r="C391" s="8">
        <f t="shared" si="50"/>
        <v>1735</v>
      </c>
      <c r="D391" s="8">
        <f>VLOOKUP(A391,fonds!$B$2:$F$495,4,FALSE())</f>
        <v>14050807</v>
      </c>
      <c r="E391" s="8">
        <f>VLOOKUP($A391,fonds!$B$2:$F$495,5,FALSE())</f>
        <v>17350307</v>
      </c>
      <c r="F391" s="10">
        <v>14050807</v>
      </c>
      <c r="G391" s="10">
        <v>17350307</v>
      </c>
      <c r="H391" s="1">
        <f t="shared" si="51"/>
        <v>3299500</v>
      </c>
    </row>
    <row r="392" ht="15">
      <c r="A392" s="6" t="s">
        <v>731</v>
      </c>
      <c r="B392" s="8">
        <f t="shared" si="49"/>
        <v>1407</v>
      </c>
      <c r="C392" s="8">
        <f t="shared" si="50"/>
        <v>1746</v>
      </c>
      <c r="D392" s="8">
        <f>VLOOKUP(A392,fonds!$B$2:$F$495,4,FALSE())</f>
        <v>14070511</v>
      </c>
      <c r="E392" s="8">
        <f>VLOOKUP($A392,fonds!$B$2:$F$495,5,FALSE())</f>
        <v>17460525</v>
      </c>
      <c r="F392" s="10">
        <v>14070511</v>
      </c>
      <c r="G392" s="10">
        <v>17460525</v>
      </c>
      <c r="H392" s="1">
        <f t="shared" si="51"/>
        <v>3390014</v>
      </c>
    </row>
    <row r="393" ht="15">
      <c r="A393" s="6" t="s">
        <v>999</v>
      </c>
      <c r="B393" s="8">
        <f t="shared" si="49"/>
        <v>1408</v>
      </c>
      <c r="C393" s="8">
        <f t="shared" si="50"/>
        <v>1715</v>
      </c>
      <c r="D393" s="8">
        <f>VLOOKUP(A393,fonds!$B$2:$F$495,4,FALSE())</f>
        <v>14080214</v>
      </c>
      <c r="E393" s="8">
        <f>VLOOKUP($A393,fonds!$B$2:$F$495,5,FALSE())</f>
        <v>17150425</v>
      </c>
      <c r="F393" s="10">
        <v>14080214</v>
      </c>
      <c r="G393" s="10">
        <v>17150425</v>
      </c>
      <c r="H393" s="1">
        <f t="shared" si="51"/>
        <v>3070211</v>
      </c>
    </row>
    <row r="394" ht="15">
      <c r="A394" s="6" t="s">
        <v>1395</v>
      </c>
      <c r="B394" s="8">
        <f t="shared" si="49"/>
        <v>1408</v>
      </c>
      <c r="C394" s="8">
        <f t="shared" si="50"/>
        <v>1408</v>
      </c>
      <c r="D394" s="8">
        <f>VLOOKUP(A394,fonds!$B$2:$F$495,4,FALSE())</f>
        <v>14080506</v>
      </c>
      <c r="E394" s="8">
        <f>VLOOKUP($A394,fonds!$B$2:$F$495,5,FALSE())</f>
        <v>14080506</v>
      </c>
      <c r="F394" s="10">
        <v>14080506</v>
      </c>
      <c r="G394" s="10">
        <v>14080506</v>
      </c>
      <c r="H394" s="1">
        <f t="shared" si="51"/>
        <v>0</v>
      </c>
    </row>
    <row r="395" ht="15">
      <c r="A395" s="6" t="s">
        <v>313</v>
      </c>
      <c r="B395" s="8">
        <f t="shared" si="49"/>
        <v>1410</v>
      </c>
      <c r="C395" s="8">
        <f t="shared" si="50"/>
        <v>1410</v>
      </c>
      <c r="D395" s="8">
        <f>VLOOKUP(A395,fonds!$B$2:$F$495,4,FALSE())</f>
        <v>14100510</v>
      </c>
      <c r="E395" s="8">
        <f>VLOOKUP($A395,fonds!$B$2:$F$495,5,FALSE())</f>
        <v>14100510</v>
      </c>
      <c r="F395" s="10">
        <v>14100510</v>
      </c>
      <c r="G395" s="10">
        <v>14100510</v>
      </c>
      <c r="H395" s="1">
        <f t="shared" si="51"/>
        <v>0</v>
      </c>
    </row>
    <row r="396" ht="15">
      <c r="A396" s="6" t="s">
        <v>133</v>
      </c>
      <c r="B396" s="8">
        <f t="shared" si="49"/>
        <v>1414</v>
      </c>
      <c r="C396" s="8">
        <f t="shared" si="50"/>
        <v>1414</v>
      </c>
      <c r="D396" s="8">
        <f>VLOOKUP(A396,fonds!$B$2:$F$495,4,FALSE())</f>
        <v>14140806</v>
      </c>
      <c r="E396" s="8">
        <f>VLOOKUP($A396,fonds!$B$2:$F$495,5,FALSE())</f>
        <v>14140806</v>
      </c>
      <c r="F396" s="10">
        <v>14140806</v>
      </c>
      <c r="G396" s="10">
        <v>14140806</v>
      </c>
      <c r="H396" s="1">
        <f t="shared" si="51"/>
        <v>0</v>
      </c>
    </row>
    <row r="397" ht="15">
      <c r="A397" s="6" t="s">
        <v>173</v>
      </c>
      <c r="B397" s="8">
        <f t="shared" si="49"/>
        <v>1416</v>
      </c>
      <c r="C397" s="8">
        <f t="shared" si="50"/>
        <v>1416</v>
      </c>
      <c r="D397" s="8">
        <f>VLOOKUP(A397,fonds!$B$2:$F$495,4,FALSE())</f>
        <v>14160424</v>
      </c>
      <c r="E397" s="8">
        <f>VLOOKUP($A397,fonds!$B$2:$F$495,5,FALSE())</f>
        <v>14160424</v>
      </c>
      <c r="F397" s="10">
        <v>14160424</v>
      </c>
      <c r="G397" s="10">
        <v>14160424</v>
      </c>
      <c r="H397" s="1">
        <f t="shared" si="51"/>
        <v>0</v>
      </c>
    </row>
    <row r="398" ht="15">
      <c r="A398" s="6" t="s">
        <v>237</v>
      </c>
      <c r="B398" s="8">
        <f t="shared" si="49"/>
        <v>1418</v>
      </c>
      <c r="C398" s="8">
        <f t="shared" si="50"/>
        <v>1418</v>
      </c>
      <c r="D398" s="8">
        <f>VLOOKUP(A398,fonds!$B$2:$F$495,4,FALSE())</f>
        <v>14181231</v>
      </c>
      <c r="E398" s="8">
        <f>VLOOKUP($A398,fonds!$B$2:$F$495,5,FALSE())</f>
        <v>14181231</v>
      </c>
      <c r="F398" s="10">
        <v>14181231</v>
      </c>
      <c r="G398" s="10">
        <v>14181231</v>
      </c>
      <c r="H398" s="1">
        <f t="shared" si="51"/>
        <v>0</v>
      </c>
    </row>
    <row r="399" ht="15">
      <c r="A399" s="6" t="s">
        <v>631</v>
      </c>
      <c r="B399" s="8">
        <f t="shared" si="49"/>
        <v>1422</v>
      </c>
      <c r="C399" s="8">
        <f t="shared" si="50"/>
        <v>1761</v>
      </c>
      <c r="D399" s="8">
        <f>VLOOKUP(A399,fonds!$B$2:$F$495,4,FALSE())</f>
        <v>14220503</v>
      </c>
      <c r="E399" s="8">
        <f>VLOOKUP($A399,fonds!$B$2:$F$495,5,FALSE())</f>
        <v>17610922</v>
      </c>
      <c r="F399" s="10">
        <v>14220503</v>
      </c>
      <c r="G399" s="10">
        <v>17610922</v>
      </c>
      <c r="H399" s="1">
        <f t="shared" si="51"/>
        <v>3390419</v>
      </c>
    </row>
    <row r="400" ht="15">
      <c r="A400" s="6" t="s">
        <v>1031</v>
      </c>
      <c r="B400" s="8">
        <f t="shared" si="49"/>
        <v>1422</v>
      </c>
      <c r="C400" s="8">
        <f t="shared" si="50"/>
        <v>1547</v>
      </c>
      <c r="D400" s="8">
        <f>VLOOKUP(A400,fonds!$B$2:$F$495,4,FALSE())</f>
        <v>14220805</v>
      </c>
      <c r="E400" s="8">
        <f>VLOOKUP($A400,fonds!$B$2:$F$495,5,FALSE())</f>
        <v>15470929</v>
      </c>
      <c r="F400" s="10">
        <v>14220805</v>
      </c>
      <c r="G400" s="10">
        <v>15470929</v>
      </c>
      <c r="H400" s="1">
        <f t="shared" si="51"/>
        <v>1250124</v>
      </c>
    </row>
    <row r="401" ht="15">
      <c r="A401" s="6" t="s">
        <v>1383</v>
      </c>
      <c r="B401" s="8">
        <f t="shared" si="49"/>
        <v>1422</v>
      </c>
      <c r="C401" s="8">
        <f t="shared" si="50"/>
        <v>1704</v>
      </c>
      <c r="D401" s="8">
        <f>VLOOKUP(A401,fonds!$B$2:$F$495,4,FALSE())</f>
        <v>14221126</v>
      </c>
      <c r="E401" s="8">
        <f>VLOOKUP($A401,fonds!$B$2:$F$495,5,FALSE())</f>
        <v>17040505</v>
      </c>
      <c r="F401" s="10">
        <v>14221126</v>
      </c>
      <c r="G401" s="10">
        <v>17040505</v>
      </c>
      <c r="H401" s="1">
        <f t="shared" si="51"/>
        <v>2819379</v>
      </c>
    </row>
    <row r="402" ht="15">
      <c r="A402" s="6" t="s">
        <v>365</v>
      </c>
      <c r="B402" s="8">
        <f t="shared" si="49"/>
        <v>1426</v>
      </c>
      <c r="C402" s="8">
        <f t="shared" si="50"/>
        <v>1426</v>
      </c>
      <c r="D402" s="8">
        <f>VLOOKUP(A402,fonds!$B$2:$F$495,4,FALSE())</f>
        <v>14261112</v>
      </c>
      <c r="E402" s="8">
        <f>VLOOKUP($A402,fonds!$B$2:$F$495,5,FALSE())</f>
        <v>14261112</v>
      </c>
      <c r="F402" s="10">
        <v>14261112</v>
      </c>
      <c r="G402" s="10">
        <v>14261112</v>
      </c>
      <c r="H402" s="1">
        <f t="shared" si="51"/>
        <v>0</v>
      </c>
    </row>
    <row r="403" ht="15">
      <c r="A403" s="6" t="s">
        <v>357</v>
      </c>
      <c r="B403" s="8">
        <f t="shared" si="49"/>
        <v>1430</v>
      </c>
      <c r="C403" s="8">
        <f t="shared" si="50"/>
        <v>1571</v>
      </c>
      <c r="D403" s="8">
        <f>VLOOKUP(A403,fonds!$B$2:$F$495,4,FALSE())</f>
        <v>14300107</v>
      </c>
      <c r="E403" s="8">
        <f>VLOOKUP($A403,fonds!$B$2:$F$495,5,FALSE())</f>
        <v>15710526</v>
      </c>
      <c r="F403" s="10">
        <v>14300107</v>
      </c>
      <c r="G403" s="10">
        <v>15710526</v>
      </c>
      <c r="H403" s="1">
        <f t="shared" si="51"/>
        <v>1410419</v>
      </c>
    </row>
    <row r="404" ht="15">
      <c r="A404" s="6" t="s">
        <v>1007</v>
      </c>
      <c r="B404" s="8">
        <f t="shared" si="49"/>
        <v>1430</v>
      </c>
      <c r="C404" s="8">
        <f t="shared" si="50"/>
        <v>1635</v>
      </c>
      <c r="D404" s="8">
        <f>VLOOKUP(A404,fonds!$B$2:$F$495,4,FALSE())</f>
        <v>14301130</v>
      </c>
      <c r="E404" s="8">
        <f>VLOOKUP($A404,fonds!$B$2:$F$495,5,FALSE())</f>
        <v>16350928</v>
      </c>
      <c r="F404" s="10">
        <v>14301130</v>
      </c>
      <c r="G404" s="10">
        <v>16350928</v>
      </c>
      <c r="H404" s="1">
        <f t="shared" si="51"/>
        <v>2049798</v>
      </c>
    </row>
    <row r="405" ht="15">
      <c r="A405" s="6" t="s">
        <v>931</v>
      </c>
      <c r="B405" s="8">
        <f t="shared" si="49"/>
        <v>1433</v>
      </c>
      <c r="C405" s="8">
        <f t="shared" si="50"/>
        <v>1433</v>
      </c>
      <c r="D405" s="8">
        <f>VLOOKUP(A405,fonds!$B$2:$F$495,4,FALSE())</f>
        <v>14330810</v>
      </c>
      <c r="E405" s="8">
        <f>VLOOKUP($A405,fonds!$B$2:$F$495,5,FALSE())</f>
        <v>14330810</v>
      </c>
      <c r="F405" s="10">
        <v>14330810</v>
      </c>
      <c r="G405" s="10">
        <v>14330810</v>
      </c>
      <c r="H405" s="1">
        <f t="shared" si="51"/>
        <v>0</v>
      </c>
    </row>
    <row r="406" ht="15">
      <c r="A406" s="6" t="s">
        <v>105</v>
      </c>
      <c r="B406" s="8">
        <f t="shared" si="49"/>
        <v>1434</v>
      </c>
      <c r="C406" s="8">
        <f t="shared" si="50"/>
        <v>1434</v>
      </c>
      <c r="D406" s="8">
        <f>VLOOKUP(A406,fonds!$B$2:$F$495,4,FALSE())</f>
        <v>14340531</v>
      </c>
      <c r="E406" s="8">
        <f>VLOOKUP($A406,fonds!$B$2:$F$495,5,FALSE())</f>
        <v>14340531</v>
      </c>
      <c r="F406" s="10">
        <v>14340531</v>
      </c>
      <c r="G406" s="10">
        <v>14340531</v>
      </c>
      <c r="H406" s="1">
        <f t="shared" si="51"/>
        <v>0</v>
      </c>
    </row>
    <row r="407" ht="15">
      <c r="A407" s="6" t="s">
        <v>69</v>
      </c>
      <c r="B407" s="8">
        <f t="shared" si="49"/>
        <v>1434</v>
      </c>
      <c r="C407" s="8">
        <f t="shared" si="50"/>
        <v>1434</v>
      </c>
      <c r="D407" s="8">
        <f>VLOOKUP(A407,fonds!$B$2:$F$495,4,FALSE())</f>
        <v>14340929</v>
      </c>
      <c r="E407" s="8">
        <f>VLOOKUP($A407,fonds!$B$2:$F$495,5,FALSE())</f>
        <v>14340929</v>
      </c>
      <c r="F407" s="10">
        <v>14340929</v>
      </c>
      <c r="G407" s="10">
        <v>14340929</v>
      </c>
      <c r="H407" s="1">
        <f t="shared" si="51"/>
        <v>0</v>
      </c>
    </row>
    <row r="408" ht="15">
      <c r="A408" s="6" t="s">
        <v>81</v>
      </c>
      <c r="B408" s="8">
        <f t="shared" si="49"/>
        <v>1436</v>
      </c>
      <c r="C408" s="8">
        <f t="shared" si="50"/>
        <v>1685</v>
      </c>
      <c r="D408" s="8">
        <f>VLOOKUP(A408,fonds!$B$2:$F$495,4,FALSE())</f>
        <v>14360801</v>
      </c>
      <c r="E408" s="8">
        <f>VLOOKUP($A408,fonds!$B$2:$F$495,5,FALSE())</f>
        <v>16851218</v>
      </c>
      <c r="F408" s="10">
        <v>14360801</v>
      </c>
      <c r="G408" s="10">
        <v>16851218</v>
      </c>
      <c r="H408" s="1">
        <f t="shared" si="51"/>
        <v>2490417</v>
      </c>
    </row>
    <row r="409" ht="15">
      <c r="A409" s="6" t="s">
        <v>627</v>
      </c>
      <c r="B409" s="8">
        <f t="shared" si="49"/>
        <v>1442</v>
      </c>
      <c r="C409" s="8">
        <f t="shared" si="50"/>
        <v>1482</v>
      </c>
      <c r="D409" s="8">
        <f>VLOOKUP(A409,fonds!$B$2:$F$495,4,FALSE())</f>
        <v>14420331</v>
      </c>
      <c r="E409" s="8">
        <f>VLOOKUP($A409,fonds!$B$2:$F$495,5,FALSE())</f>
        <v>14820708</v>
      </c>
      <c r="F409" s="10">
        <v>14420331</v>
      </c>
      <c r="G409" s="10">
        <v>14820708</v>
      </c>
      <c r="H409" s="1">
        <f t="shared" si="51"/>
        <v>400377</v>
      </c>
    </row>
    <row r="410" ht="15">
      <c r="A410" s="6" t="s">
        <v>185</v>
      </c>
      <c r="B410" s="8">
        <f t="shared" si="49"/>
        <v>1443</v>
      </c>
      <c r="C410" s="8">
        <f t="shared" si="50"/>
        <v>1474</v>
      </c>
      <c r="D410" s="8">
        <f>VLOOKUP(A410,fonds!$B$2:$F$495,4,FALSE())</f>
        <v>14430522</v>
      </c>
      <c r="E410" s="8">
        <f>VLOOKUP($A410,fonds!$B$2:$F$495,5,FALSE())</f>
        <v>14740328</v>
      </c>
      <c r="F410" s="10">
        <v>14430522</v>
      </c>
      <c r="G410" s="10">
        <v>14740328</v>
      </c>
      <c r="H410" s="1">
        <f t="shared" si="51"/>
        <v>309806</v>
      </c>
    </row>
    <row r="411" ht="15">
      <c r="A411" s="6" t="s">
        <v>1419</v>
      </c>
      <c r="B411" s="8">
        <f t="shared" si="49"/>
        <v>1444</v>
      </c>
      <c r="C411" s="8">
        <f t="shared" si="50"/>
        <v>1523</v>
      </c>
      <c r="D411" s="8">
        <f>VLOOKUP(A411,fonds!$B$2:$F$495,4,FALSE())</f>
        <v>14440418</v>
      </c>
      <c r="E411" s="8">
        <f>VLOOKUP($A411,fonds!$B$2:$F$495,5,FALSE())</f>
        <v>15230122</v>
      </c>
      <c r="F411" s="10">
        <v>14440418</v>
      </c>
      <c r="G411" s="10">
        <v>15230122</v>
      </c>
      <c r="H411" s="1">
        <f t="shared" si="51"/>
        <v>789704</v>
      </c>
    </row>
    <row r="412" ht="15">
      <c r="A412" s="6" t="s">
        <v>524</v>
      </c>
      <c r="B412" s="8">
        <f t="shared" si="49"/>
        <v>1444</v>
      </c>
      <c r="C412" s="8">
        <f t="shared" si="50"/>
        <v>1545</v>
      </c>
      <c r="D412" s="8">
        <f>VLOOKUP(A412,fonds!$B$2:$F$495,4,FALSE())</f>
        <v>14441121</v>
      </c>
      <c r="E412" s="8">
        <f>VLOOKUP($A412,fonds!$B$2:$F$495,5,FALSE())</f>
        <v>15450811</v>
      </c>
      <c r="F412" s="10">
        <v>14441121</v>
      </c>
      <c r="G412" s="10">
        <v>15450811</v>
      </c>
      <c r="H412" s="1">
        <f t="shared" si="51"/>
        <v>1009690</v>
      </c>
    </row>
    <row r="413" ht="15">
      <c r="A413" s="6" t="s">
        <v>401</v>
      </c>
      <c r="B413" s="8">
        <f t="shared" si="49"/>
        <v>1448</v>
      </c>
      <c r="C413" s="8">
        <f t="shared" si="50"/>
        <v>1646</v>
      </c>
      <c r="D413" s="8">
        <f>VLOOKUP(A413,fonds!$B$2:$F$495,4,FALSE())</f>
        <v>14480309</v>
      </c>
      <c r="E413" s="8">
        <f>VLOOKUP($A413,fonds!$B$2:$F$495,5,FALSE())</f>
        <v>16461208</v>
      </c>
      <c r="F413" s="10">
        <v>14480309</v>
      </c>
      <c r="G413" s="10">
        <v>16461208</v>
      </c>
      <c r="H413" s="1">
        <f t="shared" si="51"/>
        <v>1980899</v>
      </c>
    </row>
    <row r="414" ht="15">
      <c r="A414" s="6" t="s">
        <v>149</v>
      </c>
      <c r="B414" s="8">
        <f t="shared" si="49"/>
        <v>1450</v>
      </c>
      <c r="C414" s="8">
        <f t="shared" si="50"/>
        <v>1472</v>
      </c>
      <c r="D414" s="8">
        <f>VLOOKUP(A414,fonds!$B$2:$F$495,4,FALSE())</f>
        <v>14500601</v>
      </c>
      <c r="E414" s="8">
        <f>VLOOKUP($A414,fonds!$B$2:$F$495,5,FALSE())</f>
        <v>14721224</v>
      </c>
      <c r="F414" s="10">
        <v>14500601</v>
      </c>
      <c r="G414" s="10">
        <v>14721224</v>
      </c>
      <c r="H414" s="1">
        <f t="shared" si="51"/>
        <v>220623</v>
      </c>
    </row>
    <row r="415" ht="15">
      <c r="A415" s="6" t="s">
        <v>165</v>
      </c>
      <c r="B415" s="8">
        <f t="shared" si="49"/>
        <v>1451</v>
      </c>
      <c r="C415" s="8">
        <f t="shared" si="50"/>
        <v>1451</v>
      </c>
      <c r="D415" s="8">
        <f>VLOOKUP(A415,fonds!$B$2:$F$495,4,FALSE())</f>
        <v>14510820</v>
      </c>
      <c r="E415" s="8">
        <f>VLOOKUP($A415,fonds!$B$2:$F$495,5,FALSE())</f>
        <v>14510820</v>
      </c>
      <c r="F415" s="10">
        <v>14510820</v>
      </c>
      <c r="G415" s="10">
        <v>14510820</v>
      </c>
      <c r="H415" s="1">
        <f t="shared" si="51"/>
        <v>0</v>
      </c>
    </row>
    <row r="416" ht="15">
      <c r="A416" s="6" t="s">
        <v>1967</v>
      </c>
      <c r="B416" s="8">
        <f t="shared" si="49"/>
        <v>1452</v>
      </c>
      <c r="C416" s="8">
        <f t="shared" si="50"/>
        <v>1521</v>
      </c>
      <c r="D416" s="8">
        <f>VLOOKUP(A416,fonds!$B$2:$F$495,4,FALSE())</f>
        <v>14520720</v>
      </c>
      <c r="E416" s="8">
        <f>VLOOKUP($A416,fonds!$B$2:$F$495,5,FALSE())</f>
        <v>15211226</v>
      </c>
      <c r="F416" s="10">
        <v>14520720</v>
      </c>
      <c r="G416" s="10">
        <v>15211226</v>
      </c>
      <c r="H416" s="1">
        <f t="shared" si="51"/>
        <v>690506</v>
      </c>
    </row>
    <row r="417" ht="15">
      <c r="A417" s="6" t="s">
        <v>49</v>
      </c>
      <c r="B417" s="8">
        <f t="shared" si="49"/>
        <v>1456</v>
      </c>
      <c r="C417" s="8">
        <f t="shared" si="50"/>
        <v>1456</v>
      </c>
      <c r="D417" s="8">
        <f>VLOOKUP(A417,fonds!$B$2:$F$495,4,FALSE())</f>
        <v>14560122</v>
      </c>
      <c r="E417" s="8">
        <f>VLOOKUP($A417,fonds!$B$2:$F$495,5,FALSE())</f>
        <v>14560122</v>
      </c>
      <c r="F417" s="10">
        <v>14560122</v>
      </c>
      <c r="G417" s="10">
        <v>14560122</v>
      </c>
      <c r="H417" s="1">
        <f t="shared" si="51"/>
        <v>0</v>
      </c>
    </row>
    <row r="418" ht="15">
      <c r="A418" s="6" t="s">
        <v>53</v>
      </c>
      <c r="B418" s="8">
        <f t="shared" si="49"/>
        <v>1456</v>
      </c>
      <c r="C418" s="8">
        <f t="shared" si="50"/>
        <v>1624</v>
      </c>
      <c r="D418" s="8">
        <f>VLOOKUP(A418,fonds!$B$2:$F$495,4,FALSE())</f>
        <v>14560305</v>
      </c>
      <c r="E418" s="8">
        <f>VLOOKUP($A418,fonds!$B$2:$F$495,5,FALSE())</f>
        <v>16240121</v>
      </c>
      <c r="F418" s="10">
        <v>14560305</v>
      </c>
      <c r="G418" s="10">
        <v>16240121</v>
      </c>
      <c r="H418" s="1">
        <f t="shared" si="51"/>
        <v>1679816</v>
      </c>
    </row>
    <row r="419" ht="15">
      <c r="A419" s="6" t="s">
        <v>349</v>
      </c>
      <c r="B419" s="8">
        <f t="shared" si="49"/>
        <v>1456</v>
      </c>
      <c r="C419" s="8">
        <f t="shared" si="50"/>
        <v>1456</v>
      </c>
      <c r="D419" s="8">
        <f>VLOOKUP(A419,fonds!$B$2:$F$495,4,FALSE())</f>
        <v>14561107</v>
      </c>
      <c r="E419" s="8">
        <f>VLOOKUP($A419,fonds!$B$2:$F$495,5,FALSE())</f>
        <v>14561107</v>
      </c>
      <c r="F419" s="10">
        <v>14561107</v>
      </c>
      <c r="G419" s="10">
        <v>14561107</v>
      </c>
      <c r="H419" s="1">
        <f t="shared" si="51"/>
        <v>0</v>
      </c>
    </row>
    <row r="420" ht="15">
      <c r="A420" s="6" t="s">
        <v>361</v>
      </c>
      <c r="B420" s="8">
        <f t="shared" ref="B420:B462" si="52">FLOOR(F420/10000,1)</f>
        <v>1458</v>
      </c>
      <c r="C420" s="8">
        <f t="shared" ref="C420:C462" si="53">FLOOR(G420/10000,1)</f>
        <v>1458</v>
      </c>
      <c r="D420" s="8">
        <f>VLOOKUP(A420,fonds!$B$2:$F$495,4,FALSE())</f>
        <v>14580312</v>
      </c>
      <c r="E420" s="8">
        <f>VLOOKUP($A420,fonds!$B$2:$F$495,5,FALSE())</f>
        <v>14580312</v>
      </c>
      <c r="F420" s="10">
        <v>14580312</v>
      </c>
      <c r="G420" s="10">
        <v>14580312</v>
      </c>
      <c r="H420" s="1">
        <f t="shared" ref="H420:H483" si="54">G420-F420</f>
        <v>0</v>
      </c>
    </row>
    <row r="421" ht="15">
      <c r="A421" s="6" t="s">
        <v>109</v>
      </c>
      <c r="B421" s="8">
        <f t="shared" si="52"/>
        <v>1467</v>
      </c>
      <c r="C421" s="8">
        <f t="shared" si="53"/>
        <v>1467</v>
      </c>
      <c r="D421" s="8">
        <f>VLOOKUP(A421,fonds!$B$2:$F$495,4,FALSE())</f>
        <v>14670714</v>
      </c>
      <c r="E421" s="8">
        <f>VLOOKUP($A421,fonds!$B$2:$F$495,5,FALSE())</f>
        <v>14670714</v>
      </c>
      <c r="F421" s="10">
        <v>14670714</v>
      </c>
      <c r="G421" s="10">
        <v>14670714</v>
      </c>
      <c r="H421" s="1">
        <f t="shared" si="54"/>
        <v>0</v>
      </c>
    </row>
    <row r="422" ht="15">
      <c r="A422" s="6" t="s">
        <v>97</v>
      </c>
      <c r="B422" s="8">
        <f t="shared" si="52"/>
        <v>1468</v>
      </c>
      <c r="C422" s="8">
        <f t="shared" si="53"/>
        <v>1468</v>
      </c>
      <c r="D422" s="8">
        <f>VLOOKUP(A422,fonds!$B$2:$F$495,4,FALSE())</f>
        <v>14680325</v>
      </c>
      <c r="E422" s="8">
        <f>VLOOKUP($A422,fonds!$B$2:$F$495,5,FALSE())</f>
        <v>14680325</v>
      </c>
      <c r="F422" s="10">
        <v>14680325</v>
      </c>
      <c r="G422" s="10">
        <v>14680325</v>
      </c>
      <c r="H422" s="1">
        <f t="shared" si="54"/>
        <v>0</v>
      </c>
    </row>
    <row r="423" ht="15">
      <c r="A423" s="6" t="s">
        <v>21</v>
      </c>
      <c r="B423" s="8">
        <f t="shared" si="52"/>
        <v>1471</v>
      </c>
      <c r="C423" s="8">
        <f t="shared" si="53"/>
        <v>1767</v>
      </c>
      <c r="D423" s="8">
        <f>VLOOKUP(A423,fonds!$B$2:$F$495,4,FALSE())</f>
        <v>14711127</v>
      </c>
      <c r="E423" s="8">
        <f>VLOOKUP($A423,fonds!$B$2:$F$495,5,FALSE())</f>
        <v>17670520</v>
      </c>
      <c r="F423" s="10">
        <v>14711127</v>
      </c>
      <c r="G423" s="10">
        <v>17670520</v>
      </c>
      <c r="H423" s="1">
        <f t="shared" si="54"/>
        <v>2959393</v>
      </c>
    </row>
    <row r="424" ht="15">
      <c r="A424" s="6" t="s">
        <v>85</v>
      </c>
      <c r="B424" s="8">
        <f t="shared" si="52"/>
        <v>1476</v>
      </c>
      <c r="C424" s="8">
        <f t="shared" si="53"/>
        <v>1476</v>
      </c>
      <c r="D424" s="8">
        <f>VLOOKUP(A424,fonds!$B$2:$F$495,4,FALSE())</f>
        <v>14760406</v>
      </c>
      <c r="E424" s="8">
        <f>VLOOKUP($A424,fonds!$B$2:$F$495,5,FALSE())</f>
        <v>14760406</v>
      </c>
      <c r="F424" s="10">
        <v>14760406</v>
      </c>
      <c r="G424" s="10">
        <v>14760406</v>
      </c>
      <c r="H424" s="1">
        <f t="shared" si="54"/>
        <v>0</v>
      </c>
    </row>
    <row r="425" ht="15">
      <c r="A425" s="6" t="s">
        <v>373</v>
      </c>
      <c r="B425" s="8">
        <f t="shared" si="52"/>
        <v>1476</v>
      </c>
      <c r="C425" s="8">
        <f t="shared" si="53"/>
        <v>1517</v>
      </c>
      <c r="D425" s="8">
        <f>VLOOKUP(A425,fonds!$B$2:$F$495,4,FALSE())</f>
        <v>14761011</v>
      </c>
      <c r="E425" s="8">
        <f>VLOOKUP($A425,fonds!$B$2:$F$495,5,FALSE())</f>
        <v>15171217</v>
      </c>
      <c r="F425" s="10">
        <v>14761011</v>
      </c>
      <c r="G425" s="10">
        <v>15171217</v>
      </c>
      <c r="H425" s="1">
        <f t="shared" si="54"/>
        <v>410206</v>
      </c>
    </row>
    <row r="426" ht="15">
      <c r="A426" s="6" t="s">
        <v>61</v>
      </c>
      <c r="B426" s="8">
        <f t="shared" si="52"/>
        <v>1479</v>
      </c>
      <c r="C426" s="8">
        <f t="shared" si="53"/>
        <v>1780</v>
      </c>
      <c r="D426" s="8">
        <f>VLOOKUP(A426,fonds!$B$2:$F$495,4,FALSE())</f>
        <v>14790124</v>
      </c>
      <c r="E426" s="8">
        <f>VLOOKUP($A426,fonds!$B$2:$F$495,5,FALSE())</f>
        <v>17800115</v>
      </c>
      <c r="F426" s="10">
        <v>14790124</v>
      </c>
      <c r="G426" s="10">
        <v>17800115</v>
      </c>
      <c r="H426" s="1">
        <f t="shared" si="54"/>
        <v>3009991</v>
      </c>
    </row>
    <row r="427" ht="15">
      <c r="A427" s="6" t="s">
        <v>121</v>
      </c>
      <c r="B427" s="8">
        <f t="shared" si="52"/>
        <v>1482</v>
      </c>
      <c r="C427" s="8">
        <f t="shared" si="53"/>
        <v>1483</v>
      </c>
      <c r="D427" s="8">
        <f>VLOOKUP(A427,fonds!$B$2:$F$495,4,FALSE())</f>
        <v>14820312</v>
      </c>
      <c r="E427" s="8">
        <f>VLOOKUP($A427,fonds!$B$2:$F$495,5,FALSE())</f>
        <v>14830311</v>
      </c>
      <c r="F427" s="10">
        <v>14820312</v>
      </c>
      <c r="G427" s="10">
        <v>14830311</v>
      </c>
      <c r="H427" s="1">
        <f t="shared" si="54"/>
        <v>9999</v>
      </c>
    </row>
    <row r="428" ht="15">
      <c r="A428" s="6" t="s">
        <v>855</v>
      </c>
      <c r="B428" s="8">
        <f t="shared" si="52"/>
        <v>1483</v>
      </c>
      <c r="C428" s="8">
        <f t="shared" si="53"/>
        <v>1483</v>
      </c>
      <c r="D428" s="8">
        <f>VLOOKUP(A428,fonds!$B$2:$F$495,4,FALSE())</f>
        <v>14830404</v>
      </c>
      <c r="E428" s="8">
        <f>VLOOKUP($A428,fonds!$B$2:$F$495,5,FALSE())</f>
        <v>14830404</v>
      </c>
      <c r="F428" s="10">
        <v>14830404</v>
      </c>
      <c r="G428" s="10">
        <v>14830404</v>
      </c>
      <c r="H428" s="1">
        <f t="shared" si="54"/>
        <v>0</v>
      </c>
    </row>
    <row r="429" ht="15">
      <c r="A429" s="6" t="s">
        <v>345</v>
      </c>
      <c r="B429" s="8">
        <f t="shared" si="52"/>
        <v>1493</v>
      </c>
      <c r="C429" s="8">
        <f t="shared" si="53"/>
        <v>1493</v>
      </c>
      <c r="D429" s="8">
        <f>VLOOKUP(A429,fonds!$B$2:$F$495,4,FALSE())</f>
        <v>14930926</v>
      </c>
      <c r="E429" s="8">
        <f>VLOOKUP($A429,fonds!$B$2:$F$495,5,FALSE())</f>
        <v>14930926</v>
      </c>
      <c r="F429" s="10">
        <v>14930926</v>
      </c>
      <c r="G429" s="10">
        <v>14930926</v>
      </c>
      <c r="H429" s="1">
        <f t="shared" si="54"/>
        <v>0</v>
      </c>
    </row>
    <row r="430" ht="15">
      <c r="A430" s="6" t="s">
        <v>137</v>
      </c>
      <c r="B430" s="8">
        <f t="shared" si="52"/>
        <v>1494</v>
      </c>
      <c r="C430" s="8">
        <f t="shared" si="53"/>
        <v>1500</v>
      </c>
      <c r="D430" s="8">
        <f>VLOOKUP(A430,fonds!$B$2:$F$495,4,FALSE())</f>
        <v>14940119</v>
      </c>
      <c r="E430" s="8">
        <f>VLOOKUP($A430,fonds!$B$2:$F$495,5,FALSE())</f>
        <v>15009999</v>
      </c>
      <c r="F430" s="10">
        <v>14940119</v>
      </c>
      <c r="G430" s="10">
        <v>15009999</v>
      </c>
      <c r="H430" s="1">
        <f t="shared" si="54"/>
        <v>69880</v>
      </c>
    </row>
    <row r="431" ht="15">
      <c r="A431" s="6" t="s">
        <v>241</v>
      </c>
      <c r="B431" s="8">
        <f t="shared" si="52"/>
        <v>1499</v>
      </c>
      <c r="C431" s="8">
        <f t="shared" si="53"/>
        <v>1499</v>
      </c>
      <c r="D431" s="8">
        <f>VLOOKUP(A431,fonds!$B$2:$F$495,4,FALSE())</f>
        <v>14990913</v>
      </c>
      <c r="E431" s="8">
        <f>VLOOKUP($A431,fonds!$B$2:$F$495,5,FALSE())</f>
        <v>14990913</v>
      </c>
      <c r="F431" s="10">
        <v>14990913</v>
      </c>
      <c r="G431" s="10">
        <v>14990913</v>
      </c>
      <c r="H431" s="1">
        <f t="shared" si="54"/>
        <v>0</v>
      </c>
    </row>
    <row r="432" ht="15">
      <c r="A432" s="6" t="s">
        <v>867</v>
      </c>
      <c r="B432" s="8">
        <f t="shared" si="52"/>
        <v>1501</v>
      </c>
      <c r="C432" s="8">
        <f t="shared" si="53"/>
        <v>1501</v>
      </c>
      <c r="D432" s="8">
        <f>VLOOKUP(A432,fonds!$B$2:$F$495,4,FALSE())</f>
        <v>15010624</v>
      </c>
      <c r="E432" s="8">
        <f>VLOOKUP($A432,fonds!$B$2:$F$495,5,FALSE())</f>
        <v>15010624</v>
      </c>
      <c r="F432" s="10">
        <v>15010624</v>
      </c>
      <c r="G432" s="10">
        <v>15010624</v>
      </c>
      <c r="H432" s="1">
        <f t="shared" si="54"/>
        <v>0</v>
      </c>
    </row>
    <row r="433" ht="15">
      <c r="A433" s="6" t="s">
        <v>1992</v>
      </c>
      <c r="B433" s="8">
        <f t="shared" si="52"/>
        <v>1511</v>
      </c>
      <c r="C433" s="8">
        <f t="shared" si="53"/>
        <v>1526</v>
      </c>
      <c r="D433" s="8" t="e">
        <f>VLOOKUP(A433,fonds!$B$2:$F$495,4,FALSE())</f>
        <v>#N/A</v>
      </c>
      <c r="E433" s="8" t="e">
        <f>VLOOKUP($A433,fonds!$B$2:$F$495,5,FALSE())</f>
        <v>#N/A</v>
      </c>
      <c r="F433" s="10">
        <v>15110205</v>
      </c>
      <c r="G433" s="10">
        <v>15260203</v>
      </c>
      <c r="H433" s="1">
        <f t="shared" si="54"/>
        <v>149998</v>
      </c>
    </row>
    <row r="434" ht="15">
      <c r="A434" s="6" t="s">
        <v>703</v>
      </c>
      <c r="B434" s="8">
        <f t="shared" si="52"/>
        <v>1511</v>
      </c>
      <c r="C434" s="8">
        <f t="shared" si="53"/>
        <v>1524</v>
      </c>
      <c r="D434" s="8">
        <f>VLOOKUP(A434,fonds!$B$2:$F$495,4,FALSE())</f>
        <v>15111007</v>
      </c>
      <c r="E434" s="8">
        <f>VLOOKUP($A434,fonds!$B$2:$F$495,5,FALSE())</f>
        <v>15240624</v>
      </c>
      <c r="F434" s="10">
        <v>15111007</v>
      </c>
      <c r="G434" s="10">
        <v>15240624</v>
      </c>
      <c r="H434" s="1">
        <f t="shared" si="54"/>
        <v>129617</v>
      </c>
    </row>
    <row r="435" ht="15">
      <c r="A435" s="6" t="s">
        <v>719</v>
      </c>
      <c r="B435" s="8">
        <f t="shared" si="52"/>
        <v>1531</v>
      </c>
      <c r="C435" s="8">
        <f t="shared" si="53"/>
        <v>1691</v>
      </c>
      <c r="D435" s="8">
        <f>VLOOKUP(A435,fonds!$B$2:$F$495,4,FALSE())</f>
        <v>15310623</v>
      </c>
      <c r="E435" s="8">
        <f>VLOOKUP($A435,fonds!$B$2:$F$495,5,FALSE())</f>
        <v>16911020</v>
      </c>
      <c r="F435" s="10">
        <v>15310623</v>
      </c>
      <c r="G435" s="10">
        <v>16911020</v>
      </c>
      <c r="H435" s="1">
        <f t="shared" si="54"/>
        <v>1600397</v>
      </c>
    </row>
    <row r="436" ht="15">
      <c r="A436" s="6" t="s">
        <v>1995</v>
      </c>
      <c r="B436" s="8">
        <f t="shared" si="52"/>
        <v>1540</v>
      </c>
      <c r="C436" s="8">
        <f t="shared" si="53"/>
        <v>1680</v>
      </c>
      <c r="D436" s="8" t="e">
        <f>VLOOKUP(A436,fonds!$B$2:$F$495,4,FALSE())</f>
        <v>#N/A</v>
      </c>
      <c r="E436" s="8" t="e">
        <f>VLOOKUP($A436,fonds!$B$2:$F$495,5,FALSE())</f>
        <v>#N/A</v>
      </c>
      <c r="F436" s="10">
        <v>15409999</v>
      </c>
      <c r="G436" s="10">
        <v>16809999</v>
      </c>
      <c r="H436" s="1">
        <f t="shared" si="54"/>
        <v>1400000</v>
      </c>
    </row>
    <row r="437" ht="15">
      <c r="A437" s="6" t="s">
        <v>1994</v>
      </c>
      <c r="B437" s="8">
        <f t="shared" si="52"/>
        <v>1542</v>
      </c>
      <c r="C437" s="8">
        <f t="shared" si="53"/>
        <v>1797</v>
      </c>
      <c r="D437" s="8" t="e">
        <f>VLOOKUP(A437,fonds!$B$2:$F$495,4,FALSE())</f>
        <v>#N/A</v>
      </c>
      <c r="E437" s="8" t="e">
        <f>VLOOKUP($A437,fonds!$B$2:$F$495,5,FALSE())</f>
        <v>#N/A</v>
      </c>
      <c r="F437" s="10">
        <v>15420501</v>
      </c>
      <c r="G437" s="10">
        <v>17970830</v>
      </c>
      <c r="H437" s="1">
        <f t="shared" si="54"/>
        <v>2550329</v>
      </c>
    </row>
    <row r="438" ht="15">
      <c r="A438" s="6" t="s">
        <v>1427</v>
      </c>
      <c r="B438" s="8">
        <f t="shared" si="52"/>
        <v>1550</v>
      </c>
      <c r="C438" s="8">
        <f t="shared" si="53"/>
        <v>1680</v>
      </c>
      <c r="D438" s="8">
        <f>VLOOKUP(A438,fonds!$B$2:$F$495,4,FALSE())</f>
        <v>15500922</v>
      </c>
      <c r="E438" s="8">
        <f>VLOOKUP($A438,fonds!$B$2:$F$495,5,FALSE())</f>
        <v>16800301</v>
      </c>
      <c r="F438" s="10">
        <v>15500922</v>
      </c>
      <c r="G438" s="10">
        <v>16800301</v>
      </c>
      <c r="H438" s="1">
        <f t="shared" si="54"/>
        <v>1299379</v>
      </c>
    </row>
    <row r="439" ht="15">
      <c r="A439" s="6" t="s">
        <v>639</v>
      </c>
      <c r="B439" s="8">
        <f t="shared" si="52"/>
        <v>1561</v>
      </c>
      <c r="C439" s="8">
        <f t="shared" si="53"/>
        <v>1561</v>
      </c>
      <c r="D439" s="8">
        <f>VLOOKUP(A439,fonds!$B$2:$F$495,4,FALSE())</f>
        <v>15610602</v>
      </c>
      <c r="E439" s="8">
        <f>VLOOKUP($A439,fonds!$B$2:$F$495,5,FALSE())</f>
        <v>15610602</v>
      </c>
      <c r="F439" s="10">
        <v>15610602</v>
      </c>
      <c r="G439" s="10">
        <v>15610602</v>
      </c>
      <c r="H439" s="1">
        <f t="shared" si="54"/>
        <v>0</v>
      </c>
    </row>
    <row r="440" ht="15">
      <c r="A440" s="6" t="s">
        <v>217</v>
      </c>
      <c r="B440" s="8">
        <f t="shared" si="52"/>
        <v>1583</v>
      </c>
      <c r="C440" s="8">
        <f t="shared" si="53"/>
        <v>1779</v>
      </c>
      <c r="D440" s="8">
        <f>VLOOKUP(A440,fonds!$B$2:$F$495,4,FALSE())</f>
        <v>15830507</v>
      </c>
      <c r="E440" s="8">
        <f>VLOOKUP($A440,fonds!$B$2:$F$495,5,FALSE())</f>
        <v>17790205</v>
      </c>
      <c r="F440" s="10">
        <v>15830507</v>
      </c>
      <c r="G440" s="10">
        <v>17790205</v>
      </c>
      <c r="H440" s="1">
        <f t="shared" si="54"/>
        <v>1959698</v>
      </c>
    </row>
    <row r="441" ht="15">
      <c r="A441" s="6" t="s">
        <v>1255</v>
      </c>
      <c r="B441" s="8">
        <f t="shared" si="52"/>
        <v>1596</v>
      </c>
      <c r="C441" s="8">
        <f t="shared" si="53"/>
        <v>1612</v>
      </c>
      <c r="D441" s="8">
        <f>VLOOKUP(A441,fonds!$B$2:$F$495,4,FALSE())</f>
        <v>15961231</v>
      </c>
      <c r="E441" s="8">
        <f>VLOOKUP($A441,fonds!$B$2:$F$495,5,FALSE())</f>
        <v>16121231</v>
      </c>
      <c r="F441" s="10">
        <v>15961231</v>
      </c>
      <c r="G441" s="10">
        <v>16121231</v>
      </c>
      <c r="H441" s="1">
        <f t="shared" si="54"/>
        <v>160000</v>
      </c>
    </row>
    <row r="442" ht="15">
      <c r="A442" s="6" t="s">
        <v>193</v>
      </c>
      <c r="B442" s="8">
        <f t="shared" si="52"/>
        <v>1618</v>
      </c>
      <c r="C442" s="8">
        <f t="shared" si="53"/>
        <v>1618</v>
      </c>
      <c r="D442" s="8">
        <f>VLOOKUP(A442,fonds!$B$2:$F$495,4,FALSE())</f>
        <v>16180916</v>
      </c>
      <c r="E442" s="8">
        <f>VLOOKUP($A442,fonds!$B$2:$F$495,5,FALSE())</f>
        <v>16180916</v>
      </c>
      <c r="F442" s="10">
        <v>16180916</v>
      </c>
      <c r="G442" s="10">
        <v>16180916</v>
      </c>
      <c r="H442" s="1">
        <f t="shared" si="54"/>
        <v>0</v>
      </c>
    </row>
    <row r="443" ht="15">
      <c r="A443" s="6" t="s">
        <v>783</v>
      </c>
      <c r="B443" s="8">
        <f t="shared" si="52"/>
        <v>1633</v>
      </c>
      <c r="C443" s="8">
        <f t="shared" si="53"/>
        <v>1643</v>
      </c>
      <c r="D443" s="8">
        <f>VLOOKUP(A443,fonds!$B$2:$F$495,4,FALSE())</f>
        <v>16330904</v>
      </c>
      <c r="E443" s="8">
        <f>VLOOKUP($A443,fonds!$B$2:$F$495,5,FALSE())</f>
        <v>16430412</v>
      </c>
      <c r="F443" s="10">
        <v>16330904</v>
      </c>
      <c r="G443" s="10">
        <v>16430412</v>
      </c>
      <c r="H443" s="1">
        <f t="shared" si="54"/>
        <v>99508</v>
      </c>
    </row>
    <row r="444" ht="15">
      <c r="A444" s="6" t="s">
        <v>655</v>
      </c>
      <c r="B444" s="8">
        <f t="shared" si="52"/>
        <v>1637</v>
      </c>
      <c r="C444" s="8">
        <f t="shared" si="53"/>
        <v>1703</v>
      </c>
      <c r="D444" s="8">
        <f>VLOOKUP(A444,fonds!$B$2:$F$495,4,FALSE())</f>
        <v>16370929</v>
      </c>
      <c r="E444" s="8">
        <f>VLOOKUP($A444,fonds!$B$2:$F$495,5,FALSE())</f>
        <v>17030920</v>
      </c>
      <c r="F444" s="10">
        <v>16370929</v>
      </c>
      <c r="G444" s="10">
        <v>17030920</v>
      </c>
      <c r="H444" s="1">
        <f t="shared" si="54"/>
        <v>659991</v>
      </c>
    </row>
    <row r="445" ht="15">
      <c r="A445" s="6" t="s">
        <v>309</v>
      </c>
      <c r="B445" s="8">
        <f t="shared" si="52"/>
        <v>1638</v>
      </c>
      <c r="C445" s="8">
        <f t="shared" si="53"/>
        <v>1718</v>
      </c>
      <c r="D445" s="8">
        <f>VLOOKUP(A445,fonds!$B$2:$F$495,4,FALSE())</f>
        <v>16381120</v>
      </c>
      <c r="E445" s="8">
        <f>VLOOKUP($A445,fonds!$B$2:$F$495,5,FALSE())</f>
        <v>17180409</v>
      </c>
      <c r="F445" s="10">
        <v>16381120</v>
      </c>
      <c r="G445" s="10">
        <v>17180409</v>
      </c>
      <c r="H445" s="1">
        <f t="shared" si="54"/>
        <v>799289</v>
      </c>
    </row>
    <row r="446" ht="15">
      <c r="A446" s="6" t="s">
        <v>1011</v>
      </c>
      <c r="B446" s="8">
        <f t="shared" si="52"/>
        <v>1649</v>
      </c>
      <c r="C446" s="8">
        <f t="shared" si="53"/>
        <v>1873</v>
      </c>
      <c r="D446" s="8">
        <f>VLOOKUP(A446,fonds!$B$2:$F$495,4,FALSE())</f>
        <v>16490302</v>
      </c>
      <c r="E446" s="8">
        <f>VLOOKUP($A446,fonds!$B$2:$F$495,5,FALSE())</f>
        <v>18731111</v>
      </c>
      <c r="F446" s="10">
        <v>16490302</v>
      </c>
      <c r="G446" s="10">
        <v>18731111</v>
      </c>
      <c r="H446" s="1">
        <f t="shared" si="54"/>
        <v>2240809</v>
      </c>
    </row>
    <row r="447" ht="15">
      <c r="A447" s="6" t="s">
        <v>1990</v>
      </c>
      <c r="B447" s="8">
        <f t="shared" si="52"/>
        <v>1657</v>
      </c>
      <c r="C447" s="8">
        <f t="shared" si="53"/>
        <v>1657</v>
      </c>
      <c r="D447" s="8" t="e">
        <f>VLOOKUP(A447,fonds!$B$2:$F$495,4,FALSE())</f>
        <v>#N/A</v>
      </c>
      <c r="E447" s="8" t="e">
        <f>VLOOKUP($A447,fonds!$B$2:$F$495,5,FALSE())</f>
        <v>#N/A</v>
      </c>
      <c r="F447" s="10">
        <v>16571023</v>
      </c>
      <c r="G447" s="10">
        <v>16571023</v>
      </c>
      <c r="H447" s="1">
        <f t="shared" si="54"/>
        <v>0</v>
      </c>
    </row>
    <row r="448" ht="15">
      <c r="A448" s="6" t="s">
        <v>321</v>
      </c>
      <c r="B448" s="8">
        <f t="shared" si="52"/>
        <v>1658</v>
      </c>
      <c r="C448" s="8">
        <f t="shared" si="53"/>
        <v>1658</v>
      </c>
      <c r="D448" s="8">
        <f>VLOOKUP(A448,fonds!$B$2:$F$495,4,FALSE())</f>
        <v>16580408</v>
      </c>
      <c r="E448" s="8">
        <f>VLOOKUP($A448,fonds!$B$2:$F$495,5,FALSE())</f>
        <v>16580408</v>
      </c>
      <c r="F448" s="10">
        <v>16580408</v>
      </c>
      <c r="G448" s="10">
        <v>16580408</v>
      </c>
      <c r="H448" s="1">
        <f t="shared" si="54"/>
        <v>0</v>
      </c>
    </row>
    <row r="449" ht="15">
      <c r="A449" s="6" t="s">
        <v>835</v>
      </c>
      <c r="B449" s="8">
        <f t="shared" si="52"/>
        <v>1660</v>
      </c>
      <c r="C449" s="8">
        <f t="shared" si="53"/>
        <v>1781</v>
      </c>
      <c r="D449" s="8">
        <f>VLOOKUP(A449,fonds!$B$2:$F$495,4,FALSE())</f>
        <v>16600417</v>
      </c>
      <c r="E449" s="8">
        <f>VLOOKUP($A449,fonds!$B$2:$F$495,5,FALSE())</f>
        <v>17811016</v>
      </c>
      <c r="F449" s="10">
        <v>16600417</v>
      </c>
      <c r="G449" s="10">
        <v>17811016</v>
      </c>
      <c r="H449" s="1">
        <f t="shared" si="54"/>
        <v>1210599</v>
      </c>
    </row>
    <row r="450" ht="15">
      <c r="A450" s="6" t="s">
        <v>1423</v>
      </c>
      <c r="B450" s="8">
        <f t="shared" si="52"/>
        <v>1668</v>
      </c>
      <c r="C450" s="8">
        <f t="shared" si="53"/>
        <v>1834</v>
      </c>
      <c r="D450" s="8">
        <f>VLOOKUP(A450,fonds!$B$2:$F$495,4,FALSE())</f>
        <v>16680415</v>
      </c>
      <c r="E450" s="8">
        <f>VLOOKUP($A450,fonds!$B$2:$F$495,5,FALSE())</f>
        <v>18340525</v>
      </c>
      <c r="F450" s="10">
        <v>16680415</v>
      </c>
      <c r="G450" s="10">
        <v>18340525</v>
      </c>
      <c r="H450" s="1">
        <f t="shared" si="54"/>
        <v>1660110</v>
      </c>
    </row>
    <row r="451" ht="15">
      <c r="A451" s="6" t="s">
        <v>683</v>
      </c>
      <c r="B451" s="8">
        <f t="shared" si="52"/>
        <v>1669</v>
      </c>
      <c r="C451" s="8">
        <f t="shared" si="53"/>
        <v>1741</v>
      </c>
      <c r="D451" s="8">
        <f>VLOOKUP(A451,fonds!$B$2:$F$495,4,FALSE())</f>
        <v>16690327</v>
      </c>
      <c r="E451" s="8">
        <f>VLOOKUP($A451,fonds!$B$2:$F$495,5,FALSE())</f>
        <v>17410217</v>
      </c>
      <c r="F451" s="10">
        <v>16690327</v>
      </c>
      <c r="G451" s="10">
        <v>17410217</v>
      </c>
      <c r="H451" s="1">
        <f t="shared" si="54"/>
        <v>719890</v>
      </c>
    </row>
    <row r="452" ht="15">
      <c r="A452" s="6" t="s">
        <v>1019</v>
      </c>
      <c r="B452" s="8">
        <f t="shared" si="52"/>
        <v>1669</v>
      </c>
      <c r="C452" s="8">
        <f t="shared" si="53"/>
        <v>1669</v>
      </c>
      <c r="D452" s="8">
        <f>VLOOKUP(A452,fonds!$B$2:$F$495,4,FALSE())</f>
        <v>16691004</v>
      </c>
      <c r="E452" s="8">
        <f>VLOOKUP($A452,fonds!$B$2:$F$495,5,FALSE())</f>
        <v>16691004</v>
      </c>
      <c r="F452" s="10">
        <v>16691004</v>
      </c>
      <c r="G452" s="10">
        <v>16691004</v>
      </c>
      <c r="H452" s="1">
        <f t="shared" si="54"/>
        <v>0</v>
      </c>
    </row>
    <row r="453" ht="15">
      <c r="A453" s="6" t="s">
        <v>787</v>
      </c>
      <c r="B453" s="8">
        <f t="shared" si="52"/>
        <v>1679</v>
      </c>
      <c r="C453" s="8">
        <f t="shared" si="53"/>
        <v>1680</v>
      </c>
      <c r="D453" s="8">
        <f>VLOOKUP(A453,fonds!$B$2:$F$495,4,FALSE())</f>
        <v>16790622</v>
      </c>
      <c r="E453" s="8">
        <f>VLOOKUP($A453,fonds!$B$2:$F$495,5,FALSE())</f>
        <v>16800425</v>
      </c>
      <c r="F453" s="10">
        <v>16790622</v>
      </c>
      <c r="G453" s="10">
        <v>16800425</v>
      </c>
      <c r="H453" s="1">
        <f t="shared" si="54"/>
        <v>9803</v>
      </c>
    </row>
    <row r="454" ht="15">
      <c r="A454" s="6" t="s">
        <v>695</v>
      </c>
      <c r="B454" s="8">
        <f t="shared" si="52"/>
        <v>1684</v>
      </c>
      <c r="C454" s="8">
        <f t="shared" si="53"/>
        <v>1684</v>
      </c>
      <c r="D454" s="8">
        <f>VLOOKUP(A454,fonds!$B$2:$F$495,4,FALSE())</f>
        <v>16840302</v>
      </c>
      <c r="E454" s="8">
        <f>VLOOKUP($A454,fonds!$B$2:$F$495,5,FALSE())</f>
        <v>16840302</v>
      </c>
      <c r="F454" s="10">
        <v>16840302</v>
      </c>
      <c r="G454" s="10">
        <v>16840302</v>
      </c>
      <c r="H454" s="1">
        <f t="shared" si="54"/>
        <v>0</v>
      </c>
    </row>
    <row r="455" ht="15">
      <c r="A455" s="6" t="s">
        <v>771</v>
      </c>
      <c r="B455" s="8">
        <f t="shared" si="52"/>
        <v>1684</v>
      </c>
      <c r="C455" s="8">
        <f t="shared" si="53"/>
        <v>1684</v>
      </c>
      <c r="D455" s="8">
        <f>VLOOKUP(A455,fonds!$B$2:$F$495,4,FALSE())</f>
        <v>16840513</v>
      </c>
      <c r="E455" s="8">
        <f>VLOOKUP($A455,fonds!$B$2:$F$495,5,FALSE())</f>
        <v>16840513</v>
      </c>
      <c r="F455" s="10">
        <v>16840513</v>
      </c>
      <c r="G455" s="10">
        <v>16840513</v>
      </c>
      <c r="H455" s="1">
        <f t="shared" si="54"/>
        <v>0</v>
      </c>
    </row>
    <row r="456" ht="15">
      <c r="A456" s="6" t="s">
        <v>635</v>
      </c>
      <c r="B456" s="8">
        <f t="shared" si="52"/>
        <v>1686</v>
      </c>
      <c r="C456" s="8">
        <f t="shared" si="53"/>
        <v>1686</v>
      </c>
      <c r="D456" s="8">
        <f>VLOOKUP(A456,fonds!$B$2:$F$495,4,FALSE())</f>
        <v>16860713</v>
      </c>
      <c r="E456" s="8">
        <f>VLOOKUP($A456,fonds!$B$2:$F$495,5,FALSE())</f>
        <v>16860713</v>
      </c>
      <c r="F456" s="10">
        <v>16860713</v>
      </c>
      <c r="G456" s="10">
        <v>16860713</v>
      </c>
      <c r="H456" s="1">
        <f t="shared" si="54"/>
        <v>0</v>
      </c>
    </row>
    <row r="457" ht="15">
      <c r="A457" s="6" t="s">
        <v>763</v>
      </c>
      <c r="B457" s="8">
        <f t="shared" si="52"/>
        <v>1710</v>
      </c>
      <c r="C457" s="8">
        <f t="shared" si="53"/>
        <v>1753</v>
      </c>
      <c r="D457" s="8">
        <f>VLOOKUP(A457,fonds!$B$2:$F$495,4,FALSE())</f>
        <v>17100403</v>
      </c>
      <c r="E457" s="8">
        <f>VLOOKUP($A457,fonds!$B$2:$F$495,5,FALSE())</f>
        <v>17531115</v>
      </c>
      <c r="F457" s="10">
        <v>17100403</v>
      </c>
      <c r="G457" s="10">
        <v>17531115</v>
      </c>
      <c r="H457" s="1">
        <f t="shared" si="54"/>
        <v>430712</v>
      </c>
    </row>
    <row r="458" ht="15">
      <c r="A458" s="6" t="s">
        <v>991</v>
      </c>
      <c r="B458" s="8">
        <f t="shared" si="52"/>
        <v>1711</v>
      </c>
      <c r="C458" s="8">
        <f t="shared" si="53"/>
        <v>1921</v>
      </c>
      <c r="D458" s="8">
        <f>VLOOKUP(A458,fonds!$B$2:$F$495,4,FALSE())</f>
        <v>17110820</v>
      </c>
      <c r="E458" s="8">
        <f>VLOOKUP($A458,fonds!$B$2:$F$495,5,FALSE())</f>
        <v>19211115</v>
      </c>
      <c r="F458" s="10">
        <v>17110820</v>
      </c>
      <c r="G458" s="10">
        <v>19211115</v>
      </c>
      <c r="H458" s="1">
        <f t="shared" si="54"/>
        <v>2100295</v>
      </c>
    </row>
    <row r="459" ht="15">
      <c r="A459" s="6" t="s">
        <v>987</v>
      </c>
      <c r="B459" s="8">
        <f t="shared" si="52"/>
        <v>1724</v>
      </c>
      <c r="C459" s="8">
        <f t="shared" si="53"/>
        <v>1735</v>
      </c>
      <c r="D459" s="8">
        <f>VLOOKUP(A459,fonds!$B$2:$F$495,4,FALSE())</f>
        <v>17240309</v>
      </c>
      <c r="E459" s="8">
        <f>VLOOKUP($A459,fonds!$B$2:$F$495,5,FALSE())</f>
        <v>17350502</v>
      </c>
      <c r="F459" s="10">
        <v>17240309</v>
      </c>
      <c r="G459" s="10">
        <v>17350502</v>
      </c>
      <c r="H459" s="1">
        <f t="shared" si="54"/>
        <v>110193</v>
      </c>
    </row>
    <row r="460" ht="15">
      <c r="A460" s="6" t="s">
        <v>659</v>
      </c>
      <c r="B460" s="8">
        <f t="shared" si="52"/>
        <v>1734</v>
      </c>
      <c r="C460" s="8">
        <f t="shared" si="53"/>
        <v>1734</v>
      </c>
      <c r="D460" s="8">
        <f>VLOOKUP(A460,fonds!$B$2:$F$495,4,FALSE())</f>
        <v>17341027</v>
      </c>
      <c r="E460" s="8">
        <f>VLOOKUP($A460,fonds!$B$2:$F$495,5,FALSE())</f>
        <v>17341027</v>
      </c>
      <c r="F460" s="10">
        <v>17341027</v>
      </c>
      <c r="G460" s="10">
        <v>17341027</v>
      </c>
      <c r="H460" s="1">
        <f t="shared" si="54"/>
        <v>0</v>
      </c>
    </row>
    <row r="461" ht="15">
      <c r="A461" s="6" t="s">
        <v>1023</v>
      </c>
      <c r="B461" s="8">
        <f t="shared" si="52"/>
        <v>1853</v>
      </c>
      <c r="C461" s="8">
        <f t="shared" si="53"/>
        <v>1853</v>
      </c>
      <c r="D461" s="8">
        <f>VLOOKUP(A461,fonds!$B$2:$F$495,4,FALSE())</f>
        <v>18530304</v>
      </c>
      <c r="E461" s="8">
        <f>VLOOKUP($A461,fonds!$B$2:$F$495,5,FALSE())</f>
        <v>18530304</v>
      </c>
      <c r="F461" s="10">
        <v>18530304</v>
      </c>
      <c r="G461" s="10">
        <v>18530304</v>
      </c>
      <c r="H461" s="1">
        <f t="shared" si="54"/>
        <v>0</v>
      </c>
    </row>
    <row r="462" ht="15">
      <c r="A462" s="6" t="s">
        <v>1991</v>
      </c>
      <c r="B462" s="8">
        <f t="shared" si="52"/>
        <v>1889</v>
      </c>
      <c r="C462" s="8">
        <f t="shared" si="53"/>
        <v>1906</v>
      </c>
      <c r="D462" s="8" t="e">
        <f>VLOOKUP(A462,fonds!$B$2:$F$495,4,FALSE())</f>
        <v>#N/A</v>
      </c>
      <c r="E462" s="8" t="e">
        <f>VLOOKUP($A462,fonds!$B$2:$F$495,5,FALSE())</f>
        <v>#N/A</v>
      </c>
      <c r="F462" s="10">
        <v>18890927</v>
      </c>
      <c r="G462" s="10">
        <v>19060810</v>
      </c>
      <c r="H462" s="1">
        <f t="shared" si="54"/>
        <v>169883</v>
      </c>
    </row>
    <row r="463" ht="15" hidden="1">
      <c r="A463" s="6" t="s">
        <v>297</v>
      </c>
      <c r="B463" s="8" t="e">
        <f t="shared" ref="B463:B470" si="55">FLOOR(F463/1000,1)</f>
        <v>#VALUE!</v>
      </c>
      <c r="C463" s="8"/>
      <c r="D463" s="8" t="str">
        <f>VLOOKUP(A463,fonds!$B$2:$F$495,4,FALSE())</f>
        <v>NaN</v>
      </c>
      <c r="E463" s="8" t="str">
        <f>VLOOKUP($A463,fonds!$B$2:$F$495,5,FALSE())</f>
        <v>NaN</v>
      </c>
      <c r="F463" s="6" t="s">
        <v>2003</v>
      </c>
      <c r="G463" s="6" t="s">
        <v>2003</v>
      </c>
      <c r="H463" s="1" t="e">
        <f t="shared" si="54"/>
        <v>#VALUE!</v>
      </c>
      <c r="I463" s="1" t="s">
        <v>2004</v>
      </c>
    </row>
    <row r="464" ht="15" hidden="1">
      <c r="A464" s="6" t="s">
        <v>579</v>
      </c>
      <c r="B464" s="8" t="e">
        <f t="shared" si="55"/>
        <v>#VALUE!</v>
      </c>
      <c r="C464" s="8"/>
      <c r="D464" s="8" t="str">
        <f>VLOOKUP(A464,fonds!$B$2:$F$495,4,FALSE())</f>
        <v>NaN</v>
      </c>
      <c r="E464" s="8" t="str">
        <f>VLOOKUP($A464,fonds!$B$2:$F$495,5,FALSE())</f>
        <v>NaN</v>
      </c>
      <c r="F464" s="6" t="s">
        <v>2003</v>
      </c>
      <c r="G464" s="6" t="s">
        <v>2003</v>
      </c>
      <c r="H464" s="1" t="e">
        <f t="shared" si="54"/>
        <v>#VALUE!</v>
      </c>
      <c r="I464" s="1" t="s">
        <v>2004</v>
      </c>
    </row>
    <row r="465" ht="15" hidden="1">
      <c r="A465" s="6" t="s">
        <v>803</v>
      </c>
      <c r="B465" s="8" t="e">
        <f t="shared" si="55"/>
        <v>#VALUE!</v>
      </c>
      <c r="C465" s="8"/>
      <c r="D465" s="8" t="str">
        <f>VLOOKUP(A465,fonds!$B$2:$F$495,4,FALSE())</f>
        <v>NaN</v>
      </c>
      <c r="E465" s="8" t="str">
        <f>VLOOKUP($A465,fonds!$B$2:$F$495,5,FALSE())</f>
        <v>NaN</v>
      </c>
      <c r="F465" s="6" t="s">
        <v>2003</v>
      </c>
      <c r="G465" s="6" t="s">
        <v>2003</v>
      </c>
      <c r="H465" s="1" t="e">
        <f t="shared" si="54"/>
        <v>#VALUE!</v>
      </c>
      <c r="I465" s="1" t="s">
        <v>2004</v>
      </c>
    </row>
    <row r="466" ht="15" hidden="1">
      <c r="A466" s="6" t="s">
        <v>923</v>
      </c>
      <c r="B466" s="8" t="e">
        <f t="shared" si="55"/>
        <v>#VALUE!</v>
      </c>
      <c r="C466" s="8"/>
      <c r="D466" s="8" t="str">
        <f>VLOOKUP(A466,fonds!$B$2:$F$495,4,FALSE())</f>
        <v>NaN</v>
      </c>
      <c r="E466" s="8" t="str">
        <f>VLOOKUP($A466,fonds!$B$2:$F$495,5,FALSE())</f>
        <v>NaN</v>
      </c>
      <c r="F466" s="6" t="s">
        <v>2003</v>
      </c>
      <c r="G466" s="6" t="s">
        <v>2003</v>
      </c>
      <c r="H466" s="1" t="e">
        <f t="shared" si="54"/>
        <v>#VALUE!</v>
      </c>
      <c r="I466" s="1" t="s">
        <v>2004</v>
      </c>
    </row>
    <row r="467" ht="15" hidden="1">
      <c r="A467" s="6" t="s">
        <v>963</v>
      </c>
      <c r="B467" s="8" t="e">
        <f t="shared" si="55"/>
        <v>#VALUE!</v>
      </c>
      <c r="C467" s="8"/>
      <c r="D467" s="8" t="str">
        <f>VLOOKUP(A467,fonds!$B$2:$F$495,4,FALSE())</f>
        <v>NaN</v>
      </c>
      <c r="E467" s="8" t="str">
        <f>VLOOKUP($A467,fonds!$B$2:$F$495,5,FALSE())</f>
        <v>NaN</v>
      </c>
      <c r="F467" s="6" t="s">
        <v>2003</v>
      </c>
      <c r="G467" s="6" t="s">
        <v>2003</v>
      </c>
      <c r="H467" s="1" t="e">
        <f t="shared" si="54"/>
        <v>#VALUE!</v>
      </c>
      <c r="I467" s="1" t="s">
        <v>2004</v>
      </c>
    </row>
    <row r="468" ht="15" hidden="1">
      <c r="A468" s="6" t="s">
        <v>1519</v>
      </c>
      <c r="B468" s="8" t="e">
        <f t="shared" si="55"/>
        <v>#VALUE!</v>
      </c>
      <c r="C468" s="8"/>
      <c r="D468" s="8" t="str">
        <f>VLOOKUP(A468,fonds!$B$2:$F$495,4,FALSE())</f>
        <v>NaN</v>
      </c>
      <c r="E468" s="8" t="str">
        <f>VLOOKUP($A468,fonds!$B$2:$F$495,5,FALSE())</f>
        <v>NaN</v>
      </c>
      <c r="F468" s="6" t="s">
        <v>2003</v>
      </c>
      <c r="G468" s="6" t="s">
        <v>2003</v>
      </c>
      <c r="H468" s="1" t="e">
        <f t="shared" si="54"/>
        <v>#VALUE!</v>
      </c>
      <c r="I468" s="1" t="s">
        <v>2004</v>
      </c>
    </row>
    <row r="469" ht="15" hidden="1">
      <c r="A469" s="6" t="s">
        <v>1803</v>
      </c>
      <c r="B469" s="8" t="e">
        <f t="shared" si="55"/>
        <v>#VALUE!</v>
      </c>
      <c r="C469" s="8"/>
      <c r="D469" s="8" t="str">
        <f>VLOOKUP(A469,fonds!$B$2:$F$495,4,FALSE())</f>
        <v>NaN</v>
      </c>
      <c r="E469" s="8" t="str">
        <f>VLOOKUP($A469,fonds!$B$2:$F$495,5,FALSE())</f>
        <v>NaN</v>
      </c>
      <c r="F469" s="6" t="s">
        <v>2003</v>
      </c>
      <c r="G469" s="6" t="s">
        <v>2003</v>
      </c>
      <c r="H469" s="1" t="e">
        <f t="shared" si="54"/>
        <v>#VALUE!</v>
      </c>
      <c r="I469" s="1" t="s">
        <v>2004</v>
      </c>
    </row>
    <row r="470" ht="15" hidden="1">
      <c r="A470" s="6" t="s">
        <v>1815</v>
      </c>
      <c r="B470" s="8" t="e">
        <f t="shared" si="55"/>
        <v>#VALUE!</v>
      </c>
      <c r="C470" s="8"/>
      <c r="D470" s="8" t="str">
        <f>VLOOKUP(A470,fonds!$B$2:$F$495,4,FALSE())</f>
        <v>NaN</v>
      </c>
      <c r="E470" s="8" t="str">
        <f>VLOOKUP($A470,fonds!$B$2:$F$495,5,FALSE())</f>
        <v>NaN</v>
      </c>
      <c r="F470" s="6" t="s">
        <v>2003</v>
      </c>
      <c r="G470" s="6" t="s">
        <v>2003</v>
      </c>
      <c r="H470" s="1" t="e">
        <f t="shared" si="54"/>
        <v>#VALUE!</v>
      </c>
      <c r="I470" s="1" t="s">
        <v>2004</v>
      </c>
    </row>
    <row r="471" ht="15" hidden="1">
      <c r="H471" s="1">
        <f t="shared" si="54"/>
        <v>0</v>
      </c>
    </row>
    <row r="472" ht="15" hidden="1">
      <c r="H472" s="1">
        <f t="shared" si="54"/>
        <v>0</v>
      </c>
    </row>
    <row r="473" ht="15" hidden="1">
      <c r="H473" s="1">
        <f t="shared" si="54"/>
        <v>0</v>
      </c>
    </row>
    <row r="474" ht="15" hidden="1">
      <c r="H474" s="1">
        <f t="shared" si="54"/>
        <v>0</v>
      </c>
    </row>
    <row r="475" ht="15" hidden="1">
      <c r="H475" s="1">
        <f t="shared" si="54"/>
        <v>0</v>
      </c>
    </row>
    <row r="476" ht="15" hidden="1">
      <c r="H476" s="1">
        <f t="shared" si="54"/>
        <v>0</v>
      </c>
    </row>
    <row r="477" ht="15" hidden="1">
      <c r="H477" s="1">
        <f t="shared" si="54"/>
        <v>0</v>
      </c>
    </row>
    <row r="478" ht="15" hidden="1">
      <c r="H478" s="1">
        <f t="shared" si="54"/>
        <v>0</v>
      </c>
    </row>
    <row r="479" ht="15" hidden="1">
      <c r="H479" s="1">
        <f t="shared" si="54"/>
        <v>0</v>
      </c>
    </row>
    <row r="480" ht="15" hidden="1">
      <c r="H480" s="1">
        <f t="shared" si="54"/>
        <v>0</v>
      </c>
    </row>
    <row r="481" ht="15" hidden="1">
      <c r="H481" s="1">
        <f t="shared" si="54"/>
        <v>0</v>
      </c>
    </row>
    <row r="482" ht="15" hidden="1">
      <c r="H482" s="1">
        <f t="shared" si="54"/>
        <v>0</v>
      </c>
    </row>
    <row r="483" ht="15" hidden="1">
      <c r="H483" s="1">
        <f t="shared" si="54"/>
        <v>0</v>
      </c>
    </row>
    <row r="484" ht="15" hidden="1">
      <c r="H484" s="1">
        <f t="shared" ref="H484:H547" si="56">G484-F484</f>
        <v>0</v>
      </c>
    </row>
    <row r="485" ht="15" hidden="1">
      <c r="H485" s="1">
        <f t="shared" si="56"/>
        <v>0</v>
      </c>
    </row>
    <row r="486" ht="15" hidden="1">
      <c r="H486" s="1">
        <f t="shared" si="56"/>
        <v>0</v>
      </c>
    </row>
    <row r="487" ht="15" hidden="1">
      <c r="H487" s="1">
        <f t="shared" si="56"/>
        <v>0</v>
      </c>
    </row>
    <row r="488" ht="15" hidden="1">
      <c r="H488" s="1">
        <f t="shared" si="56"/>
        <v>0</v>
      </c>
    </row>
    <row r="489" ht="15" hidden="1">
      <c r="H489" s="1">
        <f t="shared" si="56"/>
        <v>0</v>
      </c>
    </row>
    <row r="490" ht="15" hidden="1">
      <c r="H490" s="1">
        <f t="shared" si="56"/>
        <v>0</v>
      </c>
    </row>
    <row r="491" ht="15" hidden="1">
      <c r="H491" s="1">
        <f t="shared" si="56"/>
        <v>0</v>
      </c>
    </row>
    <row r="492" ht="15" hidden="1">
      <c r="H492" s="1">
        <f t="shared" si="56"/>
        <v>0</v>
      </c>
    </row>
    <row r="493" ht="15" hidden="1">
      <c r="H493" s="1">
        <f t="shared" si="56"/>
        <v>0</v>
      </c>
    </row>
    <row r="494" ht="15" hidden="1">
      <c r="H494" s="1">
        <f t="shared" si="56"/>
        <v>0</v>
      </c>
    </row>
    <row r="495" ht="15" hidden="1">
      <c r="H495" s="1">
        <f t="shared" si="56"/>
        <v>0</v>
      </c>
    </row>
    <row r="496" ht="15" hidden="1">
      <c r="H496" s="1">
        <f t="shared" si="56"/>
        <v>0</v>
      </c>
    </row>
    <row r="497" ht="15" hidden="1">
      <c r="H497" s="1">
        <f t="shared" si="56"/>
        <v>0</v>
      </c>
    </row>
    <row r="498" ht="15" hidden="1">
      <c r="H498" s="1">
        <f t="shared" si="56"/>
        <v>0</v>
      </c>
    </row>
    <row r="499" ht="15" hidden="1">
      <c r="H499" s="1">
        <f t="shared" si="56"/>
        <v>0</v>
      </c>
    </row>
    <row r="500" ht="15" hidden="1">
      <c r="H500" s="1">
        <f t="shared" si="56"/>
        <v>0</v>
      </c>
    </row>
    <row r="501" ht="15" hidden="1">
      <c r="H501" s="1">
        <f t="shared" si="56"/>
        <v>0</v>
      </c>
    </row>
    <row r="502" ht="15" hidden="1">
      <c r="H502" s="1">
        <f t="shared" si="56"/>
        <v>0</v>
      </c>
    </row>
    <row r="503" ht="15" hidden="1">
      <c r="H503" s="1">
        <f t="shared" si="56"/>
        <v>0</v>
      </c>
    </row>
    <row r="504" ht="15" hidden="1">
      <c r="H504" s="1">
        <f t="shared" si="56"/>
        <v>0</v>
      </c>
    </row>
    <row r="505" ht="15" hidden="1">
      <c r="H505" s="1">
        <f t="shared" si="56"/>
        <v>0</v>
      </c>
    </row>
    <row r="506" ht="15" hidden="1">
      <c r="H506" s="1">
        <f t="shared" si="56"/>
        <v>0</v>
      </c>
    </row>
    <row r="507" ht="15" hidden="1">
      <c r="H507" s="1">
        <f t="shared" si="56"/>
        <v>0</v>
      </c>
    </row>
    <row r="508" ht="15" hidden="1">
      <c r="H508" s="1">
        <f t="shared" si="56"/>
        <v>0</v>
      </c>
    </row>
    <row r="509" ht="15" hidden="1">
      <c r="H509" s="1">
        <f t="shared" si="56"/>
        <v>0</v>
      </c>
    </row>
    <row r="510" ht="15" hidden="1">
      <c r="H510" s="1">
        <f t="shared" si="56"/>
        <v>0</v>
      </c>
    </row>
    <row r="511" ht="15" hidden="1">
      <c r="H511" s="1">
        <f t="shared" si="56"/>
        <v>0</v>
      </c>
    </row>
    <row r="512" ht="15" hidden="1">
      <c r="H512" s="1">
        <f t="shared" si="56"/>
        <v>0</v>
      </c>
    </row>
    <row r="513" ht="15" hidden="1">
      <c r="H513" s="1">
        <f t="shared" si="56"/>
        <v>0</v>
      </c>
    </row>
    <row r="514" ht="15" hidden="1">
      <c r="H514" s="1">
        <f t="shared" si="56"/>
        <v>0</v>
      </c>
    </row>
    <row r="515" ht="15" hidden="1">
      <c r="H515" s="1">
        <f t="shared" si="56"/>
        <v>0</v>
      </c>
    </row>
    <row r="516" ht="15" hidden="1">
      <c r="H516" s="1">
        <f t="shared" si="56"/>
        <v>0</v>
      </c>
    </row>
    <row r="517" ht="15" hidden="1">
      <c r="H517" s="1">
        <f t="shared" si="56"/>
        <v>0</v>
      </c>
    </row>
    <row r="518" ht="15" hidden="1">
      <c r="H518" s="1">
        <f t="shared" si="56"/>
        <v>0</v>
      </c>
    </row>
    <row r="519" ht="15" hidden="1">
      <c r="H519" s="1">
        <f t="shared" si="56"/>
        <v>0</v>
      </c>
    </row>
    <row r="520" ht="15" hidden="1">
      <c r="H520" s="1">
        <f t="shared" si="56"/>
        <v>0</v>
      </c>
    </row>
    <row r="521" ht="15" hidden="1">
      <c r="H521" s="1">
        <f t="shared" si="56"/>
        <v>0</v>
      </c>
    </row>
    <row r="522" ht="15" hidden="1">
      <c r="H522" s="1">
        <f t="shared" si="56"/>
        <v>0</v>
      </c>
    </row>
    <row r="523" ht="15" hidden="1">
      <c r="H523" s="1">
        <f t="shared" si="56"/>
        <v>0</v>
      </c>
    </row>
    <row r="524" ht="15" hidden="1">
      <c r="H524" s="1">
        <f t="shared" si="56"/>
        <v>0</v>
      </c>
    </row>
    <row r="525" ht="15" hidden="1">
      <c r="H525" s="1">
        <f t="shared" si="56"/>
        <v>0</v>
      </c>
    </row>
    <row r="526" ht="15" hidden="1">
      <c r="H526" s="1">
        <f t="shared" si="56"/>
        <v>0</v>
      </c>
    </row>
    <row r="527" ht="15" hidden="1">
      <c r="H527" s="1">
        <f t="shared" si="56"/>
        <v>0</v>
      </c>
    </row>
    <row r="528" ht="15" hidden="1">
      <c r="H528" s="1">
        <f t="shared" si="56"/>
        <v>0</v>
      </c>
    </row>
    <row r="529" ht="15" hidden="1">
      <c r="H529" s="1">
        <f t="shared" si="56"/>
        <v>0</v>
      </c>
    </row>
    <row r="530" ht="15" hidden="1">
      <c r="H530" s="1">
        <f t="shared" si="56"/>
        <v>0</v>
      </c>
    </row>
    <row r="531" ht="15" hidden="1">
      <c r="H531" s="1">
        <f t="shared" si="56"/>
        <v>0</v>
      </c>
    </row>
    <row r="532" ht="15" hidden="1">
      <c r="H532" s="1">
        <f t="shared" si="56"/>
        <v>0</v>
      </c>
    </row>
    <row r="533" ht="15" hidden="1">
      <c r="H533" s="1">
        <f t="shared" si="56"/>
        <v>0</v>
      </c>
    </row>
    <row r="534" ht="15" hidden="1">
      <c r="H534" s="1">
        <f t="shared" si="56"/>
        <v>0</v>
      </c>
    </row>
    <row r="535" ht="15" hidden="1">
      <c r="H535" s="1">
        <f t="shared" si="56"/>
        <v>0</v>
      </c>
    </row>
    <row r="536" ht="15" hidden="1">
      <c r="H536" s="1">
        <f t="shared" si="56"/>
        <v>0</v>
      </c>
    </row>
    <row r="537" ht="15" hidden="1">
      <c r="H537" s="1">
        <f t="shared" si="56"/>
        <v>0</v>
      </c>
    </row>
    <row r="538" ht="15" hidden="1">
      <c r="H538" s="1">
        <f t="shared" si="56"/>
        <v>0</v>
      </c>
    </row>
    <row r="539" ht="15" hidden="1">
      <c r="H539" s="1">
        <f t="shared" si="56"/>
        <v>0</v>
      </c>
    </row>
    <row r="540" ht="15" hidden="1">
      <c r="H540" s="1">
        <f t="shared" si="56"/>
        <v>0</v>
      </c>
    </row>
    <row r="541" ht="15" hidden="1">
      <c r="H541" s="1">
        <f t="shared" si="56"/>
        <v>0</v>
      </c>
    </row>
    <row r="542" ht="15" hidden="1">
      <c r="H542" s="1">
        <f t="shared" si="56"/>
        <v>0</v>
      </c>
    </row>
    <row r="543" ht="15" hidden="1">
      <c r="H543" s="1">
        <f t="shared" si="56"/>
        <v>0</v>
      </c>
    </row>
    <row r="544" ht="15" hidden="1">
      <c r="H544" s="1">
        <f t="shared" si="56"/>
        <v>0</v>
      </c>
    </row>
    <row r="545" ht="15" hidden="1">
      <c r="H545" s="1">
        <f t="shared" si="56"/>
        <v>0</v>
      </c>
    </row>
    <row r="546" ht="15" hidden="1">
      <c r="H546" s="1">
        <f t="shared" si="56"/>
        <v>0</v>
      </c>
    </row>
    <row r="547" ht="15" hidden="1">
      <c r="H547" s="1">
        <f t="shared" si="56"/>
        <v>0</v>
      </c>
    </row>
    <row r="548" ht="15" hidden="1">
      <c r="H548" s="1">
        <f t="shared" ref="H548:H611" si="57">G548-F548</f>
        <v>0</v>
      </c>
    </row>
    <row r="549" ht="15" hidden="1">
      <c r="H549" s="1">
        <f t="shared" si="57"/>
        <v>0</v>
      </c>
    </row>
    <row r="550" ht="15" hidden="1">
      <c r="H550" s="1">
        <f t="shared" si="57"/>
        <v>0</v>
      </c>
    </row>
    <row r="551" ht="15" hidden="1">
      <c r="H551" s="1">
        <f t="shared" si="57"/>
        <v>0</v>
      </c>
    </row>
    <row r="552" ht="15" hidden="1">
      <c r="H552" s="1">
        <f t="shared" si="57"/>
        <v>0</v>
      </c>
    </row>
    <row r="553" ht="15" hidden="1">
      <c r="H553" s="1">
        <f t="shared" si="57"/>
        <v>0</v>
      </c>
    </row>
    <row r="554" ht="15" hidden="1">
      <c r="H554" s="1">
        <f t="shared" si="57"/>
        <v>0</v>
      </c>
    </row>
    <row r="555" ht="15" hidden="1">
      <c r="H555" s="1">
        <f t="shared" si="57"/>
        <v>0</v>
      </c>
    </row>
    <row r="556" ht="15" hidden="1">
      <c r="H556" s="1">
        <f t="shared" si="57"/>
        <v>0</v>
      </c>
    </row>
    <row r="557" ht="15" hidden="1">
      <c r="H557" s="1">
        <f t="shared" si="57"/>
        <v>0</v>
      </c>
    </row>
    <row r="558" ht="15" hidden="1">
      <c r="H558" s="1">
        <f t="shared" si="57"/>
        <v>0</v>
      </c>
    </row>
    <row r="559" ht="15" hidden="1">
      <c r="H559" s="1">
        <f t="shared" si="57"/>
        <v>0</v>
      </c>
    </row>
    <row r="560" ht="15" hidden="1">
      <c r="H560" s="1">
        <f t="shared" si="57"/>
        <v>0</v>
      </c>
    </row>
    <row r="561" ht="15" hidden="1">
      <c r="H561" s="1">
        <f t="shared" si="57"/>
        <v>0</v>
      </c>
    </row>
    <row r="562" ht="15" hidden="1">
      <c r="H562" s="1">
        <f t="shared" si="57"/>
        <v>0</v>
      </c>
    </row>
    <row r="563" ht="15" hidden="1">
      <c r="H563" s="1">
        <f t="shared" si="57"/>
        <v>0</v>
      </c>
    </row>
    <row r="564" ht="15" hidden="1">
      <c r="H564" s="1">
        <f t="shared" si="57"/>
        <v>0</v>
      </c>
    </row>
    <row r="565" ht="15" hidden="1">
      <c r="H565" s="1">
        <f t="shared" si="57"/>
        <v>0</v>
      </c>
    </row>
    <row r="566" ht="15" hidden="1">
      <c r="H566" s="1">
        <f t="shared" si="57"/>
        <v>0</v>
      </c>
    </row>
    <row r="567" ht="15" hidden="1">
      <c r="H567" s="1">
        <f t="shared" si="57"/>
        <v>0</v>
      </c>
    </row>
    <row r="568" ht="15" hidden="1">
      <c r="H568" s="1">
        <f t="shared" si="57"/>
        <v>0</v>
      </c>
    </row>
    <row r="569" ht="15" hidden="1">
      <c r="H569" s="1">
        <f t="shared" si="57"/>
        <v>0</v>
      </c>
    </row>
    <row r="570" ht="15" hidden="1">
      <c r="H570" s="1">
        <f t="shared" si="57"/>
        <v>0</v>
      </c>
    </row>
    <row r="571" ht="15" hidden="1">
      <c r="H571" s="1">
        <f t="shared" si="57"/>
        <v>0</v>
      </c>
    </row>
    <row r="572" ht="15" hidden="1">
      <c r="H572" s="1">
        <f t="shared" si="57"/>
        <v>0</v>
      </c>
    </row>
    <row r="573" ht="15" hidden="1">
      <c r="H573" s="1">
        <f t="shared" si="57"/>
        <v>0</v>
      </c>
    </row>
    <row r="574" ht="15" hidden="1">
      <c r="H574" s="1">
        <f t="shared" si="57"/>
        <v>0</v>
      </c>
    </row>
    <row r="575" ht="15" hidden="1">
      <c r="H575" s="1">
        <f t="shared" si="57"/>
        <v>0</v>
      </c>
    </row>
    <row r="576" ht="15" hidden="1">
      <c r="H576" s="1">
        <f t="shared" si="57"/>
        <v>0</v>
      </c>
    </row>
    <row r="577" ht="15" hidden="1">
      <c r="H577" s="1">
        <f t="shared" si="57"/>
        <v>0</v>
      </c>
    </row>
    <row r="578" ht="15" hidden="1">
      <c r="H578" s="1">
        <f t="shared" si="57"/>
        <v>0</v>
      </c>
    </row>
    <row r="579" ht="15" hidden="1">
      <c r="H579" s="1">
        <f t="shared" si="57"/>
        <v>0</v>
      </c>
    </row>
    <row r="580" ht="15" hidden="1">
      <c r="H580" s="1">
        <f t="shared" si="57"/>
        <v>0</v>
      </c>
    </row>
    <row r="581" ht="15" hidden="1">
      <c r="H581" s="1">
        <f t="shared" si="57"/>
        <v>0</v>
      </c>
    </row>
    <row r="582" ht="15" hidden="1">
      <c r="H582" s="1">
        <f t="shared" si="57"/>
        <v>0</v>
      </c>
    </row>
    <row r="583" ht="15" hidden="1">
      <c r="H583" s="1">
        <f t="shared" si="57"/>
        <v>0</v>
      </c>
    </row>
    <row r="584" ht="15" hidden="1">
      <c r="H584" s="1">
        <f t="shared" si="57"/>
        <v>0</v>
      </c>
    </row>
    <row r="585" ht="15" hidden="1">
      <c r="H585" s="1">
        <f t="shared" si="57"/>
        <v>0</v>
      </c>
    </row>
    <row r="586" ht="15" hidden="1">
      <c r="H586" s="1">
        <f t="shared" si="57"/>
        <v>0</v>
      </c>
    </row>
    <row r="587" ht="15" hidden="1">
      <c r="H587" s="1">
        <f t="shared" si="57"/>
        <v>0</v>
      </c>
    </row>
    <row r="588" ht="15" hidden="1">
      <c r="H588" s="1">
        <f t="shared" si="57"/>
        <v>0</v>
      </c>
    </row>
    <row r="589" ht="15" hidden="1">
      <c r="H589" s="1">
        <f t="shared" si="57"/>
        <v>0</v>
      </c>
    </row>
    <row r="590" ht="15" hidden="1">
      <c r="H590" s="1">
        <f t="shared" si="57"/>
        <v>0</v>
      </c>
    </row>
    <row r="591" ht="15" hidden="1">
      <c r="H591" s="1">
        <f t="shared" si="57"/>
        <v>0</v>
      </c>
    </row>
    <row r="592" ht="15" hidden="1">
      <c r="H592" s="1">
        <f t="shared" si="57"/>
        <v>0</v>
      </c>
    </row>
    <row r="593" ht="15" hidden="1">
      <c r="H593" s="1">
        <f t="shared" si="57"/>
        <v>0</v>
      </c>
    </row>
    <row r="594" ht="15" hidden="1">
      <c r="H594" s="1">
        <f t="shared" si="57"/>
        <v>0</v>
      </c>
    </row>
    <row r="595" ht="15" hidden="1">
      <c r="H595" s="1">
        <f t="shared" si="57"/>
        <v>0</v>
      </c>
    </row>
    <row r="596" ht="15" hidden="1">
      <c r="H596" s="1">
        <f t="shared" si="57"/>
        <v>0</v>
      </c>
    </row>
    <row r="597" ht="15" hidden="1">
      <c r="H597" s="1">
        <f t="shared" si="57"/>
        <v>0</v>
      </c>
    </row>
    <row r="598" ht="15" hidden="1">
      <c r="H598" s="1">
        <f t="shared" si="57"/>
        <v>0</v>
      </c>
    </row>
    <row r="599" ht="15" hidden="1">
      <c r="H599" s="1">
        <f t="shared" si="57"/>
        <v>0</v>
      </c>
    </row>
    <row r="600" ht="15" hidden="1">
      <c r="H600" s="1">
        <f t="shared" si="57"/>
        <v>0</v>
      </c>
    </row>
    <row r="601" ht="15" hidden="1">
      <c r="H601" s="1">
        <f t="shared" si="57"/>
        <v>0</v>
      </c>
    </row>
    <row r="602" ht="15" hidden="1">
      <c r="H602" s="1">
        <f t="shared" si="57"/>
        <v>0</v>
      </c>
    </row>
    <row r="603" ht="15" hidden="1">
      <c r="H603" s="1">
        <f t="shared" si="57"/>
        <v>0</v>
      </c>
    </row>
    <row r="604" ht="15" hidden="1">
      <c r="H604" s="1">
        <f t="shared" si="57"/>
        <v>0</v>
      </c>
    </row>
    <row r="605" ht="15" hidden="1">
      <c r="H605" s="1">
        <f t="shared" si="57"/>
        <v>0</v>
      </c>
    </row>
    <row r="606" ht="15" hidden="1">
      <c r="H606" s="1">
        <f t="shared" si="57"/>
        <v>0</v>
      </c>
    </row>
    <row r="607" ht="15" hidden="1">
      <c r="H607" s="1">
        <f t="shared" si="57"/>
        <v>0</v>
      </c>
    </row>
    <row r="608" ht="15" hidden="1">
      <c r="H608" s="1">
        <f t="shared" si="57"/>
        <v>0</v>
      </c>
    </row>
    <row r="609" ht="15" hidden="1">
      <c r="H609" s="1">
        <f t="shared" si="57"/>
        <v>0</v>
      </c>
    </row>
    <row r="610" ht="15" hidden="1">
      <c r="H610" s="1">
        <f t="shared" si="57"/>
        <v>0</v>
      </c>
    </row>
    <row r="611" ht="15" hidden="1">
      <c r="H611" s="1">
        <f t="shared" si="57"/>
        <v>0</v>
      </c>
    </row>
    <row r="612" ht="15" hidden="1">
      <c r="H612" s="1">
        <f t="shared" ref="H612:H675" si="58">G612-F612</f>
        <v>0</v>
      </c>
    </row>
    <row r="613" ht="15" hidden="1">
      <c r="H613" s="1">
        <f t="shared" si="58"/>
        <v>0</v>
      </c>
    </row>
    <row r="614" ht="15" hidden="1">
      <c r="H614" s="1">
        <f t="shared" si="58"/>
        <v>0</v>
      </c>
    </row>
    <row r="615" ht="15" hidden="1">
      <c r="H615" s="1">
        <f t="shared" si="58"/>
        <v>0</v>
      </c>
    </row>
    <row r="616" ht="15" hidden="1">
      <c r="H616" s="1">
        <f t="shared" si="58"/>
        <v>0</v>
      </c>
    </row>
    <row r="617" ht="15" hidden="1">
      <c r="H617" s="1">
        <f t="shared" si="58"/>
        <v>0</v>
      </c>
    </row>
    <row r="618" ht="15" hidden="1">
      <c r="H618" s="1">
        <f t="shared" si="58"/>
        <v>0</v>
      </c>
    </row>
    <row r="619" ht="15" hidden="1">
      <c r="H619" s="1">
        <f t="shared" si="58"/>
        <v>0</v>
      </c>
    </row>
    <row r="620" ht="15" hidden="1">
      <c r="H620" s="1">
        <f t="shared" si="58"/>
        <v>0</v>
      </c>
    </row>
    <row r="621" ht="15" hidden="1">
      <c r="H621" s="1">
        <f t="shared" si="58"/>
        <v>0</v>
      </c>
    </row>
    <row r="622" ht="15" hidden="1">
      <c r="H622" s="1">
        <f t="shared" si="58"/>
        <v>0</v>
      </c>
    </row>
    <row r="623" ht="15" hidden="1">
      <c r="H623" s="1">
        <f t="shared" si="58"/>
        <v>0</v>
      </c>
    </row>
    <row r="624" ht="15" hidden="1">
      <c r="H624" s="1">
        <f t="shared" si="58"/>
        <v>0</v>
      </c>
    </row>
    <row r="625" ht="15" hidden="1">
      <c r="H625" s="1">
        <f t="shared" si="58"/>
        <v>0</v>
      </c>
    </row>
    <row r="626" ht="15" hidden="1">
      <c r="H626" s="1">
        <f t="shared" si="58"/>
        <v>0</v>
      </c>
    </row>
    <row r="627" ht="15" hidden="1">
      <c r="H627" s="1">
        <f t="shared" si="58"/>
        <v>0</v>
      </c>
    </row>
    <row r="628" ht="15" hidden="1">
      <c r="H628" s="1">
        <f t="shared" si="58"/>
        <v>0</v>
      </c>
    </row>
    <row r="629" ht="15" hidden="1">
      <c r="H629" s="1">
        <f t="shared" si="58"/>
        <v>0</v>
      </c>
    </row>
    <row r="630" ht="15" hidden="1">
      <c r="H630" s="1">
        <f t="shared" si="58"/>
        <v>0</v>
      </c>
    </row>
    <row r="631" ht="15" hidden="1">
      <c r="H631" s="1">
        <f t="shared" si="58"/>
        <v>0</v>
      </c>
    </row>
    <row r="632" ht="15" hidden="1">
      <c r="H632" s="1">
        <f t="shared" si="58"/>
        <v>0</v>
      </c>
    </row>
    <row r="633" ht="15" hidden="1">
      <c r="H633" s="1">
        <f t="shared" si="58"/>
        <v>0</v>
      </c>
    </row>
    <row r="634" ht="15" hidden="1">
      <c r="H634" s="1">
        <f t="shared" si="58"/>
        <v>0</v>
      </c>
    </row>
    <row r="635" ht="15" hidden="1">
      <c r="H635" s="1">
        <f t="shared" si="58"/>
        <v>0</v>
      </c>
    </row>
    <row r="636" ht="15" hidden="1">
      <c r="H636" s="1">
        <f t="shared" si="58"/>
        <v>0</v>
      </c>
    </row>
    <row r="637" ht="15" hidden="1">
      <c r="H637" s="1">
        <f t="shared" si="58"/>
        <v>0</v>
      </c>
    </row>
    <row r="638" ht="15" hidden="1">
      <c r="H638" s="1">
        <f t="shared" si="58"/>
        <v>0</v>
      </c>
    </row>
    <row r="639" ht="15" hidden="1">
      <c r="H639" s="1">
        <f t="shared" si="58"/>
        <v>0</v>
      </c>
    </row>
    <row r="640" ht="15" hidden="1">
      <c r="H640" s="1">
        <f t="shared" si="58"/>
        <v>0</v>
      </c>
    </row>
    <row r="641" ht="15" hidden="1">
      <c r="H641" s="1">
        <f t="shared" si="58"/>
        <v>0</v>
      </c>
    </row>
    <row r="642" ht="15" hidden="1">
      <c r="H642" s="1">
        <f t="shared" si="58"/>
        <v>0</v>
      </c>
    </row>
    <row r="643" ht="15" hidden="1">
      <c r="H643" s="1">
        <f t="shared" si="58"/>
        <v>0</v>
      </c>
    </row>
    <row r="644" ht="15" hidden="1">
      <c r="H644" s="1">
        <f t="shared" si="58"/>
        <v>0</v>
      </c>
    </row>
    <row r="645" ht="15" hidden="1">
      <c r="H645" s="1">
        <f t="shared" si="58"/>
        <v>0</v>
      </c>
    </row>
    <row r="646" ht="15" hidden="1">
      <c r="H646" s="1">
        <f t="shared" si="58"/>
        <v>0</v>
      </c>
    </row>
    <row r="647" ht="15" hidden="1">
      <c r="H647" s="1">
        <f t="shared" si="58"/>
        <v>0</v>
      </c>
    </row>
    <row r="648" ht="15" hidden="1">
      <c r="H648" s="1">
        <f t="shared" si="58"/>
        <v>0</v>
      </c>
    </row>
    <row r="649" ht="15" hidden="1">
      <c r="H649" s="1">
        <f t="shared" si="58"/>
        <v>0</v>
      </c>
    </row>
    <row r="650" ht="15" hidden="1">
      <c r="H650" s="1">
        <f t="shared" si="58"/>
        <v>0</v>
      </c>
    </row>
    <row r="651" ht="15" hidden="1">
      <c r="H651" s="1">
        <f t="shared" si="58"/>
        <v>0</v>
      </c>
    </row>
    <row r="652" ht="15" hidden="1">
      <c r="H652" s="1">
        <f t="shared" si="58"/>
        <v>0</v>
      </c>
    </row>
    <row r="653" ht="15" hidden="1">
      <c r="H653" s="1">
        <f t="shared" si="58"/>
        <v>0</v>
      </c>
    </row>
    <row r="654" ht="15" hidden="1">
      <c r="H654" s="1">
        <f t="shared" si="58"/>
        <v>0</v>
      </c>
    </row>
    <row r="655" ht="15" hidden="1">
      <c r="H655" s="1">
        <f t="shared" si="58"/>
        <v>0</v>
      </c>
    </row>
    <row r="656" ht="15" hidden="1">
      <c r="H656" s="1">
        <f t="shared" si="58"/>
        <v>0</v>
      </c>
    </row>
    <row r="657" ht="15" hidden="1">
      <c r="H657" s="1">
        <f t="shared" si="58"/>
        <v>0</v>
      </c>
    </row>
    <row r="658" ht="15" hidden="1">
      <c r="H658" s="1">
        <f t="shared" si="58"/>
        <v>0</v>
      </c>
    </row>
    <row r="659" ht="15" hidden="1">
      <c r="H659" s="1">
        <f t="shared" si="58"/>
        <v>0</v>
      </c>
    </row>
    <row r="660" ht="15" hidden="1">
      <c r="H660" s="1">
        <f t="shared" si="58"/>
        <v>0</v>
      </c>
    </row>
    <row r="661" ht="15" hidden="1">
      <c r="H661" s="1">
        <f t="shared" si="58"/>
        <v>0</v>
      </c>
    </row>
    <row r="662" ht="15" hidden="1">
      <c r="H662" s="1">
        <f t="shared" si="58"/>
        <v>0</v>
      </c>
    </row>
    <row r="663" ht="15" hidden="1">
      <c r="H663" s="1">
        <f t="shared" si="58"/>
        <v>0</v>
      </c>
    </row>
    <row r="664" ht="15" hidden="1">
      <c r="H664" s="1">
        <f t="shared" si="58"/>
        <v>0</v>
      </c>
    </row>
    <row r="665" ht="15" hidden="1">
      <c r="H665" s="1">
        <f t="shared" si="58"/>
        <v>0</v>
      </c>
    </row>
    <row r="666" ht="15" hidden="1">
      <c r="H666" s="1">
        <f t="shared" si="58"/>
        <v>0</v>
      </c>
    </row>
    <row r="667" ht="15" hidden="1">
      <c r="H667" s="1">
        <f t="shared" si="58"/>
        <v>0</v>
      </c>
    </row>
    <row r="668" ht="15" hidden="1">
      <c r="H668" s="1">
        <f t="shared" si="58"/>
        <v>0</v>
      </c>
    </row>
    <row r="669" ht="15" hidden="1">
      <c r="H669" s="1">
        <f t="shared" si="58"/>
        <v>0</v>
      </c>
    </row>
    <row r="670" ht="15" hidden="1">
      <c r="H670" s="1">
        <f t="shared" si="58"/>
        <v>0</v>
      </c>
    </row>
    <row r="671" ht="15" hidden="1">
      <c r="H671" s="1">
        <f t="shared" si="58"/>
        <v>0</v>
      </c>
    </row>
    <row r="672" ht="15" hidden="1">
      <c r="H672" s="1">
        <f t="shared" si="58"/>
        <v>0</v>
      </c>
    </row>
    <row r="673" ht="15" hidden="1">
      <c r="H673" s="1">
        <f t="shared" si="58"/>
        <v>0</v>
      </c>
    </row>
    <row r="674" ht="15" hidden="1">
      <c r="H674" s="1">
        <f t="shared" si="58"/>
        <v>0</v>
      </c>
    </row>
    <row r="675" ht="15" hidden="1">
      <c r="H675" s="1">
        <f t="shared" si="58"/>
        <v>0</v>
      </c>
    </row>
    <row r="676" ht="15" hidden="1">
      <c r="H676" s="1">
        <f t="shared" ref="H676:H739" si="59">G676-F676</f>
        <v>0</v>
      </c>
    </row>
    <row r="677" ht="15" hidden="1">
      <c r="H677" s="1">
        <f t="shared" si="59"/>
        <v>0</v>
      </c>
    </row>
    <row r="678" ht="15" hidden="1">
      <c r="H678" s="1">
        <f t="shared" si="59"/>
        <v>0</v>
      </c>
    </row>
    <row r="679" ht="15" hidden="1">
      <c r="H679" s="1">
        <f t="shared" si="59"/>
        <v>0</v>
      </c>
    </row>
    <row r="680" ht="15" hidden="1">
      <c r="H680" s="1">
        <f t="shared" si="59"/>
        <v>0</v>
      </c>
    </row>
    <row r="681" ht="15" hidden="1">
      <c r="H681" s="1">
        <f t="shared" si="59"/>
        <v>0</v>
      </c>
    </row>
    <row r="682" ht="15" hidden="1">
      <c r="H682" s="1">
        <f t="shared" si="59"/>
        <v>0</v>
      </c>
    </row>
    <row r="683" ht="15" hidden="1">
      <c r="H683" s="1">
        <f t="shared" si="59"/>
        <v>0</v>
      </c>
    </row>
    <row r="684" ht="15" hidden="1">
      <c r="H684" s="1">
        <f t="shared" si="59"/>
        <v>0</v>
      </c>
    </row>
    <row r="685" ht="15" hidden="1">
      <c r="H685" s="1">
        <f t="shared" si="59"/>
        <v>0</v>
      </c>
    </row>
    <row r="686" ht="15" hidden="1">
      <c r="H686" s="1">
        <f t="shared" si="59"/>
        <v>0</v>
      </c>
    </row>
    <row r="687" ht="15" hidden="1">
      <c r="H687" s="1">
        <f t="shared" si="59"/>
        <v>0</v>
      </c>
    </row>
    <row r="688" ht="15" hidden="1">
      <c r="H688" s="1">
        <f t="shared" si="59"/>
        <v>0</v>
      </c>
    </row>
    <row r="689" ht="15" hidden="1">
      <c r="H689" s="1">
        <f t="shared" si="59"/>
        <v>0</v>
      </c>
    </row>
    <row r="690" ht="15" hidden="1">
      <c r="H690" s="1">
        <f t="shared" si="59"/>
        <v>0</v>
      </c>
    </row>
    <row r="691" ht="15" hidden="1">
      <c r="H691" s="1">
        <f t="shared" si="59"/>
        <v>0</v>
      </c>
    </row>
    <row r="692" ht="15" hidden="1">
      <c r="H692" s="1">
        <f t="shared" si="59"/>
        <v>0</v>
      </c>
    </row>
    <row r="693" ht="15" hidden="1">
      <c r="H693" s="1">
        <f t="shared" si="59"/>
        <v>0</v>
      </c>
    </row>
    <row r="694" ht="15" hidden="1">
      <c r="H694" s="1">
        <f t="shared" si="59"/>
        <v>0</v>
      </c>
    </row>
    <row r="695" ht="15" hidden="1">
      <c r="H695" s="1">
        <f t="shared" si="59"/>
        <v>0</v>
      </c>
    </row>
    <row r="696" ht="15" hidden="1">
      <c r="H696" s="1">
        <f t="shared" si="59"/>
        <v>0</v>
      </c>
    </row>
    <row r="697" ht="15" hidden="1">
      <c r="H697" s="1">
        <f t="shared" si="59"/>
        <v>0</v>
      </c>
    </row>
    <row r="698" ht="15" hidden="1">
      <c r="H698" s="1">
        <f t="shared" si="59"/>
        <v>0</v>
      </c>
    </row>
    <row r="699" ht="15" hidden="1">
      <c r="H699" s="1">
        <f t="shared" si="59"/>
        <v>0</v>
      </c>
    </row>
    <row r="700" ht="15" hidden="1">
      <c r="H700" s="1">
        <f t="shared" si="59"/>
        <v>0</v>
      </c>
    </row>
    <row r="701" ht="15" hidden="1">
      <c r="H701" s="1">
        <f t="shared" si="59"/>
        <v>0</v>
      </c>
    </row>
    <row r="702" ht="15" hidden="1">
      <c r="H702" s="1">
        <f t="shared" si="59"/>
        <v>0</v>
      </c>
    </row>
    <row r="703" ht="15" hidden="1">
      <c r="H703" s="1">
        <f t="shared" si="59"/>
        <v>0</v>
      </c>
    </row>
    <row r="704" ht="15" hidden="1">
      <c r="H704" s="1">
        <f t="shared" si="59"/>
        <v>0</v>
      </c>
    </row>
    <row r="705" ht="15" hidden="1">
      <c r="H705" s="1">
        <f t="shared" si="59"/>
        <v>0</v>
      </c>
    </row>
    <row r="706" ht="15" hidden="1">
      <c r="H706" s="1">
        <f t="shared" si="59"/>
        <v>0</v>
      </c>
    </row>
    <row r="707" ht="15" hidden="1">
      <c r="H707" s="1">
        <f t="shared" si="59"/>
        <v>0</v>
      </c>
    </row>
    <row r="708" ht="15" hidden="1">
      <c r="H708" s="1">
        <f t="shared" si="59"/>
        <v>0</v>
      </c>
    </row>
    <row r="709" ht="15" hidden="1">
      <c r="H709" s="1">
        <f t="shared" si="59"/>
        <v>0</v>
      </c>
    </row>
    <row r="710" ht="15" hidden="1">
      <c r="H710" s="1">
        <f t="shared" si="59"/>
        <v>0</v>
      </c>
    </row>
    <row r="711" ht="15" hidden="1">
      <c r="H711" s="1">
        <f t="shared" si="59"/>
        <v>0</v>
      </c>
    </row>
    <row r="712" ht="15" hidden="1">
      <c r="H712" s="1">
        <f t="shared" si="59"/>
        <v>0</v>
      </c>
    </row>
    <row r="713" ht="15" hidden="1">
      <c r="H713" s="1">
        <f t="shared" si="59"/>
        <v>0</v>
      </c>
    </row>
    <row r="714" ht="15" hidden="1">
      <c r="H714" s="1">
        <f t="shared" si="59"/>
        <v>0</v>
      </c>
    </row>
    <row r="715" ht="15" hidden="1">
      <c r="H715" s="1">
        <f t="shared" si="59"/>
        <v>0</v>
      </c>
    </row>
    <row r="716" ht="15" hidden="1">
      <c r="H716" s="1">
        <f t="shared" si="59"/>
        <v>0</v>
      </c>
    </row>
    <row r="717" ht="15" hidden="1">
      <c r="H717" s="1">
        <f t="shared" si="59"/>
        <v>0</v>
      </c>
    </row>
    <row r="718" ht="15" hidden="1">
      <c r="H718" s="1">
        <f t="shared" si="59"/>
        <v>0</v>
      </c>
    </row>
    <row r="719" ht="15" hidden="1">
      <c r="H719" s="1">
        <f t="shared" si="59"/>
        <v>0</v>
      </c>
    </row>
    <row r="720" ht="15" hidden="1">
      <c r="H720" s="1">
        <f t="shared" si="59"/>
        <v>0</v>
      </c>
    </row>
    <row r="721" ht="15" hidden="1">
      <c r="H721" s="1">
        <f t="shared" si="59"/>
        <v>0</v>
      </c>
    </row>
    <row r="722" ht="15" hidden="1">
      <c r="H722" s="1">
        <f t="shared" si="59"/>
        <v>0</v>
      </c>
    </row>
    <row r="723" ht="15" hidden="1">
      <c r="H723" s="1">
        <f t="shared" si="59"/>
        <v>0</v>
      </c>
    </row>
    <row r="724" ht="15" hidden="1">
      <c r="H724" s="1">
        <f t="shared" si="59"/>
        <v>0</v>
      </c>
    </row>
    <row r="725" ht="15" hidden="1">
      <c r="H725" s="1">
        <f t="shared" si="59"/>
        <v>0</v>
      </c>
    </row>
    <row r="726" ht="15" hidden="1">
      <c r="H726" s="1">
        <f t="shared" si="59"/>
        <v>0</v>
      </c>
    </row>
    <row r="727" ht="15" hidden="1">
      <c r="H727" s="1">
        <f t="shared" si="59"/>
        <v>0</v>
      </c>
    </row>
    <row r="728" ht="15" hidden="1">
      <c r="H728" s="1">
        <f t="shared" si="59"/>
        <v>0</v>
      </c>
    </row>
    <row r="729" ht="15" hidden="1">
      <c r="H729" s="1">
        <f t="shared" si="59"/>
        <v>0</v>
      </c>
    </row>
    <row r="730" ht="15" hidden="1">
      <c r="H730" s="1">
        <f t="shared" si="59"/>
        <v>0</v>
      </c>
    </row>
    <row r="731" ht="15" hidden="1">
      <c r="H731" s="1">
        <f t="shared" si="59"/>
        <v>0</v>
      </c>
    </row>
    <row r="732" ht="15" hidden="1">
      <c r="H732" s="1">
        <f t="shared" si="59"/>
        <v>0</v>
      </c>
    </row>
    <row r="733" ht="15" hidden="1">
      <c r="H733" s="1">
        <f t="shared" si="59"/>
        <v>0</v>
      </c>
    </row>
    <row r="734" ht="15" hidden="1">
      <c r="H734" s="1">
        <f t="shared" si="59"/>
        <v>0</v>
      </c>
    </row>
    <row r="735" ht="15" hidden="1">
      <c r="H735" s="1">
        <f t="shared" si="59"/>
        <v>0</v>
      </c>
    </row>
    <row r="736" ht="15" hidden="1">
      <c r="H736" s="1">
        <f t="shared" si="59"/>
        <v>0</v>
      </c>
    </row>
    <row r="737" ht="15" hidden="1">
      <c r="H737" s="1">
        <f t="shared" si="59"/>
        <v>0</v>
      </c>
    </row>
    <row r="738" ht="15" hidden="1">
      <c r="H738" s="1">
        <f t="shared" si="59"/>
        <v>0</v>
      </c>
    </row>
    <row r="739" ht="15" hidden="1">
      <c r="H739" s="1">
        <f t="shared" si="59"/>
        <v>0</v>
      </c>
    </row>
    <row r="740" ht="15" hidden="1">
      <c r="H740" s="1">
        <f t="shared" ref="H740:H803" si="60">G740-F740</f>
        <v>0</v>
      </c>
    </row>
    <row r="741" ht="15" hidden="1">
      <c r="H741" s="1">
        <f t="shared" si="60"/>
        <v>0</v>
      </c>
    </row>
    <row r="742" ht="15" hidden="1">
      <c r="H742" s="1">
        <f t="shared" si="60"/>
        <v>0</v>
      </c>
    </row>
    <row r="743" ht="15" hidden="1">
      <c r="H743" s="1">
        <f t="shared" si="60"/>
        <v>0</v>
      </c>
    </row>
    <row r="744" ht="15" hidden="1">
      <c r="H744" s="1">
        <f t="shared" si="60"/>
        <v>0</v>
      </c>
    </row>
    <row r="745" ht="15" hidden="1">
      <c r="H745" s="1">
        <f t="shared" si="60"/>
        <v>0</v>
      </c>
    </row>
    <row r="746" ht="15" hidden="1">
      <c r="H746" s="1">
        <f t="shared" si="60"/>
        <v>0</v>
      </c>
    </row>
    <row r="747" ht="15" hidden="1">
      <c r="H747" s="1">
        <f t="shared" si="60"/>
        <v>0</v>
      </c>
    </row>
    <row r="748" ht="15" hidden="1">
      <c r="H748" s="1">
        <f t="shared" si="60"/>
        <v>0</v>
      </c>
    </row>
    <row r="749" ht="15" hidden="1">
      <c r="H749" s="1">
        <f t="shared" si="60"/>
        <v>0</v>
      </c>
    </row>
    <row r="750" ht="15" hidden="1">
      <c r="H750" s="1">
        <f t="shared" si="60"/>
        <v>0</v>
      </c>
    </row>
    <row r="751" ht="15" hidden="1">
      <c r="H751" s="1">
        <f t="shared" si="60"/>
        <v>0</v>
      </c>
    </row>
    <row r="752" ht="15" hidden="1">
      <c r="H752" s="1">
        <f t="shared" si="60"/>
        <v>0</v>
      </c>
    </row>
    <row r="753" ht="15" hidden="1">
      <c r="H753" s="1">
        <f t="shared" si="60"/>
        <v>0</v>
      </c>
    </row>
    <row r="754" ht="15" hidden="1">
      <c r="H754" s="1">
        <f t="shared" si="60"/>
        <v>0</v>
      </c>
    </row>
    <row r="755" ht="15" hidden="1">
      <c r="H755" s="1">
        <f t="shared" si="60"/>
        <v>0</v>
      </c>
    </row>
    <row r="756" ht="15" hidden="1">
      <c r="H756" s="1">
        <f t="shared" si="60"/>
        <v>0</v>
      </c>
    </row>
    <row r="757" ht="15" hidden="1">
      <c r="H757" s="1">
        <f t="shared" si="60"/>
        <v>0</v>
      </c>
    </row>
    <row r="758" ht="15" hidden="1">
      <c r="H758" s="1">
        <f t="shared" si="60"/>
        <v>0</v>
      </c>
    </row>
    <row r="759" ht="15" hidden="1">
      <c r="H759" s="1">
        <f t="shared" si="60"/>
        <v>0</v>
      </c>
    </row>
    <row r="760" ht="15" hidden="1">
      <c r="H760" s="1">
        <f t="shared" si="60"/>
        <v>0</v>
      </c>
    </row>
    <row r="761" ht="15" hidden="1">
      <c r="H761" s="1">
        <f t="shared" si="60"/>
        <v>0</v>
      </c>
    </row>
    <row r="762" ht="15" hidden="1">
      <c r="H762" s="1">
        <f t="shared" si="60"/>
        <v>0</v>
      </c>
    </row>
    <row r="763" ht="15" hidden="1">
      <c r="H763" s="1">
        <f t="shared" si="60"/>
        <v>0</v>
      </c>
    </row>
    <row r="764" ht="15" hidden="1">
      <c r="H764" s="1">
        <f t="shared" si="60"/>
        <v>0</v>
      </c>
    </row>
    <row r="765" ht="15" hidden="1">
      <c r="H765" s="1">
        <f t="shared" si="60"/>
        <v>0</v>
      </c>
    </row>
    <row r="766" ht="15" hidden="1">
      <c r="H766" s="1">
        <f t="shared" si="60"/>
        <v>0</v>
      </c>
    </row>
    <row r="767" ht="15" hidden="1">
      <c r="H767" s="1">
        <f t="shared" si="60"/>
        <v>0</v>
      </c>
    </row>
    <row r="768" ht="15" hidden="1">
      <c r="H768" s="1">
        <f t="shared" si="60"/>
        <v>0</v>
      </c>
    </row>
    <row r="769" ht="15" hidden="1">
      <c r="H769" s="1">
        <f t="shared" si="60"/>
        <v>0</v>
      </c>
    </row>
    <row r="770" ht="15" hidden="1">
      <c r="H770" s="1">
        <f t="shared" si="60"/>
        <v>0</v>
      </c>
    </row>
    <row r="771" ht="15" hidden="1">
      <c r="H771" s="1">
        <f t="shared" si="60"/>
        <v>0</v>
      </c>
    </row>
    <row r="772" ht="15" hidden="1">
      <c r="H772" s="1">
        <f t="shared" si="60"/>
        <v>0</v>
      </c>
    </row>
    <row r="773" ht="15" hidden="1">
      <c r="H773" s="1">
        <f t="shared" si="60"/>
        <v>0</v>
      </c>
    </row>
    <row r="774" ht="15" hidden="1">
      <c r="H774" s="1">
        <f t="shared" si="60"/>
        <v>0</v>
      </c>
    </row>
    <row r="775" ht="15" hidden="1">
      <c r="H775" s="1">
        <f t="shared" si="60"/>
        <v>0</v>
      </c>
    </row>
    <row r="776" ht="15" hidden="1">
      <c r="H776" s="1">
        <f t="shared" si="60"/>
        <v>0</v>
      </c>
    </row>
    <row r="777" ht="15" hidden="1">
      <c r="H777" s="1">
        <f t="shared" si="60"/>
        <v>0</v>
      </c>
    </row>
    <row r="778" ht="15" hidden="1">
      <c r="H778" s="1">
        <f t="shared" si="60"/>
        <v>0</v>
      </c>
    </row>
    <row r="779" ht="15" hidden="1">
      <c r="H779" s="1">
        <f t="shared" si="60"/>
        <v>0</v>
      </c>
    </row>
    <row r="780" ht="15" hidden="1">
      <c r="H780" s="1">
        <f t="shared" si="60"/>
        <v>0</v>
      </c>
    </row>
    <row r="781" ht="15" hidden="1">
      <c r="H781" s="1">
        <f t="shared" si="60"/>
        <v>0</v>
      </c>
    </row>
    <row r="782" ht="15" hidden="1">
      <c r="H782" s="1">
        <f t="shared" si="60"/>
        <v>0</v>
      </c>
    </row>
    <row r="783" ht="15" hidden="1">
      <c r="H783" s="1">
        <f t="shared" si="60"/>
        <v>0</v>
      </c>
    </row>
    <row r="784" ht="15" hidden="1">
      <c r="H784" s="1">
        <f t="shared" si="60"/>
        <v>0</v>
      </c>
    </row>
    <row r="785" ht="15" hidden="1">
      <c r="H785" s="1">
        <f t="shared" si="60"/>
        <v>0</v>
      </c>
    </row>
    <row r="786" ht="15" hidden="1">
      <c r="H786" s="1">
        <f t="shared" si="60"/>
        <v>0</v>
      </c>
    </row>
    <row r="787" ht="15" hidden="1">
      <c r="H787" s="1">
        <f t="shared" si="60"/>
        <v>0</v>
      </c>
    </row>
    <row r="788" ht="15" hidden="1">
      <c r="H788" s="1">
        <f t="shared" si="60"/>
        <v>0</v>
      </c>
    </row>
    <row r="789" ht="15" hidden="1">
      <c r="H789" s="1">
        <f t="shared" si="60"/>
        <v>0</v>
      </c>
    </row>
    <row r="790" ht="15" hidden="1">
      <c r="H790" s="1">
        <f t="shared" si="60"/>
        <v>0</v>
      </c>
    </row>
    <row r="791" ht="15" hidden="1">
      <c r="H791" s="1">
        <f t="shared" si="60"/>
        <v>0</v>
      </c>
    </row>
    <row r="792" ht="15" hidden="1">
      <c r="H792" s="1">
        <f t="shared" si="60"/>
        <v>0</v>
      </c>
    </row>
    <row r="793" ht="15" hidden="1">
      <c r="H793" s="1">
        <f t="shared" si="60"/>
        <v>0</v>
      </c>
    </row>
    <row r="794" ht="15" hidden="1">
      <c r="H794" s="1">
        <f t="shared" si="60"/>
        <v>0</v>
      </c>
    </row>
    <row r="795" ht="15" hidden="1">
      <c r="H795" s="1">
        <f t="shared" si="60"/>
        <v>0</v>
      </c>
    </row>
    <row r="796" ht="15" hidden="1">
      <c r="H796" s="1">
        <f t="shared" si="60"/>
        <v>0</v>
      </c>
    </row>
    <row r="797" ht="15" hidden="1">
      <c r="H797" s="1">
        <f t="shared" si="60"/>
        <v>0</v>
      </c>
    </row>
    <row r="798" ht="15" hidden="1">
      <c r="H798" s="1">
        <f t="shared" si="60"/>
        <v>0</v>
      </c>
    </row>
    <row r="799" ht="15" hidden="1">
      <c r="H799" s="1">
        <f t="shared" si="60"/>
        <v>0</v>
      </c>
    </row>
    <row r="800" ht="15" hidden="1">
      <c r="H800" s="1">
        <f t="shared" si="60"/>
        <v>0</v>
      </c>
    </row>
    <row r="801" ht="15" hidden="1">
      <c r="H801" s="1">
        <f t="shared" si="60"/>
        <v>0</v>
      </c>
    </row>
    <row r="802" ht="15" hidden="1">
      <c r="H802" s="1">
        <f t="shared" si="60"/>
        <v>0</v>
      </c>
    </row>
    <row r="803" ht="15" hidden="1">
      <c r="H803" s="1">
        <f t="shared" si="60"/>
        <v>0</v>
      </c>
    </row>
    <row r="804" ht="15" hidden="1">
      <c r="H804" s="1">
        <f t="shared" ref="H804:H867" si="61">G804-F804</f>
        <v>0</v>
      </c>
    </row>
    <row r="805" ht="15" hidden="1">
      <c r="H805" s="1">
        <f t="shared" si="61"/>
        <v>0</v>
      </c>
    </row>
    <row r="806" ht="15" hidden="1">
      <c r="H806" s="1">
        <f t="shared" si="61"/>
        <v>0</v>
      </c>
    </row>
    <row r="807" ht="15" hidden="1">
      <c r="H807" s="1">
        <f t="shared" si="61"/>
        <v>0</v>
      </c>
    </row>
    <row r="808" ht="15" hidden="1">
      <c r="H808" s="1">
        <f t="shared" si="61"/>
        <v>0</v>
      </c>
    </row>
    <row r="809" ht="15" hidden="1">
      <c r="H809" s="1">
        <f t="shared" si="61"/>
        <v>0</v>
      </c>
    </row>
    <row r="810" ht="15" hidden="1">
      <c r="H810" s="1">
        <f t="shared" si="61"/>
        <v>0</v>
      </c>
    </row>
    <row r="811" ht="15" hidden="1">
      <c r="H811" s="1">
        <f t="shared" si="61"/>
        <v>0</v>
      </c>
    </row>
    <row r="812" ht="15" hidden="1">
      <c r="H812" s="1">
        <f t="shared" si="61"/>
        <v>0</v>
      </c>
    </row>
    <row r="813" ht="15" hidden="1">
      <c r="H813" s="1">
        <f t="shared" si="61"/>
        <v>0</v>
      </c>
    </row>
    <row r="814" ht="15" hidden="1">
      <c r="H814" s="1">
        <f t="shared" si="61"/>
        <v>0</v>
      </c>
    </row>
    <row r="815" ht="15" hidden="1">
      <c r="H815" s="1">
        <f t="shared" si="61"/>
        <v>0</v>
      </c>
    </row>
    <row r="816" ht="15" hidden="1">
      <c r="H816" s="1">
        <f t="shared" si="61"/>
        <v>0</v>
      </c>
    </row>
    <row r="817" ht="15" hidden="1">
      <c r="H817" s="1">
        <f t="shared" si="61"/>
        <v>0</v>
      </c>
    </row>
    <row r="818" ht="15" hidden="1">
      <c r="H818" s="1">
        <f t="shared" si="61"/>
        <v>0</v>
      </c>
    </row>
    <row r="819" ht="15" hidden="1">
      <c r="H819" s="1">
        <f t="shared" si="61"/>
        <v>0</v>
      </c>
    </row>
    <row r="820" ht="15" hidden="1">
      <c r="H820" s="1">
        <f t="shared" si="61"/>
        <v>0</v>
      </c>
    </row>
    <row r="821" ht="15" hidden="1">
      <c r="H821" s="1">
        <f t="shared" si="61"/>
        <v>0</v>
      </c>
    </row>
    <row r="822" ht="15" hidden="1">
      <c r="H822" s="1">
        <f t="shared" si="61"/>
        <v>0</v>
      </c>
    </row>
    <row r="823" ht="15" hidden="1">
      <c r="H823" s="1">
        <f t="shared" si="61"/>
        <v>0</v>
      </c>
    </row>
    <row r="824" ht="15" hidden="1">
      <c r="H824" s="1">
        <f t="shared" si="61"/>
        <v>0</v>
      </c>
    </row>
    <row r="825" ht="15" hidden="1">
      <c r="H825" s="1">
        <f t="shared" si="61"/>
        <v>0</v>
      </c>
    </row>
    <row r="826" ht="15" hidden="1">
      <c r="H826" s="1">
        <f t="shared" si="61"/>
        <v>0</v>
      </c>
    </row>
    <row r="827" ht="15" hidden="1">
      <c r="H827" s="1">
        <f t="shared" si="61"/>
        <v>0</v>
      </c>
    </row>
    <row r="828" ht="15" hidden="1">
      <c r="H828" s="1">
        <f t="shared" si="61"/>
        <v>0</v>
      </c>
    </row>
    <row r="829" ht="15" hidden="1">
      <c r="H829" s="1">
        <f t="shared" si="61"/>
        <v>0</v>
      </c>
    </row>
    <row r="830" ht="15" hidden="1">
      <c r="H830" s="1">
        <f t="shared" si="61"/>
        <v>0</v>
      </c>
    </row>
    <row r="831" ht="15" hidden="1">
      <c r="H831" s="1">
        <f t="shared" si="61"/>
        <v>0</v>
      </c>
    </row>
    <row r="832" ht="15" hidden="1">
      <c r="H832" s="1">
        <f t="shared" si="61"/>
        <v>0</v>
      </c>
    </row>
    <row r="833" ht="15" hidden="1">
      <c r="H833" s="1">
        <f t="shared" si="61"/>
        <v>0</v>
      </c>
    </row>
    <row r="834" ht="15" hidden="1">
      <c r="H834" s="1">
        <f t="shared" si="61"/>
        <v>0</v>
      </c>
    </row>
    <row r="835" ht="15" hidden="1">
      <c r="H835" s="1">
        <f t="shared" si="61"/>
        <v>0</v>
      </c>
    </row>
    <row r="836" ht="15" hidden="1">
      <c r="H836" s="1">
        <f t="shared" si="61"/>
        <v>0</v>
      </c>
    </row>
    <row r="837" ht="15" hidden="1">
      <c r="H837" s="1">
        <f t="shared" si="61"/>
        <v>0</v>
      </c>
    </row>
    <row r="838" ht="15" hidden="1">
      <c r="H838" s="1">
        <f t="shared" si="61"/>
        <v>0</v>
      </c>
    </row>
    <row r="839" ht="15" hidden="1">
      <c r="H839" s="1">
        <f t="shared" si="61"/>
        <v>0</v>
      </c>
    </row>
    <row r="840" ht="15" hidden="1">
      <c r="H840" s="1">
        <f t="shared" si="61"/>
        <v>0</v>
      </c>
    </row>
    <row r="841" ht="15" hidden="1">
      <c r="H841" s="1">
        <f t="shared" si="61"/>
        <v>0</v>
      </c>
    </row>
    <row r="842" ht="15" hidden="1">
      <c r="H842" s="1">
        <f t="shared" si="61"/>
        <v>0</v>
      </c>
    </row>
    <row r="843" ht="15" hidden="1">
      <c r="H843" s="1">
        <f t="shared" si="61"/>
        <v>0</v>
      </c>
    </row>
    <row r="844" ht="15" hidden="1">
      <c r="H844" s="1">
        <f t="shared" si="61"/>
        <v>0</v>
      </c>
    </row>
    <row r="845" ht="15" hidden="1">
      <c r="H845" s="1">
        <f t="shared" si="61"/>
        <v>0</v>
      </c>
    </row>
    <row r="846" ht="15" hidden="1">
      <c r="H846" s="1">
        <f t="shared" si="61"/>
        <v>0</v>
      </c>
    </row>
    <row r="847" ht="15" hidden="1">
      <c r="H847" s="1">
        <f t="shared" si="61"/>
        <v>0</v>
      </c>
    </row>
    <row r="848" ht="15" hidden="1">
      <c r="H848" s="1">
        <f t="shared" si="61"/>
        <v>0</v>
      </c>
    </row>
    <row r="849" ht="15" hidden="1">
      <c r="H849" s="1">
        <f t="shared" si="61"/>
        <v>0</v>
      </c>
    </row>
    <row r="850" ht="15" hidden="1">
      <c r="H850" s="1">
        <f t="shared" si="61"/>
        <v>0</v>
      </c>
    </row>
    <row r="851" ht="15" hidden="1">
      <c r="H851" s="1">
        <f t="shared" si="61"/>
        <v>0</v>
      </c>
    </row>
    <row r="852" ht="15" hidden="1">
      <c r="H852" s="1">
        <f t="shared" si="61"/>
        <v>0</v>
      </c>
    </row>
    <row r="853" ht="15" hidden="1">
      <c r="H853" s="1">
        <f t="shared" si="61"/>
        <v>0</v>
      </c>
    </row>
    <row r="854" ht="15" hidden="1">
      <c r="H854" s="1">
        <f t="shared" si="61"/>
        <v>0</v>
      </c>
    </row>
    <row r="855" ht="15" hidden="1">
      <c r="H855" s="1">
        <f t="shared" si="61"/>
        <v>0</v>
      </c>
    </row>
    <row r="856" ht="15" hidden="1">
      <c r="H856" s="1">
        <f t="shared" si="61"/>
        <v>0</v>
      </c>
    </row>
    <row r="857" ht="15" hidden="1">
      <c r="H857" s="1">
        <f t="shared" si="61"/>
        <v>0</v>
      </c>
    </row>
    <row r="858" ht="15" hidden="1">
      <c r="H858" s="1">
        <f t="shared" si="61"/>
        <v>0</v>
      </c>
    </row>
    <row r="859" ht="15" hidden="1">
      <c r="H859" s="1">
        <f t="shared" si="61"/>
        <v>0</v>
      </c>
    </row>
    <row r="860" ht="15" hidden="1">
      <c r="H860" s="1">
        <f t="shared" si="61"/>
        <v>0</v>
      </c>
    </row>
    <row r="861" ht="15" hidden="1">
      <c r="H861" s="1">
        <f t="shared" si="61"/>
        <v>0</v>
      </c>
    </row>
    <row r="862" ht="15" hidden="1">
      <c r="H862" s="1">
        <f t="shared" si="61"/>
        <v>0</v>
      </c>
    </row>
    <row r="863" ht="15" hidden="1">
      <c r="H863" s="1">
        <f t="shared" si="61"/>
        <v>0</v>
      </c>
    </row>
    <row r="864" ht="15" hidden="1">
      <c r="H864" s="1">
        <f t="shared" si="61"/>
        <v>0</v>
      </c>
    </row>
    <row r="865" ht="15" hidden="1">
      <c r="H865" s="1">
        <f t="shared" si="61"/>
        <v>0</v>
      </c>
    </row>
    <row r="866" ht="15" hidden="1">
      <c r="H866" s="1">
        <f t="shared" si="61"/>
        <v>0</v>
      </c>
    </row>
    <row r="867" ht="15" hidden="1">
      <c r="H867" s="1">
        <f t="shared" si="61"/>
        <v>0</v>
      </c>
    </row>
    <row r="868" ht="15" hidden="1">
      <c r="H868" s="1">
        <f t="shared" ref="H868:H931" si="62">G868-F868</f>
        <v>0</v>
      </c>
    </row>
    <row r="869" ht="15" hidden="1">
      <c r="H869" s="1">
        <f t="shared" si="62"/>
        <v>0</v>
      </c>
    </row>
    <row r="870" ht="15" hidden="1">
      <c r="H870" s="1">
        <f t="shared" si="62"/>
        <v>0</v>
      </c>
    </row>
    <row r="871" ht="15" hidden="1">
      <c r="H871" s="1">
        <f t="shared" si="62"/>
        <v>0</v>
      </c>
    </row>
    <row r="872" ht="15" hidden="1">
      <c r="H872" s="1">
        <f t="shared" si="62"/>
        <v>0</v>
      </c>
    </row>
    <row r="873" ht="15" hidden="1">
      <c r="H873" s="1">
        <f t="shared" si="62"/>
        <v>0</v>
      </c>
    </row>
    <row r="874" ht="15" hidden="1">
      <c r="H874" s="1">
        <f t="shared" si="62"/>
        <v>0</v>
      </c>
    </row>
    <row r="875" ht="15" hidden="1">
      <c r="H875" s="1">
        <f t="shared" si="62"/>
        <v>0</v>
      </c>
    </row>
    <row r="876" ht="15" hidden="1">
      <c r="H876" s="1">
        <f t="shared" si="62"/>
        <v>0</v>
      </c>
    </row>
    <row r="877" ht="15" hidden="1">
      <c r="H877" s="1">
        <f t="shared" si="62"/>
        <v>0</v>
      </c>
    </row>
    <row r="878" ht="15" hidden="1">
      <c r="H878" s="1">
        <f t="shared" si="62"/>
        <v>0</v>
      </c>
    </row>
    <row r="879" ht="15" hidden="1">
      <c r="H879" s="1">
        <f t="shared" si="62"/>
        <v>0</v>
      </c>
    </row>
    <row r="880" ht="15" hidden="1">
      <c r="H880" s="1">
        <f t="shared" si="62"/>
        <v>0</v>
      </c>
    </row>
    <row r="881" ht="15" hidden="1">
      <c r="H881" s="1">
        <f t="shared" si="62"/>
        <v>0</v>
      </c>
    </row>
    <row r="882" ht="15" hidden="1">
      <c r="H882" s="1">
        <f t="shared" si="62"/>
        <v>0</v>
      </c>
    </row>
    <row r="883" ht="15" hidden="1">
      <c r="H883" s="1">
        <f t="shared" si="62"/>
        <v>0</v>
      </c>
    </row>
    <row r="884" ht="15" hidden="1">
      <c r="H884" s="1">
        <f t="shared" si="62"/>
        <v>0</v>
      </c>
    </row>
    <row r="885" ht="15" hidden="1">
      <c r="H885" s="1">
        <f t="shared" si="62"/>
        <v>0</v>
      </c>
    </row>
    <row r="886" ht="15" hidden="1">
      <c r="H886" s="1">
        <f t="shared" si="62"/>
        <v>0</v>
      </c>
    </row>
    <row r="887" ht="15" hidden="1">
      <c r="H887" s="1">
        <f t="shared" si="62"/>
        <v>0</v>
      </c>
    </row>
    <row r="888" ht="15" hidden="1">
      <c r="H888" s="1">
        <f t="shared" si="62"/>
        <v>0</v>
      </c>
    </row>
    <row r="889" ht="15" hidden="1">
      <c r="H889" s="1">
        <f t="shared" si="62"/>
        <v>0</v>
      </c>
    </row>
    <row r="890" ht="15" hidden="1">
      <c r="H890" s="1">
        <f t="shared" si="62"/>
        <v>0</v>
      </c>
    </row>
    <row r="891" ht="15" hidden="1">
      <c r="H891" s="1">
        <f t="shared" si="62"/>
        <v>0</v>
      </c>
    </row>
    <row r="892" ht="15" hidden="1">
      <c r="H892" s="1">
        <f t="shared" si="62"/>
        <v>0</v>
      </c>
    </row>
    <row r="893" ht="15" hidden="1">
      <c r="H893" s="1">
        <f t="shared" si="62"/>
        <v>0</v>
      </c>
    </row>
    <row r="894" ht="15" hidden="1">
      <c r="H894" s="1">
        <f t="shared" si="62"/>
        <v>0</v>
      </c>
    </row>
    <row r="895" ht="15" hidden="1">
      <c r="H895" s="1">
        <f t="shared" si="62"/>
        <v>0</v>
      </c>
    </row>
    <row r="896" ht="15" hidden="1">
      <c r="H896" s="1">
        <f t="shared" si="62"/>
        <v>0</v>
      </c>
    </row>
    <row r="897" ht="15" hidden="1">
      <c r="H897" s="1">
        <f t="shared" si="62"/>
        <v>0</v>
      </c>
    </row>
    <row r="898" ht="15" hidden="1">
      <c r="H898" s="1">
        <f t="shared" si="62"/>
        <v>0</v>
      </c>
    </row>
    <row r="899" ht="15" hidden="1">
      <c r="H899" s="1">
        <f t="shared" si="62"/>
        <v>0</v>
      </c>
    </row>
    <row r="900" ht="15" hidden="1">
      <c r="H900" s="1">
        <f t="shared" si="62"/>
        <v>0</v>
      </c>
    </row>
    <row r="901" ht="15" hidden="1">
      <c r="H901" s="1">
        <f t="shared" si="62"/>
        <v>0</v>
      </c>
    </row>
    <row r="902" ht="15" hidden="1">
      <c r="H902" s="1">
        <f t="shared" si="62"/>
        <v>0</v>
      </c>
    </row>
    <row r="903" ht="15" hidden="1">
      <c r="H903" s="1">
        <f t="shared" si="62"/>
        <v>0</v>
      </c>
    </row>
    <row r="904" ht="15" hidden="1">
      <c r="H904" s="1">
        <f t="shared" si="62"/>
        <v>0</v>
      </c>
    </row>
    <row r="905" ht="15" hidden="1">
      <c r="H905" s="1">
        <f t="shared" si="62"/>
        <v>0</v>
      </c>
    </row>
    <row r="906" ht="15" hidden="1">
      <c r="H906" s="1">
        <f t="shared" si="62"/>
        <v>0</v>
      </c>
    </row>
    <row r="907" ht="15" hidden="1">
      <c r="H907" s="1">
        <f t="shared" si="62"/>
        <v>0</v>
      </c>
    </row>
    <row r="908" ht="15" hidden="1">
      <c r="H908" s="1">
        <f t="shared" si="62"/>
        <v>0</v>
      </c>
    </row>
    <row r="909" ht="15" hidden="1">
      <c r="H909" s="1">
        <f t="shared" si="62"/>
        <v>0</v>
      </c>
    </row>
    <row r="910" ht="15" hidden="1">
      <c r="H910" s="1">
        <f t="shared" si="62"/>
        <v>0</v>
      </c>
    </row>
    <row r="911" ht="15" hidden="1">
      <c r="H911" s="1">
        <f t="shared" si="62"/>
        <v>0</v>
      </c>
    </row>
    <row r="912" ht="15" hidden="1">
      <c r="H912" s="1">
        <f t="shared" si="62"/>
        <v>0</v>
      </c>
    </row>
    <row r="913" ht="15" hidden="1">
      <c r="H913" s="1">
        <f t="shared" si="62"/>
        <v>0</v>
      </c>
    </row>
    <row r="914" ht="15" hidden="1">
      <c r="H914" s="1">
        <f t="shared" si="62"/>
        <v>0</v>
      </c>
    </row>
    <row r="915" ht="15" hidden="1">
      <c r="H915" s="1">
        <f t="shared" si="62"/>
        <v>0</v>
      </c>
    </row>
    <row r="916" ht="15" hidden="1">
      <c r="H916" s="1">
        <f t="shared" si="62"/>
        <v>0</v>
      </c>
    </row>
    <row r="917" ht="15" hidden="1">
      <c r="H917" s="1">
        <f t="shared" si="62"/>
        <v>0</v>
      </c>
    </row>
    <row r="918" ht="15" hidden="1">
      <c r="H918" s="1">
        <f t="shared" si="62"/>
        <v>0</v>
      </c>
    </row>
    <row r="919" ht="15" hidden="1">
      <c r="H919" s="1">
        <f t="shared" si="62"/>
        <v>0</v>
      </c>
    </row>
    <row r="920" ht="15" hidden="1">
      <c r="H920" s="1">
        <f t="shared" si="62"/>
        <v>0</v>
      </c>
    </row>
    <row r="921" ht="15" hidden="1">
      <c r="H921" s="1">
        <f t="shared" si="62"/>
        <v>0</v>
      </c>
    </row>
    <row r="922" ht="15" hidden="1">
      <c r="H922" s="1">
        <f t="shared" si="62"/>
        <v>0</v>
      </c>
    </row>
    <row r="923" ht="15" hidden="1">
      <c r="H923" s="1">
        <f t="shared" si="62"/>
        <v>0</v>
      </c>
    </row>
    <row r="924" ht="15" hidden="1">
      <c r="H924" s="1">
        <f t="shared" si="62"/>
        <v>0</v>
      </c>
    </row>
    <row r="925" ht="15" hidden="1">
      <c r="H925" s="1">
        <f t="shared" si="62"/>
        <v>0</v>
      </c>
    </row>
    <row r="926" ht="15" hidden="1">
      <c r="H926" s="1">
        <f t="shared" si="62"/>
        <v>0</v>
      </c>
    </row>
    <row r="927" ht="15" hidden="1">
      <c r="H927" s="1">
        <f t="shared" si="62"/>
        <v>0</v>
      </c>
    </row>
    <row r="928" ht="15" hidden="1">
      <c r="H928" s="1">
        <f t="shared" si="62"/>
        <v>0</v>
      </c>
    </row>
    <row r="929" ht="15" hidden="1">
      <c r="H929" s="1">
        <f t="shared" si="62"/>
        <v>0</v>
      </c>
    </row>
    <row r="930" ht="15" hidden="1">
      <c r="H930" s="1">
        <f t="shared" si="62"/>
        <v>0</v>
      </c>
    </row>
    <row r="931" ht="15" hidden="1">
      <c r="H931" s="1">
        <f t="shared" si="62"/>
        <v>0</v>
      </c>
    </row>
    <row r="932" ht="15" hidden="1">
      <c r="H932" s="1">
        <f t="shared" ref="H932:H995" si="63">G932-F932</f>
        <v>0</v>
      </c>
    </row>
    <row r="933" ht="15" hidden="1">
      <c r="H933" s="1">
        <f t="shared" si="63"/>
        <v>0</v>
      </c>
    </row>
    <row r="934" ht="15" hidden="1">
      <c r="H934" s="1">
        <f t="shared" si="63"/>
        <v>0</v>
      </c>
    </row>
    <row r="935" ht="15" hidden="1">
      <c r="H935" s="1">
        <f t="shared" si="63"/>
        <v>0</v>
      </c>
    </row>
    <row r="936" ht="15" hidden="1">
      <c r="H936" s="1">
        <f t="shared" si="63"/>
        <v>0</v>
      </c>
    </row>
    <row r="937" ht="15" hidden="1">
      <c r="H937" s="1">
        <f t="shared" si="63"/>
        <v>0</v>
      </c>
    </row>
    <row r="938" ht="15" hidden="1">
      <c r="H938" s="1">
        <f t="shared" si="63"/>
        <v>0</v>
      </c>
    </row>
    <row r="939" ht="15" hidden="1">
      <c r="H939" s="1">
        <f t="shared" si="63"/>
        <v>0</v>
      </c>
    </row>
    <row r="940" ht="15" hidden="1">
      <c r="H940" s="1">
        <f t="shared" si="63"/>
        <v>0</v>
      </c>
    </row>
    <row r="941" ht="15" hidden="1">
      <c r="H941" s="1">
        <f t="shared" si="63"/>
        <v>0</v>
      </c>
    </row>
    <row r="942" ht="15" hidden="1">
      <c r="H942" s="1">
        <f t="shared" si="63"/>
        <v>0</v>
      </c>
    </row>
    <row r="943" ht="15" hidden="1">
      <c r="H943" s="1">
        <f t="shared" si="63"/>
        <v>0</v>
      </c>
    </row>
    <row r="944" ht="15" hidden="1">
      <c r="H944" s="1">
        <f t="shared" si="63"/>
        <v>0</v>
      </c>
    </row>
    <row r="945" ht="15" hidden="1">
      <c r="H945" s="1">
        <f t="shared" si="63"/>
        <v>0</v>
      </c>
    </row>
    <row r="946" ht="15" hidden="1">
      <c r="H946" s="1">
        <f t="shared" si="63"/>
        <v>0</v>
      </c>
    </row>
    <row r="947" ht="15" hidden="1">
      <c r="H947" s="1">
        <f t="shared" si="63"/>
        <v>0</v>
      </c>
    </row>
    <row r="948" ht="15" hidden="1">
      <c r="H948" s="1">
        <f t="shared" si="63"/>
        <v>0</v>
      </c>
    </row>
    <row r="949" ht="15" hidden="1">
      <c r="H949" s="1">
        <f t="shared" si="63"/>
        <v>0</v>
      </c>
    </row>
    <row r="950" ht="15" hidden="1">
      <c r="H950" s="1">
        <f t="shared" si="63"/>
        <v>0</v>
      </c>
    </row>
    <row r="951" ht="15" hidden="1">
      <c r="H951" s="1">
        <f t="shared" si="63"/>
        <v>0</v>
      </c>
    </row>
    <row r="952" ht="15" hidden="1">
      <c r="H952" s="1">
        <f t="shared" si="63"/>
        <v>0</v>
      </c>
    </row>
    <row r="953" ht="15" hidden="1">
      <c r="H953" s="1">
        <f t="shared" si="63"/>
        <v>0</v>
      </c>
    </row>
    <row r="954" ht="15" hidden="1">
      <c r="H954" s="1">
        <f t="shared" si="63"/>
        <v>0</v>
      </c>
    </row>
    <row r="955" ht="15" hidden="1">
      <c r="H955" s="1">
        <f t="shared" si="63"/>
        <v>0</v>
      </c>
    </row>
    <row r="956" ht="15" hidden="1">
      <c r="H956" s="1">
        <f t="shared" si="63"/>
        <v>0</v>
      </c>
    </row>
    <row r="957" ht="15" hidden="1">
      <c r="H957" s="1">
        <f t="shared" si="63"/>
        <v>0</v>
      </c>
    </row>
    <row r="958" ht="15" hidden="1">
      <c r="H958" s="1">
        <f t="shared" si="63"/>
        <v>0</v>
      </c>
    </row>
    <row r="959" ht="15" hidden="1">
      <c r="H959" s="1">
        <f t="shared" si="63"/>
        <v>0</v>
      </c>
    </row>
    <row r="960" ht="15" hidden="1">
      <c r="H960" s="1">
        <f t="shared" si="63"/>
        <v>0</v>
      </c>
    </row>
    <row r="961" ht="15" hidden="1">
      <c r="H961" s="1">
        <f t="shared" si="63"/>
        <v>0</v>
      </c>
    </row>
    <row r="962" ht="15" hidden="1">
      <c r="H962" s="1">
        <f t="shared" si="63"/>
        <v>0</v>
      </c>
    </row>
    <row r="963" ht="15" hidden="1">
      <c r="H963" s="1">
        <f t="shared" si="63"/>
        <v>0</v>
      </c>
    </row>
    <row r="964" ht="15" hidden="1">
      <c r="H964" s="1">
        <f t="shared" si="63"/>
        <v>0</v>
      </c>
    </row>
    <row r="965" ht="15" hidden="1">
      <c r="H965" s="1">
        <f t="shared" si="63"/>
        <v>0</v>
      </c>
    </row>
    <row r="966" ht="15" hidden="1">
      <c r="H966" s="1">
        <f t="shared" si="63"/>
        <v>0</v>
      </c>
    </row>
    <row r="967" ht="15" hidden="1">
      <c r="H967" s="1">
        <f t="shared" si="63"/>
        <v>0</v>
      </c>
    </row>
    <row r="968" ht="15" hidden="1">
      <c r="H968" s="1">
        <f t="shared" si="63"/>
        <v>0</v>
      </c>
    </row>
    <row r="969" ht="15" hidden="1">
      <c r="H969" s="1">
        <f t="shared" si="63"/>
        <v>0</v>
      </c>
    </row>
    <row r="970" ht="15" hidden="1">
      <c r="H970" s="1">
        <f t="shared" si="63"/>
        <v>0</v>
      </c>
    </row>
    <row r="971" ht="15" hidden="1">
      <c r="H971" s="1">
        <f t="shared" si="63"/>
        <v>0</v>
      </c>
    </row>
    <row r="972" ht="15" hidden="1">
      <c r="H972" s="1">
        <f t="shared" si="63"/>
        <v>0</v>
      </c>
    </row>
    <row r="973" ht="15" hidden="1">
      <c r="H973" s="1">
        <f t="shared" si="63"/>
        <v>0</v>
      </c>
    </row>
    <row r="974" ht="15" hidden="1">
      <c r="H974" s="1">
        <f t="shared" si="63"/>
        <v>0</v>
      </c>
    </row>
    <row r="975" ht="15" hidden="1">
      <c r="H975" s="1">
        <f t="shared" si="63"/>
        <v>0</v>
      </c>
    </row>
    <row r="976" ht="15" hidden="1">
      <c r="H976" s="1">
        <f t="shared" si="63"/>
        <v>0</v>
      </c>
    </row>
    <row r="977" ht="15" hidden="1">
      <c r="H977" s="1">
        <f t="shared" si="63"/>
        <v>0</v>
      </c>
    </row>
    <row r="978" ht="15" hidden="1">
      <c r="H978" s="1">
        <f t="shared" si="63"/>
        <v>0</v>
      </c>
    </row>
    <row r="979" ht="15" hidden="1">
      <c r="H979" s="1">
        <f t="shared" si="63"/>
        <v>0</v>
      </c>
    </row>
    <row r="980" ht="15" hidden="1">
      <c r="H980" s="1">
        <f t="shared" si="63"/>
        <v>0</v>
      </c>
    </row>
    <row r="981" ht="15" hidden="1">
      <c r="H981" s="1">
        <f t="shared" si="63"/>
        <v>0</v>
      </c>
    </row>
    <row r="982" ht="15" hidden="1">
      <c r="H982" s="1">
        <f t="shared" si="63"/>
        <v>0</v>
      </c>
    </row>
    <row r="983" ht="15" hidden="1">
      <c r="H983" s="1">
        <f t="shared" si="63"/>
        <v>0</v>
      </c>
    </row>
    <row r="984" ht="15" hidden="1">
      <c r="H984" s="1">
        <f t="shared" si="63"/>
        <v>0</v>
      </c>
    </row>
    <row r="985" ht="15" hidden="1">
      <c r="H985" s="1">
        <f t="shared" si="63"/>
        <v>0</v>
      </c>
    </row>
    <row r="986" ht="15" hidden="1">
      <c r="H986" s="1">
        <f t="shared" si="63"/>
        <v>0</v>
      </c>
    </row>
    <row r="987" ht="15" hidden="1">
      <c r="H987" s="1">
        <f t="shared" si="63"/>
        <v>0</v>
      </c>
    </row>
    <row r="988" ht="15" hidden="1">
      <c r="H988" s="1">
        <f t="shared" si="63"/>
        <v>0</v>
      </c>
    </row>
    <row r="989" ht="15" hidden="1">
      <c r="H989" s="1">
        <f t="shared" si="63"/>
        <v>0</v>
      </c>
    </row>
    <row r="990" ht="15" hidden="1">
      <c r="H990" s="1">
        <f t="shared" si="63"/>
        <v>0</v>
      </c>
    </row>
    <row r="991" ht="15" hidden="1">
      <c r="H991" s="1">
        <f t="shared" si="63"/>
        <v>0</v>
      </c>
    </row>
    <row r="992" ht="15" hidden="1">
      <c r="H992" s="1">
        <f t="shared" si="63"/>
        <v>0</v>
      </c>
    </row>
    <row r="993" ht="15" hidden="1">
      <c r="H993" s="1">
        <f t="shared" si="63"/>
        <v>0</v>
      </c>
    </row>
    <row r="994" ht="15" hidden="1">
      <c r="H994" s="1">
        <f t="shared" si="63"/>
        <v>0</v>
      </c>
    </row>
    <row r="995" ht="15" hidden="1">
      <c r="H995" s="1">
        <f t="shared" si="63"/>
        <v>0</v>
      </c>
    </row>
    <row r="996" ht="15" hidden="1">
      <c r="H996" s="1">
        <f t="shared" ref="H996:H999" si="64">G996-F996</f>
        <v>0</v>
      </c>
    </row>
    <row r="997" ht="15" hidden="1">
      <c r="H997" s="1">
        <f t="shared" si="64"/>
        <v>0</v>
      </c>
    </row>
    <row r="998" ht="15" hidden="1">
      <c r="H998" s="1">
        <f t="shared" si="64"/>
        <v>0</v>
      </c>
    </row>
    <row r="999" ht="15" hidden="1">
      <c r="H999" s="1">
        <f t="shared" si="64"/>
        <v>0</v>
      </c>
    </row>
    <row r="1000" ht="15" hidden="1">
      <c r="H1000" s="1">
        <f>G1000-F1000</f>
        <v>0</v>
      </c>
    </row>
  </sheetData>
  <autoFilter ref="A1:I1000">
    <filterColumn colId="5">
      <filters>
        <filter val="7480908"/>
        <filter val="7900714"/>
        <filter val="7909999"/>
        <filter val="7940222"/>
        <filter val="8161117"/>
        <filter val="8390421"/>
        <filter val="8600508"/>
        <filter val="8610306"/>
        <filter val="8840331"/>
        <filter val="8860817"/>
        <filter val="9090219"/>
        <filter val="9110327"/>
        <filter val="9211012"/>
        <filter val="9431231"/>
        <filter val="9451115"/>
        <filter val="9510825"/>
        <filter val="9600424"/>
        <filter val="9630624"/>
        <filter val="9690708"/>
        <filter val="9861219"/>
        <filter val="9890331"/>
        <filter val="10019999"/>
        <filter val="10020720"/>
        <filter val="10021101"/>
        <filter val="10040617"/>
        <filter val="10051207"/>
        <filter val="10061207"/>
        <filter val="10070423"/>
        <filter val="10070527"/>
        <filter val="10070930"/>
        <filter val="10100419"/>
        <filter val="10150531"/>
        <filter val="10150601"/>
        <filter val="10170630"/>
        <filter val="10191213"/>
        <filter val="10250831"/>
        <filter val="10300331"/>
        <filter val="10361112"/>
        <filter val="10401104"/>
        <filter val="10451017"/>
        <filter val="10470103"/>
        <filter val="10540710"/>
        <filter val="10551231"/>
        <filter val="10660227"/>
        <filter val="10661231"/>
        <filter val="10720819"/>
        <filter val="10730303"/>
        <filter val="10750212"/>
        <filter val="10751001"/>
        <filter val="10780827"/>
        <filter val="10820429"/>
        <filter val="10821218"/>
        <filter val="10930101"/>
        <filter val="10930606"/>
        <filter val="10940729"/>
        <filter val="10941030"/>
        <filter val="10950308"/>
        <filter val="10960408"/>
        <filter val="10990125"/>
        <filter val="10990326"/>
        <filter val="11001130"/>
        <filter val="11010401"/>
        <filter val="11020503"/>
        <filter val="11040227"/>
        <filter val="11069999"/>
        <filter val="11070921"/>
        <filter val="11090414"/>
        <filter val="11090424"/>
        <filter val="11121231"/>
        <filter val="11141231"/>
        <filter val="11151101"/>
        <filter val="11151231"/>
        <filter val="11220123"/>
        <filter val="11220327"/>
        <filter val="11240113"/>
        <filter val="11241031"/>
        <filter val="11250799"/>
        <filter val="11320626"/>
        <filter val="11331010"/>
        <filter val="11340428"/>
        <filter val="11370101"/>
        <filter val="11371231"/>
        <filter val="11380131"/>
        <filter val="11380430"/>
        <filter val="11390109"/>
        <filter val="11390409"/>
        <filter val="11391231"/>
        <filter val="11399999"/>
        <filter val="11410504"/>
        <filter val="11420131"/>
        <filter val="11421231"/>
        <filter val="11439999"/>
        <filter val="11440725"/>
        <filter val="11450317"/>
        <filter val="11450428"/>
        <filter val="11470101"/>
        <filter val="11510202"/>
        <filter val="11530124"/>
        <filter val="11550204"/>
        <filter val="11560108"/>
        <filter val="11580522"/>
        <filter val="11619999"/>
        <filter val="11640499"/>
        <filter val="11670120"/>
        <filter val="11681221"/>
        <filter val="11700899"/>
        <filter val="11711231"/>
        <filter val="11791231"/>
        <filter val="11810630"/>
        <filter val="11811231"/>
        <filter val="11820124"/>
        <filter val="11830703"/>
        <filter val="11839999"/>
        <filter val="11841104"/>
        <filter val="11871001"/>
        <filter val="11880101"/>
        <filter val="11881214"/>
        <filter val="11901231"/>
        <filter val="11910609"/>
        <filter val="11930629"/>
        <filter val="11940102"/>
        <filter val="11940925"/>
        <filter val="11970325"/>
        <filter val="11970399"/>
        <filter val="11980309"/>
        <filter val="11980727"/>
        <filter val="11981231"/>
        <filter val="11990331"/>
        <filter val="12000409"/>
        <filter val="12000901"/>
        <filter val="12001231"/>
        <filter val="12010118"/>
        <filter val="12020608"/>
        <filter val="12030228"/>
        <filter val="12030327"/>
        <filter val="12040404"/>
        <filter val="12040430"/>
        <filter val="12051110"/>
        <filter val="12070226"/>
        <filter val="12070403"/>
        <filter val="12080826"/>
        <filter val="12090403"/>
        <filter val="12110413"/>
        <filter val="12120111"/>
        <filter val="12121208"/>
        <filter val="12131231"/>
        <filter val="12140906"/>
        <filter val="12160419"/>
        <filter val="12170708"/>
        <filter val="12180513"/>
        <filter val="12191206"/>
        <filter val="12200101"/>
        <filter val="12200108"/>
        <filter val="12210924"/>
        <filter val="12211120"/>
        <filter val="12220119"/>
        <filter val="12220220"/>
        <filter val="12230201"/>
        <filter val="12240513"/>
        <filter val="12261231"/>
        <filter val="12270319"/>
        <filter val="12270430"/>
        <filter val="12270801"/>
        <filter val="12270902"/>
        <filter val="12270914"/>
        <filter val="12280711"/>
        <filter val="12290220"/>
        <filter val="12320609"/>
        <filter val="12320711"/>
        <filter val="12330825"/>
        <filter val="12340219"/>
        <filter val="12341207"/>
        <filter val="12370210"/>
        <filter val="12370725"/>
        <filter val="12380312"/>
        <filter val="12380725"/>
        <filter val="12381015"/>
        <filter val="12391126"/>
        <filter val="12409999"/>
        <filter val="12420430"/>
        <filter val="12430629"/>
        <filter val="12430829"/>
        <filter val="12431014"/>
        <filter val="12431117"/>
        <filter val="12440415"/>
        <filter val="12450129"/>
        <filter val="12460125"/>
        <filter val="12460920"/>
        <filter val="12461112"/>
        <filter val="12461126"/>
        <filter val="12479999"/>
        <filter val="12491231"/>
        <filter val="12501006"/>
        <filter val="12510128"/>
        <filter val="12520201"/>
        <filter val="12520312"/>
        <filter val="12520430"/>
        <filter val="12529999"/>
        <filter val="12530602"/>
        <filter val="12550204"/>
        <filter val="12550320"/>
        <filter val="12550323"/>
        <filter val="12550330"/>
        <filter val="12550409"/>
        <filter val="12551031"/>
        <filter val="12551212"/>
        <filter val="12559999"/>
        <filter val="12560126"/>
        <filter val="12561223"/>
        <filter val="12569999"/>
        <filter val="12570730"/>
        <filter val="12570808"/>
        <filter val="12580107"/>
        <filter val="12580223"/>
        <filter val="12590713"/>
        <filter val="12600105"/>
        <filter val="12611020"/>
        <filter val="12630324"/>
        <filter val="12630507"/>
        <filter val="12631231"/>
        <filter val="12640418"/>
        <filter val="12650504"/>
        <filter val="12650509"/>
        <filter val="12680207"/>
        <filter val="12681231"/>
        <filter val="12700408"/>
        <filter val="12720521"/>
        <filter val="12730114"/>
        <filter val="12731122"/>
        <filter val="12731219"/>
        <filter val="12740310"/>
        <filter val="12750120"/>
        <filter val="12760828"/>
        <filter val="12761231"/>
        <filter val="12780211"/>
        <filter val="12780727"/>
        <filter val="12781228"/>
        <filter val="12800703"/>
        <filter val="12820905"/>
        <filter val="12820926"/>
        <filter val="12821019"/>
        <filter val="12831121"/>
        <filter val="12850701"/>
        <filter val="12851208"/>
        <filter val="12860226"/>
        <filter val="12870226"/>
        <filter val="12880202"/>
        <filter val="12880728"/>
        <filter val="12881125"/>
        <filter val="12890106"/>
        <filter val="12890503"/>
        <filter val="12899999"/>
        <filter val="12921124"/>
        <filter val="12930131"/>
        <filter val="12930226"/>
        <filter val="12931229"/>
        <filter val="12940524"/>
        <filter val="12950921"/>
        <filter val="12951006"/>
        <filter val="12960121"/>
        <filter val="12961018"/>
        <filter val="12970718"/>
        <filter val="12980110"/>
        <filter val="12981211"/>
        <filter val="12990224"/>
        <filter val="12990521"/>
        <filter val="12990824"/>
        <filter val="12991222"/>
        <filter val="13000312"/>
        <filter val="13020329"/>
        <filter val="13020616"/>
        <filter val="13030217"/>
        <filter val="13040131"/>
        <filter val="13040228"/>
        <filter val="13040318"/>
        <filter val="13050325"/>
        <filter val="13051217"/>
        <filter val="13070202"/>
        <filter val="13071113"/>
        <filter val="13090105"/>
        <filter val="13100927"/>
        <filter val="13101206"/>
        <filter val="13120617"/>
        <filter val="13131201"/>
        <filter val="13150228"/>
        <filter val="13150499"/>
        <filter val="13151007"/>
        <filter val="13161021"/>
        <filter val="13170609"/>
        <filter val="13170829"/>
        <filter val="13180911"/>
        <filter val="13211214"/>
        <filter val="13260215"/>
        <filter val="13260425"/>
        <filter val="13260929"/>
        <filter val="13280201"/>
        <filter val="13300423"/>
        <filter val="13320325"/>
        <filter val="13320713"/>
        <filter val="13330315"/>
        <filter val="13330616"/>
        <filter val="13331126"/>
        <filter val="13340205"/>
        <filter val="13340601"/>
        <filter val="13360312"/>
        <filter val="13380325"/>
        <filter val="13380503"/>
        <filter val="13380826"/>
        <filter val="13390304"/>
        <filter val="13400831"/>
        <filter val="13401008"/>
        <filter val="13420207"/>
        <filter val="13420419"/>
        <filter val="13420509"/>
        <filter val="13420805"/>
        <filter val="13420824"/>
        <filter val="13430108"/>
        <filter val="13440121"/>
        <filter val="13440912"/>
        <filter val="13441009"/>
        <filter val="13450821"/>
        <filter val="13460509"/>
        <filter val="13480107"/>
        <filter val="13490312"/>
        <filter val="13490529"/>
        <filter val="13490723"/>
        <filter val="13490829"/>
        <filter val="13500202"/>
        <filter val="13501123"/>
        <filter val="13520329"/>
        <filter val="13560305"/>
        <filter val="13560601"/>
        <filter val="13570518"/>
        <filter val="13580406"/>
        <filter val="13581202"/>
        <filter val="13600106"/>
        <filter val="13620202"/>
        <filter val="13630301"/>
        <filter val="13640215"/>
        <filter val="13640507"/>
        <filter val="13670512"/>
        <filter val="13681111"/>
        <filter val="13681213"/>
        <filter val="13721111"/>
        <filter val="13730926"/>
        <filter val="13740314"/>
        <filter val="13740917"/>
        <filter val="13779999"/>
        <filter val="13780922"/>
        <filter val="13790107"/>
        <filter val="13800228"/>
        <filter val="13810530"/>
        <filter val="13810827"/>
        <filter val="13820226"/>
        <filter val="13830913"/>
        <filter val="13849999"/>
        <filter val="13851210"/>
        <filter val="13860212"/>
        <filter val="13900110"/>
        <filter val="13901224"/>
        <filter val="13910926"/>
        <filter val="13921114"/>
        <filter val="13930615"/>
        <filter val="13950529"/>
        <filter val="13950605"/>
        <filter val="13960000"/>
        <filter val="13980525"/>
        <filter val="13990602"/>
        <filter val="14000719"/>
        <filter val="14010825"/>
        <filter val="14031214"/>
        <filter val="14040217"/>
        <filter val="14050807"/>
        <filter val="14070511"/>
        <filter val="14080214"/>
        <filter val="14080506"/>
        <filter val="14100510"/>
        <filter val="14140806"/>
        <filter val="14160424"/>
        <filter val="14181231"/>
        <filter val="14220503"/>
        <filter val="14220805"/>
        <filter val="14221126"/>
        <filter val="14261112"/>
        <filter val="14300107"/>
        <filter val="14301130"/>
        <filter val="14330810"/>
        <filter val="14340531"/>
        <filter val="14340929"/>
        <filter val="14360801"/>
        <filter val="14420331"/>
        <filter val="14430522"/>
        <filter val="14440418"/>
        <filter val="14441121"/>
        <filter val="14480309"/>
        <filter val="14500601"/>
        <filter val="14510820"/>
        <filter val="14520720"/>
        <filter val="14560122"/>
        <filter val="14560305"/>
        <filter val="14561107"/>
        <filter val="14580312"/>
        <filter val="14670714"/>
        <filter val="14680325"/>
        <filter val="14711127"/>
        <filter val="14760406"/>
        <filter val="14761011"/>
        <filter val="14790124"/>
        <filter val="14820312"/>
        <filter val="14830404"/>
        <filter val="14930926"/>
        <filter val="14940119"/>
        <filter val="14990913"/>
        <filter val="15010624"/>
        <filter val="15110205"/>
        <filter val="15111007"/>
        <filter val="15310623"/>
        <filter val="15409999"/>
        <filter val="15420501"/>
        <filter val="15500922"/>
        <filter val="15610602"/>
        <filter val="15830507"/>
        <filter val="15961231"/>
        <filter val="16180916"/>
        <filter val="16330904"/>
        <filter val="16370929"/>
        <filter val="16381120"/>
        <filter val="16490302"/>
        <filter val="16571023"/>
        <filter val="16580408"/>
        <filter val="16600417"/>
        <filter val="16680415"/>
        <filter val="16690327"/>
        <filter val="16691004"/>
        <filter val="16790622"/>
        <filter val="16840302"/>
        <filter val="16840513"/>
        <filter val="16860713"/>
        <filter val="17100403"/>
        <filter val="17110820"/>
        <filter val="17240309"/>
        <filter val="17341027"/>
        <filter val="18530304"/>
        <filter val="18890927"/>
      </filters>
    </filterColumn>
    <sortState ref="A2:I1000">
      <sortCondition ref="A2:A1000"/>
    </sortState>
  </autoFilter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4.4296875" defaultRowHeight="15" customHeight="1"/>
  <sheetData/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2" ySplit="1" topLeftCell="C2" activePane="bottomRight" state="frozen"/>
      <selection activeCell="C2" activeCellId="0" sqref="C2"/>
    </sheetView>
  </sheetViews>
  <sheetFormatPr defaultColWidth="14.4296875" defaultRowHeight="15" customHeight="1"/>
  <cols>
    <col customWidth="1" min="1" max="1" style="1" width="41.299999999999997"/>
    <col customWidth="1" min="5" max="5" style="1" width="26.859999999999999"/>
  </cols>
  <sheetData>
    <row r="1" ht="15">
      <c r="A1" s="12" t="s">
        <v>2005</v>
      </c>
      <c r="B1" s="12" t="s">
        <v>2006</v>
      </c>
      <c r="C1" s="12" t="s">
        <v>2007</v>
      </c>
      <c r="D1" s="13" t="s">
        <v>0</v>
      </c>
      <c r="E1" s="12" t="str">
        <f>VLOOKUP(D1,fonds!$A$1:$B$495,2,FALSE())</f>
        <v>fondsid</v>
      </c>
      <c r="F1" s="14" t="s">
        <v>2008</v>
      </c>
      <c r="G1" s="14" t="s">
        <v>2009</v>
      </c>
      <c r="H1" s="14" t="s">
        <v>2010</v>
      </c>
      <c r="I1" s="14" t="s">
        <v>2011</v>
      </c>
      <c r="J1" s="14" t="s">
        <v>2012</v>
      </c>
      <c r="K1" s="14" t="s">
        <v>2013</v>
      </c>
      <c r="L1" s="14" t="s">
        <v>2014</v>
      </c>
      <c r="M1" s="15" t="s">
        <v>2015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">
      <c r="A2" s="16" t="s">
        <v>2016</v>
      </c>
      <c r="B2" s="16"/>
      <c r="C2" s="16" t="s">
        <v>2017</v>
      </c>
      <c r="D2" s="17" t="s">
        <v>1946</v>
      </c>
      <c r="E2" s="16" t="str">
        <f>VLOOKUP(D2,fonds!$A$1:$B$495,2,FALSE())</f>
        <v>IT-BSNSP/08-S_Maria_della_Grotta</v>
      </c>
      <c r="F2" s="18">
        <v>12188697</v>
      </c>
      <c r="G2" s="19">
        <v>4119284</v>
      </c>
      <c r="H2" s="19">
        <v>146161</v>
      </c>
      <c r="I2" s="16" t="s">
        <v>2018</v>
      </c>
      <c r="J2" s="16" t="s">
        <v>2019</v>
      </c>
      <c r="K2" s="16" t="s">
        <v>2020</v>
      </c>
      <c r="L2" s="16"/>
    </row>
    <row r="3" ht="15">
      <c r="A3" s="16" t="s">
        <v>2021</v>
      </c>
      <c r="B3" s="16" t="s">
        <v>2022</v>
      </c>
      <c r="C3" s="16"/>
      <c r="D3" s="20" t="s">
        <v>356</v>
      </c>
      <c r="E3" s="16" t="str">
        <f>VLOOKUP(D3,fonds!$A$1:$B$495,2,FALSE())</f>
        <v>AT-HHStA/AdmontOSB</v>
      </c>
      <c r="F3" s="18">
        <v>2782979</v>
      </c>
      <c r="G3" s="19">
        <v>4757537</v>
      </c>
      <c r="H3" s="19">
        <v>1446075</v>
      </c>
      <c r="I3" s="16" t="s">
        <v>2021</v>
      </c>
      <c r="J3" s="16" t="s">
        <v>2023</v>
      </c>
      <c r="K3" s="16" t="s">
        <v>2024</v>
      </c>
      <c r="L3" s="16"/>
    </row>
    <row r="4" ht="15">
      <c r="A4" s="16" t="s">
        <v>2025</v>
      </c>
      <c r="B4" s="16" t="s">
        <v>2026</v>
      </c>
      <c r="C4" s="16"/>
      <c r="D4" s="17" t="s">
        <v>539</v>
      </c>
      <c r="E4" s="16" t="str">
        <f>VLOOKUP(D4,fonds!$A$1:$B$495,2,FALSE())</f>
        <v>AT-StiASchl/Urkunden</v>
      </c>
      <c r="F4" s="18">
        <v>2782860</v>
      </c>
      <c r="G4" s="19">
        <v>4864578</v>
      </c>
      <c r="H4" s="19">
        <v>1397109</v>
      </c>
      <c r="I4" s="16" t="s">
        <v>2027</v>
      </c>
      <c r="J4" s="16" t="s">
        <v>2023</v>
      </c>
      <c r="K4" s="16" t="s">
        <v>2028</v>
      </c>
      <c r="L4" s="16"/>
    </row>
    <row r="5" ht="15">
      <c r="A5" s="16" t="s">
        <v>2029</v>
      </c>
      <c r="B5" s="16" t="s">
        <v>2030</v>
      </c>
      <c r="C5" s="16" t="s">
        <v>2031</v>
      </c>
      <c r="D5" s="17" t="s">
        <v>1090</v>
      </c>
      <c r="E5" s="16" t="str">
        <f>VLOOKUP(D5,fonds!$A$1:$B$495,2,FALSE())</f>
        <v>DE-BayHStA/KUAldersbach</v>
      </c>
      <c r="F5" s="18">
        <v>2958577</v>
      </c>
      <c r="G5" s="19">
        <v>4858972</v>
      </c>
      <c r="H5" s="19">
        <v>1308971</v>
      </c>
      <c r="I5" s="16" t="s">
        <v>2029</v>
      </c>
      <c r="J5" s="16" t="s">
        <v>2032</v>
      </c>
      <c r="K5" s="16" t="s">
        <v>2033</v>
      </c>
      <c r="L5" s="16"/>
    </row>
    <row r="6" ht="15">
      <c r="A6" s="16" t="s">
        <v>2034</v>
      </c>
      <c r="B6" s="16" t="s">
        <v>2035</v>
      </c>
      <c r="C6" s="16"/>
      <c r="D6" s="17" t="s">
        <v>224</v>
      </c>
      <c r="E6" s="16" t="str">
        <f>VLOOKUP(D6,fonds!$A$1:$B$495,2,FALSE())</f>
        <v>AT-HHStA/ZwettlOCist</v>
      </c>
      <c r="F6" s="18">
        <v>2782800</v>
      </c>
      <c r="G6" s="19">
        <v>4869725</v>
      </c>
      <c r="H6" s="19">
        <v>1532756</v>
      </c>
      <c r="I6" s="16" t="s">
        <v>2036</v>
      </c>
      <c r="J6" s="16" t="s">
        <v>2023</v>
      </c>
      <c r="K6" s="16" t="s">
        <v>2037</v>
      </c>
      <c r="L6" s="16"/>
    </row>
    <row r="7" ht="15">
      <c r="A7" s="16" t="s">
        <v>2038</v>
      </c>
      <c r="B7" s="16" t="s">
        <v>2039</v>
      </c>
      <c r="C7" s="16"/>
      <c r="D7" s="20" t="s">
        <v>1142</v>
      </c>
      <c r="E7" s="16" t="str">
        <f>VLOOKUP(D7,fonds!$A$1:$B$495,2,FALSE())</f>
        <v>DE-GLAK/GLAK_34</v>
      </c>
      <c r="F7" s="18">
        <v>2782797</v>
      </c>
      <c r="G7" s="19">
        <v>4691417</v>
      </c>
      <c r="H7" s="19">
        <v>1555444</v>
      </c>
      <c r="I7" s="16" t="s">
        <v>2040</v>
      </c>
      <c r="J7" s="16" t="s">
        <v>2023</v>
      </c>
      <c r="K7" s="16" t="s">
        <v>2024</v>
      </c>
      <c r="L7" s="16"/>
    </row>
    <row r="8" ht="15">
      <c r="A8" s="16" t="s">
        <v>2041</v>
      </c>
      <c r="B8" s="16" t="s">
        <v>2042</v>
      </c>
      <c r="C8" s="16"/>
      <c r="D8" s="17" t="s">
        <v>40</v>
      </c>
      <c r="E8" s="16" t="str">
        <f>VLOOKUP(D8,fonds!$A$1:$B$495,2,FALSE())</f>
        <v>AT-HHStA/AltenburgOSB</v>
      </c>
      <c r="F8" s="18"/>
      <c r="G8" s="21">
        <v>4864361</v>
      </c>
      <c r="H8" s="21">
        <v>1559465</v>
      </c>
      <c r="I8" s="16" t="s">
        <v>2041</v>
      </c>
      <c r="J8" s="16"/>
      <c r="K8" s="16" t="s">
        <v>2037</v>
      </c>
      <c r="L8" s="16" t="s">
        <v>2043</v>
      </c>
    </row>
    <row r="9" ht="15">
      <c r="A9" s="16" t="s">
        <v>2044</v>
      </c>
      <c r="B9" s="16" t="s">
        <v>2030</v>
      </c>
      <c r="C9" s="16" t="s">
        <v>2045</v>
      </c>
      <c r="D9" s="20" t="s">
        <v>1074</v>
      </c>
      <c r="E9" s="16" t="str">
        <f>VLOOKUP(D9,fonds!$A$1:$B$495,2,FALSE())</f>
        <v>DE-BayHStA/KUAltenhohenau</v>
      </c>
      <c r="F9" s="18">
        <v>2957590</v>
      </c>
      <c r="G9" s="19">
        <v>480204</v>
      </c>
      <c r="H9" s="19">
        <v>1218884</v>
      </c>
      <c r="I9" s="16" t="s">
        <v>2044</v>
      </c>
      <c r="J9" s="16" t="s">
        <v>2046</v>
      </c>
      <c r="K9" s="16" t="s">
        <v>2033</v>
      </c>
      <c r="L9" s="16"/>
    </row>
    <row r="10" ht="15">
      <c r="A10" s="16" t="s">
        <v>2047</v>
      </c>
      <c r="B10" s="16" t="s">
        <v>2030</v>
      </c>
      <c r="C10" s="16" t="s">
        <v>2048</v>
      </c>
      <c r="D10" s="17" t="s">
        <v>1098</v>
      </c>
      <c r="E10" s="16" t="str">
        <f>VLOOKUP(D10,fonds!$A$1:$B$495,2,FALSE())</f>
        <v>DE-BayHStA/KUAltomuenster</v>
      </c>
      <c r="F10" s="18">
        <v>2956951</v>
      </c>
      <c r="G10" s="19">
        <v>4838767</v>
      </c>
      <c r="H10" s="19">
        <v>1125691</v>
      </c>
      <c r="I10" s="16" t="s">
        <v>2049</v>
      </c>
      <c r="J10" s="16" t="s">
        <v>2050</v>
      </c>
      <c r="K10" s="16" t="s">
        <v>2033</v>
      </c>
      <c r="L10" s="16"/>
    </row>
    <row r="11" ht="15">
      <c r="A11" s="16" t="s">
        <v>2051</v>
      </c>
      <c r="B11" s="16" t="s">
        <v>2052</v>
      </c>
      <c r="C11" s="16"/>
      <c r="D11" s="17" t="s">
        <v>1310</v>
      </c>
      <c r="E11" s="16" t="str">
        <f>VLOOKUP(D11,fonds!$A$1:$B$495,2,FALSE())</f>
        <v>DE-UAHD/AlzeyAugustinerkloster</v>
      </c>
      <c r="F11" s="18">
        <v>2956710</v>
      </c>
      <c r="G11" s="19">
        <v>4974657</v>
      </c>
      <c r="H11" s="19">
        <v>811513</v>
      </c>
      <c r="I11" s="16" t="s">
        <v>2051</v>
      </c>
      <c r="J11" s="16" t="s">
        <v>2023</v>
      </c>
      <c r="K11" s="16" t="s">
        <v>2053</v>
      </c>
      <c r="L11" s="16"/>
    </row>
    <row r="12" ht="15">
      <c r="A12" s="16" t="s">
        <v>2054</v>
      </c>
      <c r="B12" s="16" t="s">
        <v>2055</v>
      </c>
      <c r="C12" s="16"/>
      <c r="D12" s="20" t="s">
        <v>2056</v>
      </c>
      <c r="E12" s="16" t="e">
        <f>VLOOKUP(D12,fonds!$A$1:$B$495,2,FALSE())</f>
        <v>#N/A</v>
      </c>
      <c r="F12" s="18">
        <v>2956656</v>
      </c>
      <c r="G12" s="19">
        <v>4944287</v>
      </c>
      <c r="H12" s="19">
        <v>1186267</v>
      </c>
      <c r="I12" s="16" t="s">
        <v>2054</v>
      </c>
      <c r="J12" s="16" t="s">
        <v>2023</v>
      </c>
      <c r="K12" s="16" t="s">
        <v>2033</v>
      </c>
      <c r="L12" s="16"/>
    </row>
    <row r="13" ht="15">
      <c r="A13" s="16" t="s">
        <v>2057</v>
      </c>
      <c r="B13" s="16" t="s">
        <v>2058</v>
      </c>
      <c r="C13" s="16"/>
      <c r="D13" s="20" t="s">
        <v>1674</v>
      </c>
      <c r="E13" s="16" t="str">
        <f>VLOOKUP(D13,fonds!$A$1:$B$495,2,FALSE())</f>
        <v>IT-ASFi/DNArcetri</v>
      </c>
      <c r="F13" s="18">
        <v>3182917</v>
      </c>
      <c r="G13" s="16" t="s">
        <v>2059</v>
      </c>
      <c r="H13" s="19">
        <v>1123333</v>
      </c>
      <c r="I13" s="16" t="s">
        <v>2057</v>
      </c>
      <c r="J13" s="16" t="s">
        <v>2050</v>
      </c>
      <c r="K13" s="16" t="s">
        <v>2060</v>
      </c>
      <c r="L13" s="16"/>
    </row>
    <row r="14" ht="15">
      <c r="A14" s="16" t="s">
        <v>2061</v>
      </c>
      <c r="B14" s="16" t="s">
        <v>2062</v>
      </c>
      <c r="C14" s="16"/>
      <c r="D14" s="20" t="s">
        <v>1714</v>
      </c>
      <c r="E14" s="16" t="str">
        <f>VLOOKUP(D14,fonds!$A$1:$B$495,2,FALSE())</f>
        <v>IT-ASFi/DNArezzoOlivetani</v>
      </c>
      <c r="F14" s="18">
        <v>3182884</v>
      </c>
      <c r="G14" s="19">
        <v>4346276</v>
      </c>
      <c r="H14" s="19">
        <v>1188068</v>
      </c>
      <c r="I14" s="16" t="s">
        <v>2061</v>
      </c>
      <c r="J14" s="16" t="s">
        <v>2063</v>
      </c>
      <c r="K14" s="16" t="s">
        <v>2060</v>
      </c>
      <c r="L14" s="16"/>
    </row>
    <row r="15" ht="15">
      <c r="A15" s="16" t="s">
        <v>2061</v>
      </c>
      <c r="B15" s="16" t="s">
        <v>2064</v>
      </c>
      <c r="C15" s="16"/>
      <c r="D15" s="17" t="s">
        <v>1862</v>
      </c>
      <c r="E15" s="16" t="str">
        <f>VLOOKUP(D15,fonds!$A$1:$B$495,2,FALSE())</f>
        <v>IT-ASFi/DNArezzoDomenicani</v>
      </c>
      <c r="F15" s="18">
        <v>3182884</v>
      </c>
      <c r="G15" s="19">
        <v>4346276</v>
      </c>
      <c r="H15" s="19">
        <v>1188068</v>
      </c>
      <c r="I15" s="16" t="s">
        <v>2061</v>
      </c>
      <c r="J15" s="16" t="s">
        <v>2063</v>
      </c>
      <c r="K15" s="16" t="s">
        <v>2060</v>
      </c>
      <c r="L15" s="16"/>
    </row>
    <row r="16" ht="15">
      <c r="A16" s="16" t="s">
        <v>2061</v>
      </c>
      <c r="B16" s="16" t="s">
        <v>2065</v>
      </c>
      <c r="C16" s="16"/>
      <c r="D16" s="17" t="s">
        <v>1902</v>
      </c>
      <c r="E16" s="16" t="str">
        <f>VLOOKUP(D16,fonds!$A$1:$B$495,2,FALSE())</f>
        <v>IT-ASFi/DNArezzoSMariaNovella</v>
      </c>
      <c r="F16" s="18">
        <v>3182884</v>
      </c>
      <c r="G16" s="19">
        <v>4346276</v>
      </c>
      <c r="H16" s="19">
        <v>1188068</v>
      </c>
      <c r="I16" s="16" t="s">
        <v>2061</v>
      </c>
      <c r="J16" s="16" t="s">
        <v>2063</v>
      </c>
      <c r="K16" s="16" t="s">
        <v>2060</v>
      </c>
      <c r="L16" s="16"/>
    </row>
    <row r="17" ht="15">
      <c r="A17" s="16" t="s">
        <v>1321</v>
      </c>
      <c r="B17" s="16" t="s">
        <v>2066</v>
      </c>
      <c r="C17" s="16"/>
      <c r="D17" s="17" t="s">
        <v>1318</v>
      </c>
      <c r="E17" s="16" t="str">
        <f>VLOOKUP(D17,fonds!$A$1:$B$495,2,FALSE())</f>
        <v>ES-AHN/SantaMariadeArmenteira</v>
      </c>
      <c r="F17" s="18">
        <v>3129506</v>
      </c>
      <c r="G17" s="19">
        <v>4246667</v>
      </c>
      <c r="H17" s="19">
        <v>-873333</v>
      </c>
      <c r="I17" s="16" t="s">
        <v>2067</v>
      </c>
      <c r="J17" s="16" t="s">
        <v>2050</v>
      </c>
      <c r="K17" s="16" t="s">
        <v>2068</v>
      </c>
      <c r="L17" s="16"/>
    </row>
    <row r="18" ht="15">
      <c r="A18" s="16" t="s">
        <v>2069</v>
      </c>
      <c r="B18" s="16" t="s">
        <v>2030</v>
      </c>
      <c r="C18" s="16" t="s">
        <v>2070</v>
      </c>
      <c r="D18" s="20" t="s">
        <v>1110</v>
      </c>
      <c r="E18" s="16" t="str">
        <f>VLOOKUP(D18,fonds!$A$1:$B$495,2,FALSE())</f>
        <v>DE-BayHStA/KUAsbach</v>
      </c>
      <c r="F18" s="18">
        <v>3208324</v>
      </c>
      <c r="G18" s="19">
        <v>4868333</v>
      </c>
      <c r="H18" s="19">
        <v>1081667</v>
      </c>
      <c r="I18" s="16" t="s">
        <v>2071</v>
      </c>
      <c r="J18" s="16" t="s">
        <v>2032</v>
      </c>
      <c r="K18" s="16" t="s">
        <v>2033</v>
      </c>
      <c r="L18" s="16"/>
    </row>
    <row r="19" ht="15">
      <c r="A19" s="16" t="s">
        <v>2072</v>
      </c>
      <c r="B19" s="16"/>
      <c r="C19" s="16" t="s">
        <v>2073</v>
      </c>
      <c r="D19" s="17" t="s">
        <v>20</v>
      </c>
      <c r="E19" s="16" t="str">
        <f>VLOOKUP(D19,fonds!$A$1:$B$495,2,FALSE())</f>
        <v>AT-AWMK/AsparnOFMConv</v>
      </c>
      <c r="F19" s="18">
        <v>2782319</v>
      </c>
      <c r="G19" s="19">
        <v>4858333</v>
      </c>
      <c r="H19" s="22">
        <v>46158</v>
      </c>
      <c r="I19" s="16" t="s">
        <v>2074</v>
      </c>
      <c r="J19" s="16" t="s">
        <v>2023</v>
      </c>
      <c r="K19" s="16" t="s">
        <v>2037</v>
      </c>
      <c r="L19" s="16"/>
    </row>
    <row r="20" ht="15">
      <c r="A20" s="16" t="s">
        <v>2075</v>
      </c>
      <c r="B20" s="16" t="s">
        <v>2076</v>
      </c>
      <c r="C20" s="16"/>
      <c r="D20" s="17" t="s">
        <v>1698</v>
      </c>
      <c r="E20" s="16" t="str">
        <f>VLOOKUP(D20,fonds!$A$1:$B$495,2,FALSE())</f>
        <v>IT-ASFi/DNColtibuonoSLorenzo</v>
      </c>
      <c r="F20" s="18">
        <v>8980619</v>
      </c>
      <c r="G20" s="19">
        <v>4349476</v>
      </c>
      <c r="H20" s="19">
        <v>1144979</v>
      </c>
      <c r="I20" s="16" t="s">
        <v>2077</v>
      </c>
      <c r="J20" s="16" t="s">
        <v>2050</v>
      </c>
      <c r="K20" s="16" t="s">
        <v>2060</v>
      </c>
      <c r="L20" s="16"/>
    </row>
    <row r="21" ht="15">
      <c r="A21" s="16" t="s">
        <v>2078</v>
      </c>
      <c r="B21" s="16" t="s">
        <v>2079</v>
      </c>
      <c r="C21" s="16"/>
      <c r="D21" s="17" t="s">
        <v>1610</v>
      </c>
      <c r="E21" s="16" t="str">
        <f>VLOOKUP(D21,fonds!$A$1:$B$495,2,FALSE())</f>
        <v>IT-ASFi/DNRipoliSBartolomeo</v>
      </c>
      <c r="F21" s="18">
        <v>3182522</v>
      </c>
      <c r="G21" s="19">
        <v>4375115</v>
      </c>
      <c r="H21" s="19">
        <v>1132252</v>
      </c>
      <c r="I21" s="16" t="s">
        <v>2080</v>
      </c>
      <c r="J21" s="16" t="s">
        <v>2023</v>
      </c>
      <c r="K21" s="16" t="s">
        <v>2060</v>
      </c>
      <c r="L21" s="16"/>
    </row>
    <row r="22" ht="15">
      <c r="A22" s="16" t="s">
        <v>2081</v>
      </c>
      <c r="B22" s="16" t="s">
        <v>2082</v>
      </c>
      <c r="C22" s="16"/>
      <c r="D22" s="17" t="s">
        <v>1406</v>
      </c>
      <c r="E22" s="16" t="str">
        <f>VLOOKUP(D22,fonds!$A$1:$B$495,2,FALSE())</f>
        <v>HU-PBFL/BakonybelOSB</v>
      </c>
      <c r="F22" s="18">
        <v>3055646</v>
      </c>
      <c r="G22" s="19">
        <v>4725543</v>
      </c>
      <c r="H22" s="19">
        <v>1772805</v>
      </c>
      <c r="I22" s="16" t="s">
        <v>2081</v>
      </c>
      <c r="J22" s="16" t="s">
        <v>2050</v>
      </c>
      <c r="K22" s="16" t="s">
        <v>2083</v>
      </c>
      <c r="L22" s="16"/>
    </row>
    <row r="23" ht="15">
      <c r="A23" s="16" t="s">
        <v>2084</v>
      </c>
      <c r="B23" s="16" t="s">
        <v>2030</v>
      </c>
      <c r="C23" s="16" t="s">
        <v>2085</v>
      </c>
      <c r="D23" s="17" t="s">
        <v>1178</v>
      </c>
      <c r="E23" s="16" t="str">
        <f>VLOOKUP(D23,fonds!$A$1:$B$495,2,FALSE())</f>
        <v>DE-StAAm/Waldsassen</v>
      </c>
      <c r="F23" s="18">
        <v>11608879</v>
      </c>
      <c r="G23" s="19">
        <v>5015776</v>
      </c>
      <c r="H23" s="19">
        <v>1163603</v>
      </c>
      <c r="I23" s="16" t="s">
        <v>2086</v>
      </c>
      <c r="J23" s="16" t="s">
        <v>2087</v>
      </c>
      <c r="K23" s="16" t="s">
        <v>2033</v>
      </c>
      <c r="L23" s="16"/>
    </row>
    <row r="24" ht="15">
      <c r="A24" s="16" t="s">
        <v>2088</v>
      </c>
      <c r="B24" s="16" t="s">
        <v>2089</v>
      </c>
      <c r="C24" s="16"/>
      <c r="D24" s="17" t="s">
        <v>602</v>
      </c>
      <c r="E24" s="16" t="str">
        <f>VLOOKUP(D24,fonds!$A$1:$B$495,2,FALSE())</f>
        <v>AT-StiAStP/BlUKBebenhausen</v>
      </c>
      <c r="F24" s="18">
        <v>11002373</v>
      </c>
      <c r="G24" s="19">
        <v>4856157</v>
      </c>
      <c r="H24" s="19">
        <v>906028</v>
      </c>
      <c r="I24" s="16" t="s">
        <v>2090</v>
      </c>
      <c r="J24" s="16" t="s">
        <v>2087</v>
      </c>
      <c r="K24" s="16" t="s">
        <v>2091</v>
      </c>
      <c r="L24" s="16"/>
    </row>
    <row r="25" ht="15">
      <c r="A25" s="16" t="s">
        <v>2092</v>
      </c>
      <c r="B25" s="16" t="s">
        <v>2093</v>
      </c>
      <c r="C25" s="16"/>
      <c r="D25" s="17" t="s">
        <v>140</v>
      </c>
      <c r="E25" s="16" t="str">
        <f>VLOOKUP(D25,fonds!$A$1:$B$495,2,FALSE())</f>
        <v>AT-HHStA/BerchtesgadenCanReg</v>
      </c>
      <c r="F25" s="18">
        <v>2950881</v>
      </c>
      <c r="G25" s="19">
        <v>4763236</v>
      </c>
      <c r="H25" s="19">
        <v>1300187</v>
      </c>
      <c r="I25" s="16" t="s">
        <v>2092</v>
      </c>
      <c r="J25" s="16" t="s">
        <v>2050</v>
      </c>
      <c r="K25" s="16" t="s">
        <v>2033</v>
      </c>
      <c r="L25" s="16"/>
    </row>
    <row r="26" ht="15">
      <c r="A26" s="16" t="s">
        <v>2094</v>
      </c>
      <c r="B26" s="16" t="s">
        <v>2089</v>
      </c>
      <c r="C26" s="16"/>
      <c r="D26" s="20" t="s">
        <v>574</v>
      </c>
      <c r="E26" s="16" t="str">
        <f>VLOOKUP(D26,fonds!$A$1:$B$495,2,FALSE())</f>
        <v>AT-StiAStP/BlUKBlaubeuren</v>
      </c>
      <c r="F26" s="18">
        <v>2947949</v>
      </c>
      <c r="G26" s="19">
        <v>4841215</v>
      </c>
      <c r="H26" s="19">
        <v>978427</v>
      </c>
      <c r="I26" s="16" t="s">
        <v>2095</v>
      </c>
      <c r="J26" s="16" t="s">
        <v>2050</v>
      </c>
      <c r="K26" s="16" t="s">
        <v>2091</v>
      </c>
      <c r="L26" s="16"/>
    </row>
    <row r="27" ht="15">
      <c r="A27" s="16" t="s">
        <v>2096</v>
      </c>
      <c r="B27" s="16" t="s">
        <v>2097</v>
      </c>
      <c r="C27" s="16"/>
      <c r="D27" s="17" t="s">
        <v>1298</v>
      </c>
      <c r="E27" s="16" t="str">
        <f>VLOOKUP(D27,fonds!$A$1:$B$495,2,FALSE())</f>
        <v>DE-StAW/BleidenstadtCan</v>
      </c>
      <c r="F27" s="18">
        <v>2947822</v>
      </c>
      <c r="G27" s="19">
        <v>5013528</v>
      </c>
      <c r="H27" s="19">
        <v>814097</v>
      </c>
      <c r="I27" s="16" t="s">
        <v>2096</v>
      </c>
      <c r="J27" s="16" t="s">
        <v>2050</v>
      </c>
      <c r="K27" s="16" t="s">
        <v>2098</v>
      </c>
      <c r="L27" s="16"/>
    </row>
    <row r="28" ht="15">
      <c r="A28" s="16" t="s">
        <v>2099</v>
      </c>
      <c r="B28" s="16" t="s">
        <v>2100</v>
      </c>
      <c r="C28" s="16"/>
      <c r="D28" s="17" t="s">
        <v>626</v>
      </c>
      <c r="E28" s="16" t="str">
        <f>VLOOKUP(D28,fonds!$A$1:$B$495,2,FALSE())</f>
        <v>AT-VLA/BludenzStPeterKl</v>
      </c>
      <c r="F28" s="18">
        <v>2781680</v>
      </c>
      <c r="G28" s="19">
        <v>4715476</v>
      </c>
      <c r="H28" s="19">
        <v>982255</v>
      </c>
      <c r="I28" s="16" t="s">
        <v>2099</v>
      </c>
      <c r="J28" s="16" t="s">
        <v>2063</v>
      </c>
      <c r="K28" s="16" t="s">
        <v>2101</v>
      </c>
      <c r="L28" s="16"/>
    </row>
    <row r="29" ht="15">
      <c r="A29" s="16" t="s">
        <v>2102</v>
      </c>
      <c r="B29" s="16" t="s">
        <v>2103</v>
      </c>
      <c r="C29" s="18">
        <v>-1684</v>
      </c>
      <c r="D29" s="20" t="s">
        <v>694</v>
      </c>
      <c r="E29" s="16" t="str">
        <f>VLOOKUP(D29,fonds!$A$1:$B$495,2,FALSE())</f>
        <v>CZ-MZA/E11</v>
      </c>
      <c r="F29" s="18">
        <v>3078910</v>
      </c>
      <c r="G29" s="19">
        <v>4948751</v>
      </c>
      <c r="H29" s="19">
        <v>1665997</v>
      </c>
      <c r="I29" s="16" t="s">
        <v>2102</v>
      </c>
      <c r="J29" s="16" t="s">
        <v>2050</v>
      </c>
      <c r="K29" s="16" t="s">
        <v>2104</v>
      </c>
      <c r="L29" s="16"/>
    </row>
    <row r="30" ht="15">
      <c r="A30" s="16" t="s">
        <v>2105</v>
      </c>
      <c r="B30" s="16" t="s">
        <v>2106</v>
      </c>
      <c r="C30" s="16"/>
      <c r="D30" s="20" t="s">
        <v>654</v>
      </c>
      <c r="E30" s="16" t="str">
        <f>VLOOKUP(D30,fonds!$A$1:$B$495,2,FALSE())</f>
        <v>AT-VLA/BregenzAnnakl</v>
      </c>
      <c r="F30" s="18">
        <v>2781503</v>
      </c>
      <c r="G30" s="19">
        <v>4750311</v>
      </c>
      <c r="H30" s="23">
        <v>2035011</v>
      </c>
      <c r="I30" s="16" t="s">
        <v>2105</v>
      </c>
      <c r="J30" s="16" t="s">
        <v>2107</v>
      </c>
      <c r="K30" s="16" t="s">
        <v>2101</v>
      </c>
      <c r="L30" s="16"/>
    </row>
    <row r="31" ht="15">
      <c r="A31" s="16"/>
      <c r="B31" s="16"/>
      <c r="C31" s="16" t="s">
        <v>2108</v>
      </c>
      <c r="D31" s="20" t="s">
        <v>440</v>
      </c>
      <c r="E31" s="16" t="str">
        <f>VLOOKUP(D31,fonds!$A$1:$B$495,2,FALSE())</f>
        <v>AT-StiAA/Urkunden</v>
      </c>
      <c r="F31" s="18">
        <v>3078610</v>
      </c>
      <c r="G31" s="19">
        <v>4919522</v>
      </c>
      <c r="H31" s="19">
        <v>1660796</v>
      </c>
      <c r="I31" s="16" t="s">
        <v>2109</v>
      </c>
      <c r="J31" s="16" t="s">
        <v>2107</v>
      </c>
      <c r="K31" s="16" t="s">
        <v>2104</v>
      </c>
      <c r="L31" s="16"/>
    </row>
    <row r="32" ht="15">
      <c r="A32" s="16"/>
      <c r="B32" s="16"/>
      <c r="C32" s="16"/>
      <c r="D32" s="17" t="s">
        <v>444</v>
      </c>
      <c r="E32" s="16" t="str">
        <f>VLOOKUP(D32,fonds!$A$1:$B$495,2,FALSE())</f>
        <v>AT-StiAAdm/Urkunden</v>
      </c>
      <c r="F32" s="18">
        <v>3078610</v>
      </c>
      <c r="G32" s="19">
        <v>4919522</v>
      </c>
      <c r="H32" s="19">
        <v>1660796</v>
      </c>
      <c r="I32" s="16" t="s">
        <v>2109</v>
      </c>
      <c r="J32" s="16" t="s">
        <v>2107</v>
      </c>
      <c r="K32" s="16" t="s">
        <v>2104</v>
      </c>
      <c r="L32" s="16"/>
    </row>
    <row r="33" ht="15">
      <c r="A33" s="16"/>
      <c r="B33" s="16"/>
      <c r="C33" s="16"/>
      <c r="D33" s="20" t="s">
        <v>447</v>
      </c>
      <c r="E33" s="16" t="str">
        <f>VLOOKUP(D33,fonds!$A$1:$B$495,2,FALSE())</f>
        <v>AT-StiAFiecht/Urkunden</v>
      </c>
      <c r="F33" s="18">
        <v>3078610</v>
      </c>
      <c r="G33" s="19">
        <v>4919522</v>
      </c>
      <c r="H33" s="19">
        <v>1660796</v>
      </c>
      <c r="I33" s="16" t="s">
        <v>2109</v>
      </c>
      <c r="J33" s="16" t="s">
        <v>2107</v>
      </c>
      <c r="K33" s="16" t="s">
        <v>2104</v>
      </c>
      <c r="L33" s="16"/>
    </row>
    <row r="34" ht="15">
      <c r="A34" s="16"/>
      <c r="B34" s="16"/>
      <c r="C34" s="16" t="s">
        <v>2110</v>
      </c>
      <c r="D34" s="17" t="s">
        <v>451</v>
      </c>
      <c r="E34" s="16" t="str">
        <f>VLOOKUP(D34,fonds!$A$1:$B$495,2,FALSE())</f>
        <v>AT-StiAG/GoettweigOSB</v>
      </c>
      <c r="F34" s="18">
        <v>3078610</v>
      </c>
      <c r="G34" s="19">
        <v>4919522</v>
      </c>
      <c r="H34" s="19">
        <v>1660796</v>
      </c>
      <c r="I34" s="16" t="s">
        <v>2109</v>
      </c>
      <c r="J34" s="16" t="s">
        <v>2107</v>
      </c>
      <c r="K34" s="16" t="s">
        <v>2104</v>
      </c>
      <c r="L34" s="16"/>
    </row>
    <row r="35" ht="15">
      <c r="A35" s="16"/>
      <c r="B35" s="16"/>
      <c r="C35" s="16" t="s">
        <v>2111</v>
      </c>
      <c r="D35" s="20" t="s">
        <v>455</v>
      </c>
      <c r="E35" s="16" t="str">
        <f>VLOOKUP(D35,fonds!$A$1:$B$495,2,FALSE())</f>
        <v>AT-StiAGe/Urkunden</v>
      </c>
      <c r="F35" s="18">
        <v>3078610</v>
      </c>
      <c r="G35" s="19">
        <v>4919522</v>
      </c>
      <c r="H35" s="19">
        <v>1660796</v>
      </c>
      <c r="I35" s="16" t="s">
        <v>2109</v>
      </c>
      <c r="J35" s="16" t="s">
        <v>2107</v>
      </c>
      <c r="K35" s="16" t="s">
        <v>2104</v>
      </c>
      <c r="L35" s="16"/>
    </row>
    <row r="36" ht="15">
      <c r="A36" s="16"/>
      <c r="B36" s="16"/>
      <c r="C36" s="16" t="s">
        <v>2112</v>
      </c>
      <c r="D36" s="17" t="s">
        <v>491</v>
      </c>
      <c r="E36" s="16" t="str">
        <f>VLOOKUP(D36,fonds!$A$1:$B$495,2,FALSE())</f>
        <v>AT-StiAKr/KremsmuensterOSB</v>
      </c>
      <c r="F36" s="18">
        <v>3078610</v>
      </c>
      <c r="G36" s="19">
        <v>4919522</v>
      </c>
      <c r="H36" s="19">
        <v>1660796</v>
      </c>
      <c r="I36" s="16" t="s">
        <v>2109</v>
      </c>
      <c r="J36" s="16" t="s">
        <v>2107</v>
      </c>
      <c r="K36" s="16" t="s">
        <v>2104</v>
      </c>
      <c r="L36" s="16"/>
    </row>
    <row r="37" ht="15">
      <c r="A37" s="16"/>
      <c r="B37" s="16"/>
      <c r="C37" s="16" t="s">
        <v>2113</v>
      </c>
      <c r="D37" s="20" t="s">
        <v>495</v>
      </c>
      <c r="E37" s="16" t="str">
        <f>VLOOKUP(D37,fonds!$A$1:$B$495,2,FALSE())</f>
        <v>AT-StiAL/LambachOSB</v>
      </c>
      <c r="F37" s="18">
        <v>3078610</v>
      </c>
      <c r="G37" s="19">
        <v>4919522</v>
      </c>
      <c r="H37" s="19">
        <v>1660796</v>
      </c>
      <c r="I37" s="16" t="s">
        <v>2109</v>
      </c>
      <c r="J37" s="16" t="s">
        <v>2107</v>
      </c>
      <c r="K37" s="16" t="s">
        <v>2104</v>
      </c>
      <c r="L37" s="16"/>
    </row>
    <row r="38" ht="15">
      <c r="A38" s="16"/>
      <c r="B38" s="16"/>
      <c r="C38" s="16" t="s">
        <v>2114</v>
      </c>
      <c r="D38" s="20" t="s">
        <v>503</v>
      </c>
      <c r="E38" s="16" t="str">
        <f>VLOOKUP(D38,fonds!$A$1:$B$495,2,FALSE())</f>
        <v>AT-StiAM/MelkOSB</v>
      </c>
      <c r="F38" s="18">
        <v>3078610</v>
      </c>
      <c r="G38" s="19">
        <v>4919522</v>
      </c>
      <c r="H38" s="19">
        <v>1660796</v>
      </c>
      <c r="I38" s="16" t="s">
        <v>2109</v>
      </c>
      <c r="J38" s="16" t="s">
        <v>2107</v>
      </c>
      <c r="K38" s="16" t="s">
        <v>2104</v>
      </c>
      <c r="L38" s="16"/>
    </row>
    <row r="39" ht="15">
      <c r="A39" s="16"/>
      <c r="B39" s="16"/>
      <c r="C39" s="16" t="s">
        <v>2115</v>
      </c>
      <c r="D39" s="20" t="s">
        <v>519</v>
      </c>
      <c r="E39" s="16" t="str">
        <f>VLOOKUP(D39,fonds!$A$1:$B$495,2,FALSE())</f>
        <v>AT-StiAMt/MattseeCan</v>
      </c>
      <c r="F39" s="18">
        <v>3078610</v>
      </c>
      <c r="G39" s="19">
        <v>4919522</v>
      </c>
      <c r="H39" s="19">
        <v>1660796</v>
      </c>
      <c r="I39" s="16" t="s">
        <v>2109</v>
      </c>
      <c r="J39" s="16" t="s">
        <v>2107</v>
      </c>
      <c r="K39" s="16" t="s">
        <v>2104</v>
      </c>
      <c r="L39" s="16"/>
    </row>
    <row r="40" ht="15">
      <c r="A40" s="16"/>
      <c r="B40" s="16"/>
      <c r="C40" s="16" t="s">
        <v>2116</v>
      </c>
      <c r="D40" s="17" t="s">
        <v>523</v>
      </c>
      <c r="E40" s="16" t="str">
        <f>VLOOKUP(D40,fonds!$A$1:$B$495,2,FALSE())</f>
        <v>AT-StiANK/NeuklosterOCist</v>
      </c>
      <c r="F40" s="18">
        <v>3078610</v>
      </c>
      <c r="G40" s="19">
        <v>4919522</v>
      </c>
      <c r="H40" s="19">
        <v>1660796</v>
      </c>
      <c r="I40" s="16" t="s">
        <v>2109</v>
      </c>
      <c r="J40" s="16" t="s">
        <v>2107</v>
      </c>
      <c r="K40" s="16" t="s">
        <v>2104</v>
      </c>
      <c r="L40" s="16"/>
    </row>
    <row r="41" ht="15">
      <c r="A41" s="16"/>
      <c r="B41" s="16"/>
      <c r="C41" s="16" t="s">
        <v>2117</v>
      </c>
      <c r="D41" s="20" t="s">
        <v>527</v>
      </c>
      <c r="E41" s="16" t="str">
        <f>VLOOKUP(D41,fonds!$A$1:$B$495,2,FALSE())</f>
        <v>AT-StiAR/ReichersbergCanReg</v>
      </c>
      <c r="F41" s="18">
        <v>3078610</v>
      </c>
      <c r="G41" s="19">
        <v>4919522</v>
      </c>
      <c r="H41" s="19">
        <v>1660796</v>
      </c>
      <c r="I41" s="16" t="s">
        <v>2109</v>
      </c>
      <c r="J41" s="16" t="s">
        <v>2107</v>
      </c>
      <c r="K41" s="16" t="s">
        <v>2104</v>
      </c>
      <c r="L41" s="16"/>
    </row>
    <row r="42" ht="15">
      <c r="A42" s="16"/>
      <c r="B42" s="16"/>
      <c r="C42" s="16" t="s">
        <v>2118</v>
      </c>
      <c r="D42" s="17" t="s">
        <v>531</v>
      </c>
      <c r="E42" s="16" t="str">
        <f>VLOOKUP(D42,fonds!$A$1:$B$495,2,FALSE())</f>
        <v>AT-StiARein/ReinOCist</v>
      </c>
      <c r="F42" s="18">
        <v>3078610</v>
      </c>
      <c r="G42" s="19">
        <v>4919522</v>
      </c>
      <c r="H42" s="19">
        <v>1660796</v>
      </c>
      <c r="I42" s="16" t="s">
        <v>2109</v>
      </c>
      <c r="J42" s="16" t="s">
        <v>2107</v>
      </c>
      <c r="K42" s="16" t="s">
        <v>2104</v>
      </c>
      <c r="L42" s="16"/>
    </row>
    <row r="43" ht="15">
      <c r="A43" s="16"/>
      <c r="B43" s="16"/>
      <c r="C43" s="16" t="s">
        <v>2119</v>
      </c>
      <c r="D43" s="20" t="s">
        <v>535</v>
      </c>
      <c r="E43" s="16" t="str">
        <f>VLOOKUP(D43,fonds!$A$1:$B$495,2,FALSE())</f>
        <v>AT-StiASch/SchlierbachOCist</v>
      </c>
      <c r="F43" s="18">
        <v>3078610</v>
      </c>
      <c r="G43" s="19">
        <v>4919522</v>
      </c>
      <c r="H43" s="19">
        <v>1660796</v>
      </c>
      <c r="I43" s="16" t="s">
        <v>2109</v>
      </c>
      <c r="J43" s="16" t="s">
        <v>2107</v>
      </c>
      <c r="K43" s="16" t="s">
        <v>2104</v>
      </c>
      <c r="L43" s="16"/>
    </row>
    <row r="44" ht="15">
      <c r="A44" s="16"/>
      <c r="B44" s="16"/>
      <c r="C44" s="16" t="s">
        <v>2120</v>
      </c>
      <c r="D44" s="20" t="s">
        <v>543</v>
      </c>
      <c r="E44" s="16" t="str">
        <f>VLOOKUP(D44,fonds!$A$1:$B$495,2,FALSE())</f>
        <v>AT-StiAScho/SchottenOSB</v>
      </c>
      <c r="F44" s="18">
        <v>3078610</v>
      </c>
      <c r="G44" s="19">
        <v>4919522</v>
      </c>
      <c r="H44" s="19">
        <v>1660796</v>
      </c>
      <c r="I44" s="16" t="s">
        <v>2109</v>
      </c>
      <c r="J44" s="16" t="s">
        <v>2107</v>
      </c>
      <c r="K44" s="16" t="s">
        <v>2104</v>
      </c>
      <c r="L44" s="16"/>
    </row>
    <row r="45" ht="15">
      <c r="A45" s="16"/>
      <c r="B45" s="16"/>
      <c r="C45" s="16" t="s">
        <v>2121</v>
      </c>
      <c r="D45" s="20" t="s">
        <v>551</v>
      </c>
      <c r="E45" s="16" t="str">
        <f>VLOOKUP(D45,fonds!$A$1:$B$495,2,FALSE())</f>
        <v>AT-StiASF/StFlorianCanReg</v>
      </c>
      <c r="F45" s="18">
        <v>3078610</v>
      </c>
      <c r="G45" s="19">
        <v>4919522</v>
      </c>
      <c r="H45" s="19">
        <v>1660796</v>
      </c>
      <c r="I45" s="16" t="s">
        <v>2109</v>
      </c>
      <c r="J45" s="16" t="s">
        <v>2107</v>
      </c>
      <c r="K45" s="16" t="s">
        <v>2104</v>
      </c>
      <c r="L45" s="16"/>
    </row>
    <row r="46" ht="15">
      <c r="A46" s="16"/>
      <c r="B46" s="16"/>
      <c r="C46" s="16"/>
      <c r="D46" s="20" t="s">
        <v>559</v>
      </c>
      <c r="E46" s="16" t="str">
        <f>VLOOKUP(D46,fonds!$A$1:$B$495,2,FALSE())</f>
        <v>AT-StiAStams/Urkunden</v>
      </c>
      <c r="F46" s="18">
        <v>3078610</v>
      </c>
      <c r="G46" s="19">
        <v>4919522</v>
      </c>
      <c r="H46" s="19">
        <v>1660796</v>
      </c>
      <c r="I46" s="16" t="s">
        <v>2109</v>
      </c>
      <c r="J46" s="16" t="s">
        <v>2107</v>
      </c>
      <c r="K46" s="16" t="s">
        <v>2104</v>
      </c>
      <c r="L46" s="16"/>
    </row>
    <row r="47" ht="15">
      <c r="A47" s="16"/>
      <c r="B47" s="16"/>
      <c r="C47" s="16"/>
      <c r="D47" s="17" t="s">
        <v>562</v>
      </c>
      <c r="E47" s="16" t="str">
        <f>VLOOKUP(D47,fonds!$A$1:$B$495,2,FALSE())</f>
        <v>AT-StiAStP/BlUKVariaEcclesiastica</v>
      </c>
      <c r="F47" s="18">
        <v>3078610</v>
      </c>
      <c r="G47" s="19">
        <v>4919522</v>
      </c>
      <c r="H47" s="19">
        <v>1660796</v>
      </c>
      <c r="I47" s="16" t="s">
        <v>2109</v>
      </c>
      <c r="J47" s="16" t="s">
        <v>2107</v>
      </c>
      <c r="K47" s="16" t="s">
        <v>2104</v>
      </c>
      <c r="L47" s="16"/>
    </row>
    <row r="48" ht="15">
      <c r="A48" s="16"/>
      <c r="B48" s="16"/>
      <c r="C48" s="16" t="s">
        <v>2122</v>
      </c>
      <c r="D48" s="17" t="s">
        <v>606</v>
      </c>
      <c r="E48" s="16" t="str">
        <f>VLOOKUP(D48,fonds!$A$1:$B$495,2,FALSE())</f>
        <v>AT-StiAV/VorauCanReg</v>
      </c>
      <c r="F48" s="18">
        <v>3078610</v>
      </c>
      <c r="G48" s="19">
        <v>4919522</v>
      </c>
      <c r="H48" s="19">
        <v>1660796</v>
      </c>
      <c r="I48" s="16" t="s">
        <v>2109</v>
      </c>
      <c r="J48" s="16" t="s">
        <v>2107</v>
      </c>
      <c r="K48" s="16" t="s">
        <v>2104</v>
      </c>
      <c r="L48" s="16"/>
    </row>
    <row r="49" ht="15">
      <c r="A49" s="16"/>
      <c r="B49" s="16"/>
      <c r="C49" s="16" t="s">
        <v>2123</v>
      </c>
      <c r="D49" s="20" t="s">
        <v>610</v>
      </c>
      <c r="E49" s="16" t="str">
        <f>VLOOKUP(D49,fonds!$A$1:$B$495,2,FALSE())</f>
        <v>AT-StiAW/Urkunden</v>
      </c>
      <c r="F49" s="18">
        <v>3078610</v>
      </c>
      <c r="G49" s="19">
        <v>4919522</v>
      </c>
      <c r="H49" s="19">
        <v>1660796</v>
      </c>
      <c r="I49" s="16" t="s">
        <v>2109</v>
      </c>
      <c r="J49" s="16" t="s">
        <v>2107</v>
      </c>
      <c r="K49" s="16" t="s">
        <v>2104</v>
      </c>
      <c r="L49" s="16"/>
    </row>
    <row r="50" ht="15">
      <c r="A50" s="16"/>
      <c r="B50" s="16"/>
      <c r="C50" s="16" t="s">
        <v>2124</v>
      </c>
      <c r="D50" s="20" t="s">
        <v>618</v>
      </c>
      <c r="E50" s="16" t="str">
        <f>VLOOKUP(D50,fonds!$A$1:$B$495,2,FALSE())</f>
        <v>AT-StiAZ/Urkunden</v>
      </c>
      <c r="F50" s="18">
        <v>3078610</v>
      </c>
      <c r="G50" s="19">
        <v>4919522</v>
      </c>
      <c r="H50" s="19">
        <v>1660796</v>
      </c>
      <c r="I50" s="16" t="s">
        <v>2109</v>
      </c>
      <c r="J50" s="16" t="s">
        <v>2107</v>
      </c>
      <c r="K50" s="16" t="s">
        <v>2104</v>
      </c>
      <c r="L50" s="16"/>
    </row>
    <row r="51" ht="15">
      <c r="A51" s="16" t="s">
        <v>2109</v>
      </c>
      <c r="B51" s="16" t="s">
        <v>2103</v>
      </c>
      <c r="C51" s="16" t="s">
        <v>2125</v>
      </c>
      <c r="D51" s="17" t="s">
        <v>714</v>
      </c>
      <c r="E51" s="16" t="str">
        <f>VLOOKUP(D51,fonds!$A$1:$B$495,2,FALSE())</f>
        <v>CZ-MZA/E12</v>
      </c>
      <c r="F51" s="18">
        <v>3078610</v>
      </c>
      <c r="G51" s="19">
        <v>4919522</v>
      </c>
      <c r="H51" s="19">
        <v>1660796</v>
      </c>
      <c r="I51" s="16" t="s">
        <v>2109</v>
      </c>
      <c r="J51" s="16" t="s">
        <v>2107</v>
      </c>
      <c r="K51" s="16" t="s">
        <v>2104</v>
      </c>
      <c r="L51" s="16"/>
    </row>
    <row r="52" ht="15">
      <c r="A52" s="16" t="s">
        <v>2126</v>
      </c>
      <c r="B52" s="16" t="s">
        <v>2127</v>
      </c>
      <c r="C52" s="16"/>
      <c r="D52" s="20" t="s">
        <v>1522</v>
      </c>
      <c r="E52" s="16" t="str">
        <f>VLOOKUP(D52,fonds!$A$1:$B$495,2,FALSE())</f>
        <v>IT-ASFi/DNSanMiniatoAlTedescoSAgostino</v>
      </c>
      <c r="F52" s="18">
        <v>10234874</v>
      </c>
      <c r="G52" s="19">
        <v>4367995</v>
      </c>
      <c r="H52" s="19">
        <v>1084872</v>
      </c>
      <c r="I52" s="16" t="s">
        <v>2128</v>
      </c>
      <c r="J52" s="16" t="s">
        <v>2129</v>
      </c>
      <c r="K52" s="16" t="s">
        <v>2060</v>
      </c>
      <c r="L52" s="16"/>
    </row>
    <row r="53" ht="15">
      <c r="A53" s="16" t="s">
        <v>2126</v>
      </c>
      <c r="B53" s="16" t="s">
        <v>2130</v>
      </c>
      <c r="C53" s="16"/>
      <c r="D53" s="17" t="s">
        <v>1618</v>
      </c>
      <c r="E53" s="16" t="str">
        <f>VLOOKUP(D53,fonds!$A$1:$B$495,2,FALSE())</f>
        <v>IT-ASFi/DNSanMiniatoAlTedescoSmaAnnunziata</v>
      </c>
      <c r="F53" s="18">
        <v>10234874</v>
      </c>
      <c r="G53" s="19">
        <v>4367995</v>
      </c>
      <c r="H53" s="19">
        <v>1084872</v>
      </c>
      <c r="I53" s="16" t="s">
        <v>2128</v>
      </c>
      <c r="J53" s="16" t="s">
        <v>2129</v>
      </c>
      <c r="K53" s="16" t="s">
        <v>2060</v>
      </c>
      <c r="L53" s="16"/>
    </row>
    <row r="54" ht="15">
      <c r="A54" s="16" t="s">
        <v>2126</v>
      </c>
      <c r="B54" s="16" t="s">
        <v>2131</v>
      </c>
      <c r="C54" s="16"/>
      <c r="D54" s="20" t="s">
        <v>1718</v>
      </c>
      <c r="E54" s="16" t="str">
        <f>VLOOKUP(D54,fonds!$A$1:$B$495,2,FALSE())</f>
        <v>IT-ASFi/DNSanMiniatoAlTedescoSFrancesco</v>
      </c>
      <c r="F54" s="18">
        <v>10234874</v>
      </c>
      <c r="G54" s="19">
        <v>4367995</v>
      </c>
      <c r="H54" s="19">
        <v>1084872</v>
      </c>
      <c r="I54" s="16" t="s">
        <v>2128</v>
      </c>
      <c r="J54" s="16" t="s">
        <v>2129</v>
      </c>
      <c r="K54" s="16" t="s">
        <v>2060</v>
      </c>
      <c r="L54" s="16"/>
    </row>
    <row r="55" ht="15">
      <c r="A55" s="16" t="s">
        <v>2126</v>
      </c>
      <c r="B55" s="16" t="s">
        <v>2132</v>
      </c>
      <c r="C55" s="16"/>
      <c r="D55" s="17" t="s">
        <v>1754</v>
      </c>
      <c r="E55" s="16" t="str">
        <f>VLOOKUP(D55,fonds!$A$1:$B$495,2,FALSE())</f>
        <v>IT-ASFi/DNSanMiniatoAlTedescoSChiara</v>
      </c>
      <c r="F55" s="18">
        <v>10234874</v>
      </c>
      <c r="G55" s="19">
        <v>4367995</v>
      </c>
      <c r="H55" s="19">
        <v>1084872</v>
      </c>
      <c r="I55" s="16" t="s">
        <v>2128</v>
      </c>
      <c r="J55" s="16" t="s">
        <v>2129</v>
      </c>
      <c r="K55" s="16" t="s">
        <v>2060</v>
      </c>
      <c r="L55" s="16"/>
    </row>
    <row r="56" ht="15">
      <c r="A56" s="16" t="s">
        <v>2126</v>
      </c>
      <c r="B56" s="16" t="s">
        <v>2133</v>
      </c>
      <c r="C56" s="16"/>
      <c r="D56" s="20" t="s">
        <v>1798</v>
      </c>
      <c r="E56" s="16" t="str">
        <f>VLOOKUP(D56,fonds!$A$1:$B$495,2,FALSE())</f>
        <v>IT-ASFi/DNSanMiniatoAlTedescoSIacopo</v>
      </c>
      <c r="F56" s="18">
        <v>10234874</v>
      </c>
      <c r="G56" s="19">
        <v>4367995</v>
      </c>
      <c r="H56" s="19">
        <v>1084872</v>
      </c>
      <c r="I56" s="16" t="s">
        <v>2128</v>
      </c>
      <c r="J56" s="16" t="s">
        <v>2129</v>
      </c>
      <c r="K56" s="16" t="s">
        <v>2060</v>
      </c>
      <c r="L56" s="16"/>
    </row>
    <row r="57" ht="15">
      <c r="A57" s="16" t="s">
        <v>2126</v>
      </c>
      <c r="B57" s="16" t="s">
        <v>2134</v>
      </c>
      <c r="C57" s="16"/>
      <c r="D57" s="17" t="s">
        <v>1826</v>
      </c>
      <c r="E57" s="16" t="str">
        <f>VLOOKUP(D57,fonds!$A$1:$B$495,2,FALSE())</f>
        <v>IT-ASFi/DNSanMiniatoAlTedescoSPaolo</v>
      </c>
      <c r="F57" s="18">
        <v>10234874</v>
      </c>
      <c r="G57" s="19">
        <v>4367995</v>
      </c>
      <c r="H57" s="19">
        <v>1084872</v>
      </c>
      <c r="I57" s="16" t="s">
        <v>2128</v>
      </c>
      <c r="J57" s="16" t="s">
        <v>2129</v>
      </c>
      <c r="K57" s="16" t="s">
        <v>2060</v>
      </c>
      <c r="L57" s="16"/>
    </row>
    <row r="58" ht="15">
      <c r="A58" s="16" t="s">
        <v>2135</v>
      </c>
      <c r="B58" s="16" t="s">
        <v>2136</v>
      </c>
      <c r="C58" s="16"/>
      <c r="D58" s="20" t="s">
        <v>1810</v>
      </c>
      <c r="E58" s="16" t="str">
        <f>VLOOKUP(D58,fonds!$A$1:$B$495,2,FALSE())</f>
        <v>IT-ASFi/DNCastiglionFiorentinoSAgostino</v>
      </c>
      <c r="F58" s="18">
        <v>3179405</v>
      </c>
      <c r="G58" s="19">
        <v>4334308</v>
      </c>
      <c r="H58" s="19">
        <v>1191995</v>
      </c>
      <c r="I58" s="16" t="s">
        <v>2135</v>
      </c>
      <c r="J58" s="16" t="s">
        <v>2023</v>
      </c>
      <c r="K58" s="16" t="s">
        <v>2060</v>
      </c>
      <c r="L58" s="16"/>
    </row>
    <row r="59" ht="15">
      <c r="A59" s="16" t="s">
        <v>2135</v>
      </c>
      <c r="B59" s="16" t="s">
        <v>2137</v>
      </c>
      <c r="C59" s="16"/>
      <c r="D59" s="17" t="s">
        <v>1898</v>
      </c>
      <c r="E59" s="16" t="str">
        <f>VLOOKUP(D59,fonds!$A$1:$B$495,2,FALSE())</f>
        <v>IT-ASFi/DNCastiglionFiorentinoSGirolamo</v>
      </c>
      <c r="F59" s="18">
        <v>3179405</v>
      </c>
      <c r="G59" s="19">
        <v>4334308</v>
      </c>
      <c r="H59" s="19">
        <v>1191995</v>
      </c>
      <c r="I59" s="16" t="s">
        <v>2135</v>
      </c>
      <c r="J59" s="16" t="s">
        <v>2023</v>
      </c>
      <c r="K59" s="16" t="s">
        <v>2060</v>
      </c>
      <c r="L59" s="16"/>
    </row>
    <row r="60" ht="15">
      <c r="A60" s="16" t="s">
        <v>2138</v>
      </c>
      <c r="B60" s="16"/>
      <c r="C60" s="16" t="s">
        <v>2139</v>
      </c>
      <c r="D60" s="20" t="s">
        <v>1954</v>
      </c>
      <c r="E60" s="16" t="str">
        <f>VLOOKUP(D60,fonds!$A$1:$B$495,2,FALSE())</f>
        <v>IT-BSNSP/19-S_Sebastiano</v>
      </c>
      <c r="F60" s="18">
        <v>8015039</v>
      </c>
      <c r="G60" s="19">
        <v>4185565</v>
      </c>
      <c r="H60" s="19">
        <v>1251581</v>
      </c>
      <c r="I60" s="16" t="s">
        <v>2140</v>
      </c>
      <c r="J60" s="16" t="s">
        <v>2141</v>
      </c>
      <c r="K60" s="16" t="s">
        <v>2142</v>
      </c>
      <c r="L60" s="16"/>
    </row>
    <row r="61" ht="15">
      <c r="A61" s="16" t="s">
        <v>2143</v>
      </c>
      <c r="B61" s="16" t="s">
        <v>2103</v>
      </c>
      <c r="C61" s="16" t="s">
        <v>2144</v>
      </c>
      <c r="D61" s="17" t="s">
        <v>998</v>
      </c>
      <c r="E61" s="16" t="str">
        <f>VLOOKUP(D61,fonds!$A$1:$B$495,2,FALSE())</f>
        <v>CZ-ZAO/RD-TESIN</v>
      </c>
      <c r="F61" s="18">
        <v>3077882</v>
      </c>
      <c r="G61" s="19">
        <v>4974613</v>
      </c>
      <c r="H61" s="19">
        <v>1862613</v>
      </c>
      <c r="I61" s="16" t="s">
        <v>2145</v>
      </c>
      <c r="J61" s="16" t="s">
        <v>2023</v>
      </c>
      <c r="K61" s="16" t="s">
        <v>2146</v>
      </c>
      <c r="L61" s="16"/>
    </row>
    <row r="62" ht="15">
      <c r="A62" s="16" t="s">
        <v>2147</v>
      </c>
      <c r="B62" s="16" t="s">
        <v>2148</v>
      </c>
      <c r="C62" s="16"/>
      <c r="D62" s="17" t="s">
        <v>978</v>
      </c>
      <c r="E62" s="16" t="str">
        <f>VLOOKUP(D62,fonds!$A$1:$B$495,2,FALSE())</f>
        <v>CZ-SOAP/ChebOP</v>
      </c>
      <c r="F62" s="18">
        <v>3077835</v>
      </c>
      <c r="G62" s="19">
        <v>5007963</v>
      </c>
      <c r="H62" s="19">
        <v>1237392</v>
      </c>
      <c r="I62" s="16" t="s">
        <v>2147</v>
      </c>
      <c r="J62" s="16" t="s">
        <v>2050</v>
      </c>
      <c r="K62" s="16" t="s">
        <v>2149</v>
      </c>
      <c r="L62" s="16"/>
    </row>
    <row r="63" ht="15">
      <c r="A63" s="16" t="s">
        <v>2150</v>
      </c>
      <c r="B63" s="16" t="s">
        <v>2151</v>
      </c>
      <c r="C63" s="16"/>
      <c r="D63" s="17" t="s">
        <v>1666</v>
      </c>
      <c r="E63" s="16" t="str">
        <f>VLOOKUP(D63,fonds!$A$1:$B$495,2,FALSE())</f>
        <v>IT-ASFi/DNColleValDElsaSFrancesco</v>
      </c>
      <c r="F63" s="18">
        <v>3178402</v>
      </c>
      <c r="G63" s="19">
        <v>4342107</v>
      </c>
      <c r="H63" s="19">
        <v>1112739</v>
      </c>
      <c r="I63" s="16" t="s">
        <v>2152</v>
      </c>
      <c r="J63" s="16" t="s">
        <v>2023</v>
      </c>
      <c r="K63" s="16" t="s">
        <v>2060</v>
      </c>
      <c r="L63" s="16"/>
    </row>
    <row r="64" ht="15">
      <c r="A64" s="16" t="s">
        <v>2153</v>
      </c>
      <c r="B64" s="16" t="s">
        <v>2035</v>
      </c>
      <c r="C64" s="16"/>
      <c r="D64" s="20" t="s">
        <v>344</v>
      </c>
      <c r="E64" s="16" t="str">
        <f>VLOOKUP(D64,fonds!$A$1:$B$495,2,FALSE())</f>
        <v>AT-HHStA/ReinOCist</v>
      </c>
      <c r="F64" s="18">
        <v>2886242</v>
      </c>
      <c r="G64" s="19">
        <v>5093333</v>
      </c>
      <c r="H64" s="16" t="s">
        <v>2154</v>
      </c>
      <c r="I64" s="16" t="s">
        <v>2155</v>
      </c>
      <c r="J64" s="16" t="s">
        <v>2063</v>
      </c>
      <c r="K64" s="16" t="s">
        <v>2156</v>
      </c>
      <c r="L64" s="16"/>
    </row>
    <row r="65" ht="15">
      <c r="A65" s="16" t="s">
        <v>2157</v>
      </c>
      <c r="B65" s="16" t="s">
        <v>2158</v>
      </c>
      <c r="C65" s="16"/>
      <c r="D65" s="20" t="s">
        <v>1554</v>
      </c>
      <c r="E65" s="16" t="str">
        <f>VLOOKUP(D65,fonds!$A$1:$B$495,2,FALSE())</f>
        <v>IT-ASFi/DNCortonaSChiara</v>
      </c>
      <c r="F65" s="18">
        <v>3177948</v>
      </c>
      <c r="G65" s="19">
        <v>4327467</v>
      </c>
      <c r="H65" s="19">
        <v>1198533</v>
      </c>
      <c r="I65" s="16" t="s">
        <v>2157</v>
      </c>
      <c r="J65" s="16" t="s">
        <v>2023</v>
      </c>
      <c r="K65" s="16" t="s">
        <v>2060</v>
      </c>
      <c r="L65" s="16"/>
    </row>
    <row r="66" ht="15">
      <c r="A66" s="16" t="s">
        <v>2157</v>
      </c>
      <c r="B66" s="16" t="s">
        <v>2159</v>
      </c>
      <c r="C66" s="16"/>
      <c r="D66" s="17" t="s">
        <v>1606</v>
      </c>
      <c r="E66" s="16" t="str">
        <f>VLOOKUP(D66,fonds!$A$1:$B$495,2,FALSE())</f>
        <v>IT-ASFi/DNCortoneSMariaDeiServi</v>
      </c>
      <c r="F66" s="18">
        <v>3177948</v>
      </c>
      <c r="G66" s="19">
        <v>4327467</v>
      </c>
      <c r="H66" s="19">
        <v>1198533</v>
      </c>
      <c r="I66" s="16" t="s">
        <v>2157</v>
      </c>
      <c r="J66" s="16" t="s">
        <v>2023</v>
      </c>
      <c r="K66" s="16" t="s">
        <v>2060</v>
      </c>
      <c r="L66" s="16"/>
    </row>
    <row r="67" ht="15">
      <c r="A67" s="16" t="s">
        <v>2157</v>
      </c>
      <c r="B67" s="16" t="s">
        <v>2160</v>
      </c>
      <c r="C67" s="16"/>
      <c r="D67" s="20" t="s">
        <v>1654</v>
      </c>
      <c r="E67" s="16" t="str">
        <f>VLOOKUP(D67,fonds!$A$1:$B$495,2,FALSE())</f>
        <v>IT-ASFi/DNCortonaSMicheleArcangelo</v>
      </c>
      <c r="F67" s="18">
        <v>3177948</v>
      </c>
      <c r="G67" s="19">
        <v>4327467</v>
      </c>
      <c r="H67" s="19">
        <v>1198533</v>
      </c>
      <c r="I67" s="16" t="s">
        <v>2157</v>
      </c>
      <c r="J67" s="16" t="s">
        <v>2023</v>
      </c>
      <c r="K67" s="16" t="s">
        <v>2060</v>
      </c>
      <c r="L67" s="16"/>
    </row>
    <row r="68" ht="15">
      <c r="A68" s="16" t="s">
        <v>2161</v>
      </c>
      <c r="B68" s="16" t="s">
        <v>2162</v>
      </c>
      <c r="C68" s="16" t="s">
        <v>2163</v>
      </c>
      <c r="D68" s="20" t="s">
        <v>1822</v>
      </c>
      <c r="E68" s="16" t="str">
        <f>VLOOKUP(D68,fonds!$A$1:$B$495,2,FALSE())</f>
        <v>IT-ASFi/DNDocciaFrancescani</v>
      </c>
      <c r="F68" s="18">
        <v>8964560</v>
      </c>
      <c r="G68" s="19">
        <v>4317816</v>
      </c>
      <c r="H68" s="19">
        <v>1181286</v>
      </c>
      <c r="I68" s="16" t="s">
        <v>2161</v>
      </c>
      <c r="J68" s="16" t="s">
        <v>2050</v>
      </c>
      <c r="K68" s="16" t="s">
        <v>2060</v>
      </c>
      <c r="L68" s="16"/>
    </row>
    <row r="69" ht="15">
      <c r="A69" s="16" t="s">
        <v>2164</v>
      </c>
      <c r="B69" s="16"/>
      <c r="C69" s="16" t="s">
        <v>2165</v>
      </c>
      <c r="D69" s="20" t="s">
        <v>487</v>
      </c>
      <c r="E69" s="16" t="str">
        <f>VLOOKUP(D69,fonds!$A$1:$B$495,2,FALSE())</f>
        <v>AT-StiAK/StDorotheaCanReg</v>
      </c>
      <c r="F69" s="18">
        <v>12500508</v>
      </c>
      <c r="G69" s="19">
        <v>482065</v>
      </c>
      <c r="H69" s="19">
        <v>1636887</v>
      </c>
      <c r="I69" s="16" t="s">
        <v>2166</v>
      </c>
      <c r="J69" s="16" t="s">
        <v>2167</v>
      </c>
      <c r="K69" s="16" t="s">
        <v>2168</v>
      </c>
      <c r="L69" s="16"/>
    </row>
    <row r="70" ht="15">
      <c r="A70" s="16" t="s">
        <v>2169</v>
      </c>
      <c r="B70" s="16" t="s">
        <v>2170</v>
      </c>
      <c r="C70" s="16"/>
      <c r="D70" s="17" t="s">
        <v>475</v>
      </c>
      <c r="E70" s="16" t="str">
        <f>VLOOKUP(D70,fonds!$A$1:$B$495,2,FALSE())</f>
        <v>AT-StiAHe/DuernsteinCanReg</v>
      </c>
      <c r="F70" s="18">
        <v>2780603</v>
      </c>
      <c r="G70" s="19">
        <v>4698833</v>
      </c>
      <c r="H70" s="19">
        <v>1439167</v>
      </c>
      <c r="I70" s="16" t="s">
        <v>2171</v>
      </c>
      <c r="J70" s="16" t="s">
        <v>2023</v>
      </c>
      <c r="K70" s="16" t="s">
        <v>2024</v>
      </c>
      <c r="L70" s="16"/>
    </row>
    <row r="71" ht="15">
      <c r="A71" s="16" t="s">
        <v>2169</v>
      </c>
      <c r="B71" s="16" t="s">
        <v>2172</v>
      </c>
      <c r="C71" s="16"/>
      <c r="D71" s="20" t="s">
        <v>479</v>
      </c>
      <c r="E71" s="16" t="str">
        <f>VLOOKUP(D71,fonds!$A$1:$B$495,2,FALSE())</f>
        <v>AT-StiAHe/DuernsteinOSCl</v>
      </c>
      <c r="F71" s="18">
        <v>2780603</v>
      </c>
      <c r="G71" s="19">
        <v>4698833</v>
      </c>
      <c r="H71" s="19">
        <v>1439167</v>
      </c>
      <c r="I71" s="16" t="s">
        <v>2171</v>
      </c>
      <c r="J71" s="16" t="s">
        <v>2023</v>
      </c>
      <c r="K71" s="16" t="s">
        <v>2024</v>
      </c>
      <c r="L71" s="16"/>
    </row>
    <row r="72" ht="15">
      <c r="A72" s="16" t="s">
        <v>2173</v>
      </c>
      <c r="B72" s="17" t="s">
        <v>2174</v>
      </c>
      <c r="C72" s="16" t="s">
        <v>2175</v>
      </c>
      <c r="D72" s="16" t="s">
        <v>926</v>
      </c>
      <c r="E72" s="16" t="str">
        <f>VLOOKUP(D72,fonds!$A$1:$B$495,2,FALSE())</f>
        <v>CZ-NA/AZK%7CKarlov</v>
      </c>
      <c r="F72" s="18">
        <v>3060284</v>
      </c>
      <c r="G72" s="16" t="s">
        <v>2176</v>
      </c>
      <c r="H72" s="19">
        <v>1933333</v>
      </c>
      <c r="I72" s="16" t="s">
        <v>2177</v>
      </c>
      <c r="J72" s="16" t="s">
        <v>2050</v>
      </c>
      <c r="K72" s="16" t="s">
        <v>2178</v>
      </c>
      <c r="L72" s="16"/>
    </row>
    <row r="73" ht="15">
      <c r="A73" s="16" t="s">
        <v>2179</v>
      </c>
      <c r="B73" s="16" t="s">
        <v>2180</v>
      </c>
      <c r="C73" s="16"/>
      <c r="D73" s="17" t="s">
        <v>208</v>
      </c>
      <c r="E73" s="16" t="str">
        <f>VLOOKUP(D73,fonds!$A$1:$B$495,2,FALSE())</f>
        <v>AT-HHStA/EberndorfCanReg</v>
      </c>
      <c r="F73" s="18">
        <v>2780531</v>
      </c>
      <c r="G73" s="19">
        <v>4659139</v>
      </c>
      <c r="H73" s="19">
        <v>1464361</v>
      </c>
      <c r="I73" s="16" t="s">
        <v>2179</v>
      </c>
      <c r="J73" s="16" t="s">
        <v>2023</v>
      </c>
      <c r="K73" s="16" t="s">
        <v>2181</v>
      </c>
      <c r="L73" s="16"/>
    </row>
    <row r="74" ht="15">
      <c r="A74" s="16" t="s">
        <v>2179</v>
      </c>
      <c r="B74" s="16" t="s">
        <v>2182</v>
      </c>
      <c r="C74" s="16"/>
      <c r="D74" s="17" t="s">
        <v>400</v>
      </c>
      <c r="E74" s="16" t="str">
        <f>VLOOKUP(D74,fonds!$A$1:$B$495,2,FALSE())</f>
        <v>AT-KLA/KLA-308</v>
      </c>
      <c r="F74" s="18">
        <v>2780531</v>
      </c>
      <c r="G74" s="19">
        <v>4659139</v>
      </c>
      <c r="H74" s="19">
        <v>1464361</v>
      </c>
      <c r="I74" s="16" t="s">
        <v>2179</v>
      </c>
      <c r="J74" s="16" t="s">
        <v>2023</v>
      </c>
      <c r="K74" s="16" t="s">
        <v>2181</v>
      </c>
      <c r="L74" s="16"/>
    </row>
    <row r="75" ht="15">
      <c r="A75" s="16" t="s">
        <v>2183</v>
      </c>
      <c r="B75" s="16"/>
      <c r="C75" s="16"/>
      <c r="D75" s="20" t="s">
        <v>598</v>
      </c>
      <c r="E75" s="16" t="str">
        <f>VLOOKUP(D75,fonds!$A$1:$B$495,2,FALSE())</f>
        <v>AT-StiAStP/EUK</v>
      </c>
      <c r="F75" s="18">
        <v>2780531</v>
      </c>
      <c r="G75" s="19">
        <v>4659139</v>
      </c>
      <c r="H75" s="19">
        <v>1464361</v>
      </c>
      <c r="I75" s="16" t="s">
        <v>2179</v>
      </c>
      <c r="J75" s="16" t="s">
        <v>2023</v>
      </c>
      <c r="K75" s="16" t="s">
        <v>2181</v>
      </c>
      <c r="L75" s="16"/>
    </row>
    <row r="76" ht="15">
      <c r="A76" s="16" t="s">
        <v>2184</v>
      </c>
      <c r="B76" s="16" t="s">
        <v>2185</v>
      </c>
      <c r="C76" s="16"/>
      <c r="D76" s="20" t="s">
        <v>36</v>
      </c>
      <c r="E76" s="16" t="str">
        <f>VLOOKUP(D76,fonds!$A$1:$B$495,2,FALSE())</f>
        <v>AT-HHStA/EbersbergOSB</v>
      </c>
      <c r="F76" s="18">
        <v>2933945</v>
      </c>
      <c r="G76" s="19">
        <v>480771</v>
      </c>
      <c r="H76" s="19">
        <v>1197063</v>
      </c>
      <c r="I76" s="16" t="s">
        <v>2184</v>
      </c>
      <c r="J76" s="16" t="s">
        <v>2023</v>
      </c>
      <c r="K76" s="16" t="s">
        <v>2033</v>
      </c>
      <c r="L76" s="16"/>
    </row>
    <row r="77" ht="15">
      <c r="A77" s="16" t="s">
        <v>2186</v>
      </c>
      <c r="B77" s="16" t="s">
        <v>2187</v>
      </c>
      <c r="C77" s="16"/>
      <c r="D77" s="17" t="s">
        <v>1274</v>
      </c>
      <c r="E77" s="16" t="str">
        <f>VLOOKUP(D77,fonds!$A$1:$B$495,2,FALSE())</f>
        <v>DE-StAW/Katzwang</v>
      </c>
      <c r="F77" s="18">
        <v>2933828</v>
      </c>
      <c r="G77" s="19">
        <v>4984812</v>
      </c>
      <c r="H77" s="19">
        <v>1049672</v>
      </c>
      <c r="I77" s="16" t="s">
        <v>2186</v>
      </c>
      <c r="J77" s="16" t="s">
        <v>2050</v>
      </c>
      <c r="K77" s="16" t="s">
        <v>2033</v>
      </c>
      <c r="L77" s="16"/>
    </row>
    <row r="78" ht="15">
      <c r="A78" s="16" t="s">
        <v>2186</v>
      </c>
      <c r="B78" s="16" t="s">
        <v>2188</v>
      </c>
      <c r="C78" s="16"/>
      <c r="D78" s="20" t="s">
        <v>1278</v>
      </c>
      <c r="E78" s="16" t="str">
        <f>VLOOKUP(D78,fonds!$A$1:$B$495,2,FALSE())</f>
        <v>DE-StAW/EbrachOCist</v>
      </c>
      <c r="F78" s="18">
        <v>2933828</v>
      </c>
      <c r="G78" s="19">
        <v>4984812</v>
      </c>
      <c r="H78" s="19">
        <v>1049672</v>
      </c>
      <c r="I78" s="16" t="s">
        <v>2186</v>
      </c>
      <c r="J78" s="16" t="s">
        <v>2050</v>
      </c>
      <c r="K78" s="16" t="s">
        <v>2033</v>
      </c>
      <c r="L78" s="16"/>
    </row>
    <row r="79" ht="15">
      <c r="A79" s="16" t="s">
        <v>2189</v>
      </c>
      <c r="B79" s="16" t="s">
        <v>2190</v>
      </c>
      <c r="C79" s="16"/>
      <c r="D79" s="20" t="s">
        <v>1626</v>
      </c>
      <c r="E79" s="16" t="str">
        <f>VLOOKUP(D79,fonds!$A$1:$B$495,2,FALSE())</f>
        <v>IT-ASFi/DNEmpoliSStefano</v>
      </c>
      <c r="F79" s="18">
        <v>3177400</v>
      </c>
      <c r="G79" s="19">
        <v>4371795</v>
      </c>
      <c r="H79" s="19">
        <v>1094758</v>
      </c>
      <c r="I79" s="16" t="s">
        <v>2189</v>
      </c>
      <c r="J79" s="16" t="s">
        <v>2023</v>
      </c>
      <c r="K79" s="16" t="s">
        <v>2060</v>
      </c>
      <c r="L79" s="16"/>
    </row>
    <row r="80" ht="15">
      <c r="A80" s="16" t="s">
        <v>2191</v>
      </c>
      <c r="B80" s="16" t="s">
        <v>2030</v>
      </c>
      <c r="C80" s="16" t="s">
        <v>2192</v>
      </c>
      <c r="D80" s="17" t="s">
        <v>1186</v>
      </c>
      <c r="E80" s="16" t="str">
        <f>VLOOKUP(D80,fonds!$A$1:$B$495,2,FALSE())</f>
        <v>DE-StAAm/EnsdorfOSB</v>
      </c>
      <c r="F80" s="18">
        <v>2930019</v>
      </c>
      <c r="G80" s="16" t="s">
        <v>2193</v>
      </c>
      <c r="H80" s="19">
        <v>678333</v>
      </c>
      <c r="I80" s="16" t="s">
        <v>2191</v>
      </c>
      <c r="J80" s="16" t="s">
        <v>2032</v>
      </c>
      <c r="K80" s="16" t="s">
        <v>2194</v>
      </c>
      <c r="L80" s="16"/>
    </row>
    <row r="81" ht="15">
      <c r="A81" s="16" t="s">
        <v>2195</v>
      </c>
      <c r="B81" s="16" t="s">
        <v>2196</v>
      </c>
      <c r="C81" s="16"/>
      <c r="D81" s="17" t="s">
        <v>1802</v>
      </c>
      <c r="E81" s="16" t="str">
        <f>VLOOKUP(D81,fonds!$A$1:$B$495,2,FALSE())</f>
        <v>IT-ASFi/DNCamaldoli</v>
      </c>
      <c r="F81" s="18">
        <v>11790397</v>
      </c>
      <c r="G81" s="19">
        <v>4381025</v>
      </c>
      <c r="H81" s="19">
        <v>1181692</v>
      </c>
      <c r="I81" s="16" t="s">
        <v>2197</v>
      </c>
      <c r="J81" s="16" t="s">
        <v>2087</v>
      </c>
      <c r="K81" s="16" t="s">
        <v>2060</v>
      </c>
      <c r="L81" s="16"/>
    </row>
    <row r="82" ht="15">
      <c r="A82" s="16" t="s">
        <v>2198</v>
      </c>
      <c r="B82" s="16" t="s">
        <v>2199</v>
      </c>
      <c r="C82" s="16"/>
      <c r="D82" s="20" t="s">
        <v>124</v>
      </c>
      <c r="E82" s="16" t="str">
        <f>VLOOKUP(D82,fonds!$A$1:$B$495,2,FALSE())</f>
        <v>AT-HHStA/ErlaOSB</v>
      </c>
      <c r="F82" s="18"/>
      <c r="G82" s="24">
        <v>4819924</v>
      </c>
      <c r="H82" s="24">
        <v>145695</v>
      </c>
      <c r="I82" s="16" t="s">
        <v>2198</v>
      </c>
      <c r="J82" s="16"/>
      <c r="K82" s="16" t="s">
        <v>2037</v>
      </c>
      <c r="L82" s="16"/>
    </row>
    <row r="83" ht="15">
      <c r="A83" s="16" t="s">
        <v>2200</v>
      </c>
      <c r="B83" s="16" t="s">
        <v>2064</v>
      </c>
      <c r="C83" s="16"/>
      <c r="D83" s="17" t="s">
        <v>1730</v>
      </c>
      <c r="E83" s="16" t="str">
        <f>VLOOKUP(D83,fonds!$A$1:$B$495,2,FALSE())</f>
        <v>IT-ASFi/DNFiesoleSDomenico</v>
      </c>
      <c r="F83" s="18">
        <v>3177019</v>
      </c>
      <c r="G83" s="19">
        <v>4380455</v>
      </c>
      <c r="H83" s="19">
        <v>1129487</v>
      </c>
      <c r="I83" s="16" t="s">
        <v>2200</v>
      </c>
      <c r="J83" s="16" t="s">
        <v>2023</v>
      </c>
      <c r="K83" s="16" t="s">
        <v>2060</v>
      </c>
      <c r="L83" s="16"/>
    </row>
    <row r="84" ht="15">
      <c r="A84" s="16" t="s">
        <v>2200</v>
      </c>
      <c r="B84" s="16" t="s">
        <v>2201</v>
      </c>
      <c r="C84" s="16"/>
      <c r="D84" s="20" t="s">
        <v>1782</v>
      </c>
      <c r="E84" s="16" t="str">
        <f>VLOOKUP(D84,fonds!$A$1:$B$495,2,FALSE())</f>
        <v>IT-ASFi/DNFiesoleSBartolomeo</v>
      </c>
      <c r="F84" s="18">
        <v>3177019</v>
      </c>
      <c r="G84" s="19">
        <v>4380455</v>
      </c>
      <c r="H84" s="19">
        <v>1129487</v>
      </c>
      <c r="I84" s="16" t="s">
        <v>2200</v>
      </c>
      <c r="J84" s="16" t="s">
        <v>2023</v>
      </c>
      <c r="K84" s="16" t="s">
        <v>2060</v>
      </c>
      <c r="L84" s="16"/>
    </row>
    <row r="85" ht="15">
      <c r="A85" s="16" t="s">
        <v>2202</v>
      </c>
      <c r="B85" s="16" t="s">
        <v>2203</v>
      </c>
      <c r="C85" s="16"/>
      <c r="D85" s="17" t="s">
        <v>1594</v>
      </c>
      <c r="E85" s="16" t="str">
        <f>VLOOKUP(D85,fonds!$A$1:$B$495,2,FALSE())</f>
        <v>IT-ASFi/DNFivizzanoSGiovanniBattista</v>
      </c>
      <c r="F85" s="18">
        <v>3176919</v>
      </c>
      <c r="G85" s="19">
        <v>4423784</v>
      </c>
      <c r="H85" s="23" t="s">
        <v>2204</v>
      </c>
      <c r="I85" s="16" t="s">
        <v>2202</v>
      </c>
      <c r="J85" s="16" t="s">
        <v>2023</v>
      </c>
      <c r="K85" s="16" t="s">
        <v>2060</v>
      </c>
      <c r="L85" s="16"/>
    </row>
    <row r="86" ht="15">
      <c r="A86" s="16" t="s">
        <v>2205</v>
      </c>
      <c r="B86" s="16" t="s">
        <v>2206</v>
      </c>
      <c r="C86" s="16"/>
      <c r="D86" s="17" t="s">
        <v>1430</v>
      </c>
      <c r="E86" s="16" t="str">
        <f>VLOOKUP(D86,fonds!$A$1:$B$495,2,FALSE())</f>
        <v>IT-ASFi/DNFirenzeSGiovanniBoldrone</v>
      </c>
      <c r="F86" s="18">
        <v>3176959</v>
      </c>
      <c r="G86" s="19">
        <v>4377925</v>
      </c>
      <c r="H86" s="19">
        <v>1124626</v>
      </c>
      <c r="I86" s="16" t="s">
        <v>2207</v>
      </c>
      <c r="J86" s="16" t="s">
        <v>2107</v>
      </c>
      <c r="K86" s="16" t="s">
        <v>2060</v>
      </c>
      <c r="L86" s="16"/>
    </row>
    <row r="87" ht="15">
      <c r="A87" s="16" t="s">
        <v>2205</v>
      </c>
      <c r="B87" s="16" t="s">
        <v>2208</v>
      </c>
      <c r="C87" s="16"/>
      <c r="D87" s="20" t="s">
        <v>1442</v>
      </c>
      <c r="E87" s="16" t="str">
        <f>VLOOKUP(D87,fonds!$A$1:$B$495,2,FALSE())</f>
        <v>IT-ASFi/DNFirenzeSMiniato</v>
      </c>
      <c r="F87" s="18">
        <v>3176959</v>
      </c>
      <c r="G87" s="19">
        <v>4377925</v>
      </c>
      <c r="H87" s="19">
        <v>1124626</v>
      </c>
      <c r="I87" s="16" t="s">
        <v>2207</v>
      </c>
      <c r="J87" s="16" t="s">
        <v>2107</v>
      </c>
      <c r="K87" s="16" t="s">
        <v>2060</v>
      </c>
      <c r="L87" s="16"/>
    </row>
    <row r="88" ht="15">
      <c r="A88" s="16" t="s">
        <v>2205</v>
      </c>
      <c r="B88" s="16" t="s">
        <v>2209</v>
      </c>
      <c r="C88" s="16"/>
      <c r="D88" s="17" t="s">
        <v>1446</v>
      </c>
      <c r="E88" s="16" t="str">
        <f>VLOOKUP(D88,fonds!$A$1:$B$495,2,FALSE())</f>
        <v>IT-ASFi/DNFirenzeSSilvestro</v>
      </c>
      <c r="F88" s="18">
        <v>3176959</v>
      </c>
      <c r="G88" s="19">
        <v>4377925</v>
      </c>
      <c r="H88" s="19">
        <v>1124626</v>
      </c>
      <c r="I88" s="16" t="s">
        <v>2207</v>
      </c>
      <c r="J88" s="16" t="s">
        <v>2107</v>
      </c>
      <c r="K88" s="16" t="s">
        <v>2060</v>
      </c>
      <c r="L88" s="16"/>
    </row>
    <row r="89" ht="15">
      <c r="A89" s="16" t="s">
        <v>2205</v>
      </c>
      <c r="B89" s="16" t="s">
        <v>2210</v>
      </c>
      <c r="C89" s="16"/>
      <c r="D89" s="17" t="s">
        <v>1450</v>
      </c>
      <c r="E89" s="16" t="str">
        <f>VLOOKUP(D89,fonds!$A$1:$B$495,2,FALSE())</f>
        <v>IT-ASFi/DNFirenzeSCroce</v>
      </c>
      <c r="F89" s="18">
        <v>3176959</v>
      </c>
      <c r="G89" s="19">
        <v>4377925</v>
      </c>
      <c r="H89" s="19">
        <v>1124626</v>
      </c>
      <c r="I89" s="16" t="s">
        <v>2207</v>
      </c>
      <c r="J89" s="16" t="s">
        <v>2107</v>
      </c>
      <c r="K89" s="16" t="s">
        <v>2060</v>
      </c>
      <c r="L89" s="16"/>
    </row>
    <row r="90" ht="15">
      <c r="A90" s="16" t="s">
        <v>2205</v>
      </c>
      <c r="B90" s="16" t="s">
        <v>2211</v>
      </c>
      <c r="C90" s="16"/>
      <c r="D90" s="20" t="s">
        <v>1458</v>
      </c>
      <c r="E90" s="16" t="str">
        <f>VLOOKUP(D90,fonds!$A$1:$B$495,2,FALSE())</f>
        <v>IT-ASFi/DNFirenzeSMariaDellaPieta</v>
      </c>
      <c r="F90" s="18">
        <v>3176959</v>
      </c>
      <c r="G90" s="19">
        <v>4377925</v>
      </c>
      <c r="H90" s="19">
        <v>1124626</v>
      </c>
      <c r="I90" s="16" t="s">
        <v>2207</v>
      </c>
      <c r="J90" s="16" t="s">
        <v>2107</v>
      </c>
      <c r="K90" s="16" t="s">
        <v>2060</v>
      </c>
      <c r="L90" s="16"/>
    </row>
    <row r="91" ht="15">
      <c r="A91" s="16" t="s">
        <v>2205</v>
      </c>
      <c r="B91" s="16" t="s">
        <v>2212</v>
      </c>
      <c r="C91" s="16"/>
      <c r="D91" s="17" t="s">
        <v>1462</v>
      </c>
      <c r="E91" s="16" t="str">
        <f>VLOOKUP(D91,fonds!$A$1:$B$495,2,FALSE())</f>
        <v>IT-ASFi/DNFirenzeSIacopoRipoli</v>
      </c>
      <c r="F91" s="18">
        <v>3176959</v>
      </c>
      <c r="G91" s="19">
        <v>4377925</v>
      </c>
      <c r="H91" s="19">
        <v>1124626</v>
      </c>
      <c r="I91" s="16" t="s">
        <v>2207</v>
      </c>
      <c r="J91" s="16" t="s">
        <v>2107</v>
      </c>
      <c r="K91" s="16" t="s">
        <v>2060</v>
      </c>
      <c r="L91" s="16"/>
    </row>
    <row r="92" ht="15">
      <c r="A92" s="16" t="s">
        <v>2205</v>
      </c>
      <c r="B92" s="16" t="s">
        <v>2213</v>
      </c>
      <c r="C92" s="16"/>
      <c r="D92" s="17" t="s">
        <v>1466</v>
      </c>
      <c r="E92" s="16" t="str">
        <f>VLOOKUP(D92,fonds!$A$1:$B$495,2,FALSE())</f>
        <v>IT-ASFi/DNFirenzeSPaolino</v>
      </c>
      <c r="F92" s="18">
        <v>3176959</v>
      </c>
      <c r="G92" s="19">
        <v>4377925</v>
      </c>
      <c r="H92" s="19">
        <v>1124626</v>
      </c>
      <c r="I92" s="16" t="s">
        <v>2207</v>
      </c>
      <c r="J92" s="16" t="s">
        <v>2107</v>
      </c>
      <c r="K92" s="16" t="s">
        <v>2060</v>
      </c>
      <c r="L92" s="16"/>
    </row>
    <row r="93" ht="15">
      <c r="A93" s="16" t="s">
        <v>2205</v>
      </c>
      <c r="B93" s="16" t="s">
        <v>2214</v>
      </c>
      <c r="C93" s="16"/>
      <c r="D93" s="20" t="s">
        <v>1470</v>
      </c>
      <c r="E93" s="16" t="str">
        <f>VLOOKUP(D93,fonds!$A$1:$B$495,2,FALSE())</f>
        <v>IT-ASFi/DNFirenzeSFelicita</v>
      </c>
      <c r="F93" s="18">
        <v>3176959</v>
      </c>
      <c r="G93" s="19">
        <v>4377925</v>
      </c>
      <c r="H93" s="19">
        <v>1124626</v>
      </c>
      <c r="I93" s="16" t="s">
        <v>2207</v>
      </c>
      <c r="J93" s="16" t="s">
        <v>2107</v>
      </c>
      <c r="K93" s="16" t="s">
        <v>2060</v>
      </c>
      <c r="L93" s="16"/>
    </row>
    <row r="94" ht="15">
      <c r="A94" s="16" t="s">
        <v>2205</v>
      </c>
      <c r="B94" s="16" t="s">
        <v>2215</v>
      </c>
      <c r="C94" s="16"/>
      <c r="D94" s="17" t="s">
        <v>1474</v>
      </c>
      <c r="E94" s="16" t="str">
        <f>VLOOKUP(D94,fonds!$A$1:$B$495,2,FALSE())</f>
        <v>IT-ASFi/DNFirenzeSPierMartire</v>
      </c>
      <c r="F94" s="18">
        <v>3176959</v>
      </c>
      <c r="G94" s="19">
        <v>4377925</v>
      </c>
      <c r="H94" s="19">
        <v>1124626</v>
      </c>
      <c r="I94" s="16" t="s">
        <v>2207</v>
      </c>
      <c r="J94" s="16" t="s">
        <v>2107</v>
      </c>
      <c r="K94" s="16" t="s">
        <v>2060</v>
      </c>
      <c r="L94" s="16"/>
    </row>
    <row r="95" ht="15">
      <c r="A95" s="16" t="s">
        <v>2205</v>
      </c>
      <c r="B95" s="16" t="s">
        <v>2216</v>
      </c>
      <c r="C95" s="16"/>
      <c r="D95" s="17" t="s">
        <v>1482</v>
      </c>
      <c r="E95" s="16" t="str">
        <f>VLOOKUP(D95,fonds!$A$1:$B$495,2,FALSE())</f>
        <v>IT-ASFi/DNFirenzeSApollonia</v>
      </c>
      <c r="F95" s="18">
        <v>3176959</v>
      </c>
      <c r="G95" s="19">
        <v>4377925</v>
      </c>
      <c r="H95" s="19">
        <v>1124626</v>
      </c>
      <c r="I95" s="16" t="s">
        <v>2207</v>
      </c>
      <c r="J95" s="16" t="s">
        <v>2107</v>
      </c>
      <c r="K95" s="16" t="s">
        <v>2060</v>
      </c>
      <c r="L95" s="16"/>
    </row>
    <row r="96" ht="15">
      <c r="A96" s="16" t="s">
        <v>2205</v>
      </c>
      <c r="B96" s="16" t="s">
        <v>2217</v>
      </c>
      <c r="C96" s="16"/>
      <c r="D96" s="20" t="s">
        <v>1490</v>
      </c>
      <c r="E96" s="16" t="str">
        <f>VLOOKUP(D96,fonds!$A$1:$B$495,2,FALSE())</f>
        <v>IT-ASFi/DNFirenzeSmaAnnunziata</v>
      </c>
      <c r="F96" s="18">
        <v>3176959</v>
      </c>
      <c r="G96" s="19">
        <v>4377925</v>
      </c>
      <c r="H96" s="19">
        <v>1124626</v>
      </c>
      <c r="I96" s="16" t="s">
        <v>2207</v>
      </c>
      <c r="J96" s="16" t="s">
        <v>2107</v>
      </c>
      <c r="K96" s="16" t="s">
        <v>2060</v>
      </c>
      <c r="L96" s="16"/>
    </row>
    <row r="97" ht="15">
      <c r="A97" s="16" t="s">
        <v>2205</v>
      </c>
      <c r="B97" s="16" t="s">
        <v>2218</v>
      </c>
      <c r="C97" s="16"/>
      <c r="D97" s="20" t="s">
        <v>1494</v>
      </c>
      <c r="E97" s="16" t="str">
        <f>VLOOKUP(D97,fonds!$A$1:$B$495,2,FALSE())</f>
        <v>IT-ASFi/DNFirenzeSDomenico</v>
      </c>
      <c r="F97" s="18">
        <v>3176959</v>
      </c>
      <c r="G97" s="19">
        <v>4377925</v>
      </c>
      <c r="H97" s="19">
        <v>1124626</v>
      </c>
      <c r="I97" s="16" t="s">
        <v>2207</v>
      </c>
      <c r="J97" s="16" t="s">
        <v>2107</v>
      </c>
      <c r="K97" s="16" t="s">
        <v>2060</v>
      </c>
      <c r="L97" s="16"/>
    </row>
    <row r="98" ht="15">
      <c r="A98" s="16" t="s">
        <v>2205</v>
      </c>
      <c r="B98" s="16" t="s">
        <v>2219</v>
      </c>
      <c r="C98" s="16"/>
      <c r="D98" s="17" t="s">
        <v>1502</v>
      </c>
      <c r="E98" s="16" t="str">
        <f>VLOOKUP(D98,fonds!$A$1:$B$495,2,FALSE())</f>
        <v>IT-ASFi/DNFirenzeSMarco</v>
      </c>
      <c r="F98" s="18">
        <v>3176959</v>
      </c>
      <c r="G98" s="19">
        <v>4377925</v>
      </c>
      <c r="H98" s="19">
        <v>1124626</v>
      </c>
      <c r="I98" s="16" t="s">
        <v>2207</v>
      </c>
      <c r="J98" s="16" t="s">
        <v>2107</v>
      </c>
      <c r="K98" s="16" t="s">
        <v>2060</v>
      </c>
      <c r="L98" s="16"/>
    </row>
    <row r="99" ht="15">
      <c r="A99" s="16" t="s">
        <v>2205</v>
      </c>
      <c r="B99" s="16" t="s">
        <v>2220</v>
      </c>
      <c r="C99" s="16"/>
      <c r="D99" s="20" t="s">
        <v>1518</v>
      </c>
      <c r="E99" s="16" t="str">
        <f>VLOOKUP(D99,fonds!$A$1:$B$495,2,FALSE())</f>
        <v>IT-ASFi/DNFirenzeSIacopo</v>
      </c>
      <c r="F99" s="18">
        <v>3176959</v>
      </c>
      <c r="G99" s="19">
        <v>4377925</v>
      </c>
      <c r="H99" s="19">
        <v>1124626</v>
      </c>
      <c r="I99" s="16" t="s">
        <v>2207</v>
      </c>
      <c r="J99" s="16" t="s">
        <v>2107</v>
      </c>
      <c r="K99" s="16" t="s">
        <v>2060</v>
      </c>
      <c r="L99" s="16"/>
    </row>
    <row r="100" ht="15">
      <c r="A100" s="16" t="s">
        <v>2205</v>
      </c>
      <c r="B100" s="16" t="s">
        <v>2221</v>
      </c>
      <c r="C100" s="16"/>
      <c r="D100" s="17" t="s">
        <v>1526</v>
      </c>
      <c r="E100" s="16" t="str">
        <f>VLOOKUP(D100,fonds!$A$1:$B$495,2,FALSE())</f>
        <v>IT-ASFi/DNFirenzeSMariaAFonteviva</v>
      </c>
      <c r="F100" s="18">
        <v>3176959</v>
      </c>
      <c r="G100" s="19">
        <v>4377925</v>
      </c>
      <c r="H100" s="19">
        <v>1124626</v>
      </c>
      <c r="I100" s="16" t="s">
        <v>2207</v>
      </c>
      <c r="J100" s="16" t="s">
        <v>2107</v>
      </c>
      <c r="K100" s="16" t="s">
        <v>2060</v>
      </c>
      <c r="L100" s="16"/>
    </row>
    <row r="101" ht="15">
      <c r="A101" s="16" t="s">
        <v>2205</v>
      </c>
      <c r="B101" s="16" t="s">
        <v>2222</v>
      </c>
      <c r="C101" s="16"/>
      <c r="D101" s="20" t="s">
        <v>1534</v>
      </c>
      <c r="E101" s="16" t="str">
        <f>VLOOKUP(D101,fonds!$A$1:$B$495,2,FALSE())</f>
        <v>IT-ASFi/DNFirenzeSMariaSulPrato</v>
      </c>
      <c r="F101" s="18">
        <v>3176959</v>
      </c>
      <c r="G101" s="19">
        <v>4377925</v>
      </c>
      <c r="H101" s="19">
        <v>1124626</v>
      </c>
      <c r="I101" s="16" t="s">
        <v>2207</v>
      </c>
      <c r="J101" s="16" t="s">
        <v>2107</v>
      </c>
      <c r="K101" s="16" t="s">
        <v>2060</v>
      </c>
      <c r="L101" s="16"/>
    </row>
    <row r="102" ht="15">
      <c r="A102" s="16" t="s">
        <v>2205</v>
      </c>
      <c r="B102" s="16" t="s">
        <v>2223</v>
      </c>
      <c r="C102" s="16"/>
      <c r="D102" s="20" t="s">
        <v>1542</v>
      </c>
      <c r="E102" s="16" t="str">
        <f>VLOOKUP(D102,fonds!$A$1:$B$495,2,FALSE())</f>
        <v>IT-ASFi/DNFirenzeSPierMaggiore</v>
      </c>
      <c r="F102" s="18">
        <v>3176959</v>
      </c>
      <c r="G102" s="19">
        <v>4377925</v>
      </c>
      <c r="H102" s="19">
        <v>1124626</v>
      </c>
      <c r="I102" s="16" t="s">
        <v>2207</v>
      </c>
      <c r="J102" s="16" t="s">
        <v>2107</v>
      </c>
      <c r="K102" s="16" t="s">
        <v>2060</v>
      </c>
      <c r="L102" s="16"/>
    </row>
    <row r="103" ht="15">
      <c r="A103" s="16" t="s">
        <v>2205</v>
      </c>
      <c r="B103" s="16" t="s">
        <v>2224</v>
      </c>
      <c r="C103" s="16"/>
      <c r="D103" s="20" t="s">
        <v>1550</v>
      </c>
      <c r="E103" s="16" t="str">
        <f>VLOOKUP(D103,fonds!$A$1:$B$495,2,FALSE())</f>
        <v>IT-ASFi/DNFirenzeSOrsola</v>
      </c>
      <c r="F103" s="18">
        <v>3176959</v>
      </c>
      <c r="G103" s="19">
        <v>4377925</v>
      </c>
      <c r="H103" s="19">
        <v>1124626</v>
      </c>
      <c r="I103" s="16" t="s">
        <v>2207</v>
      </c>
      <c r="J103" s="16" t="s">
        <v>2107</v>
      </c>
      <c r="K103" s="16" t="s">
        <v>2060</v>
      </c>
      <c r="L103" s="16"/>
    </row>
    <row r="104" ht="15">
      <c r="A104" s="16" t="s">
        <v>2205</v>
      </c>
      <c r="B104" s="16" t="s">
        <v>2225</v>
      </c>
      <c r="C104" s="16"/>
      <c r="D104" s="17" t="s">
        <v>1558</v>
      </c>
      <c r="E104" s="16" t="str">
        <f>VLOOKUP(D104,fonds!$A$1:$B$495,2,FALSE())</f>
        <v>IT-ASFi/DNFirenzeSMariaDellaBadia</v>
      </c>
      <c r="F104" s="18">
        <v>3176959</v>
      </c>
      <c r="G104" s="19">
        <v>4377925</v>
      </c>
      <c r="H104" s="19">
        <v>1124626</v>
      </c>
      <c r="I104" s="16" t="s">
        <v>2207</v>
      </c>
      <c r="J104" s="16" t="s">
        <v>2107</v>
      </c>
      <c r="K104" s="16" t="s">
        <v>2060</v>
      </c>
      <c r="L104" s="16"/>
    </row>
    <row r="105" ht="15">
      <c r="A105" s="16" t="s">
        <v>2205</v>
      </c>
      <c r="B105" s="16" t="s">
        <v>2226</v>
      </c>
      <c r="C105" s="16"/>
      <c r="D105" s="20" t="s">
        <v>1566</v>
      </c>
      <c r="E105" s="16" t="str">
        <f>VLOOKUP(D105,fonds!$A$1:$B$495,2,FALSE())</f>
        <v>IT-ASFi/DNFirenzeSMariaNovella</v>
      </c>
      <c r="F105" s="18">
        <v>3176959</v>
      </c>
      <c r="G105" s="19">
        <v>4377925</v>
      </c>
      <c r="H105" s="19">
        <v>1124626</v>
      </c>
      <c r="I105" s="16" t="s">
        <v>2207</v>
      </c>
      <c r="J105" s="16" t="s">
        <v>2107</v>
      </c>
      <c r="K105" s="16" t="s">
        <v>2060</v>
      </c>
      <c r="L105" s="16"/>
    </row>
    <row r="106" ht="15">
      <c r="A106" s="16" t="s">
        <v>2205</v>
      </c>
      <c r="B106" s="16" t="s">
        <v>2227</v>
      </c>
      <c r="C106" s="16"/>
      <c r="D106" s="17" t="s">
        <v>1578</v>
      </c>
      <c r="E106" s="16" t="str">
        <f>VLOOKUP(D106,fonds!$A$1:$B$495,2,FALSE())</f>
        <v>IT-ASFi/DNFirenzeSMonaca</v>
      </c>
      <c r="F106" s="18">
        <v>3176959</v>
      </c>
      <c r="G106" s="19">
        <v>4377925</v>
      </c>
      <c r="H106" s="19">
        <v>1124626</v>
      </c>
      <c r="I106" s="16" t="s">
        <v>2207</v>
      </c>
      <c r="J106" s="16" t="s">
        <v>2107</v>
      </c>
      <c r="K106" s="16" t="s">
        <v>2060</v>
      </c>
      <c r="L106" s="16"/>
    </row>
    <row r="107" ht="15">
      <c r="A107" s="16" t="s">
        <v>2205</v>
      </c>
      <c r="B107" s="16" t="s">
        <v>2228</v>
      </c>
      <c r="C107" s="16"/>
      <c r="D107" s="20" t="s">
        <v>1582</v>
      </c>
      <c r="E107" s="16" t="str">
        <f>VLOOKUP(D107,fonds!$A$1:$B$495,2,FALSE())</f>
        <v>IT-ASFi/DNFirenzeSPancrazio</v>
      </c>
      <c r="F107" s="18">
        <v>3176959</v>
      </c>
      <c r="G107" s="19">
        <v>4377925</v>
      </c>
      <c r="H107" s="19">
        <v>1124626</v>
      </c>
      <c r="I107" s="16" t="s">
        <v>2207</v>
      </c>
      <c r="J107" s="16" t="s">
        <v>2107</v>
      </c>
      <c r="K107" s="16" t="s">
        <v>2060</v>
      </c>
      <c r="L107" s="16"/>
    </row>
    <row r="108" ht="15">
      <c r="A108" s="16" t="s">
        <v>2205</v>
      </c>
      <c r="B108" s="16" t="s">
        <v>2229</v>
      </c>
      <c r="C108" s="16"/>
      <c r="D108" s="20" t="s">
        <v>1598</v>
      </c>
      <c r="E108" s="16" t="str">
        <f>VLOOKUP(D108,fonds!$A$1:$B$495,2,FALSE())</f>
        <v>IT-ASFi/DNFirenzeSDonato</v>
      </c>
      <c r="F108" s="18">
        <v>3176959</v>
      </c>
      <c r="G108" s="19">
        <v>4377925</v>
      </c>
      <c r="H108" s="19">
        <v>1124626</v>
      </c>
      <c r="I108" s="16" t="s">
        <v>2207</v>
      </c>
      <c r="J108" s="16" t="s">
        <v>2107</v>
      </c>
      <c r="K108" s="16" t="s">
        <v>2060</v>
      </c>
      <c r="L108" s="16"/>
    </row>
    <row r="109" ht="15">
      <c r="A109" s="16" t="s">
        <v>2205</v>
      </c>
      <c r="B109" s="16" t="s">
        <v>2230</v>
      </c>
      <c r="C109" s="16"/>
      <c r="D109" s="17" t="s">
        <v>1614</v>
      </c>
      <c r="E109" s="16" t="str">
        <f>VLOOKUP(D109,fonds!$A$1:$B$495,2,FALSE())</f>
        <v>IT-ASFi/DNFirenzeSMariaAnnunziata</v>
      </c>
      <c r="F109" s="18">
        <v>3176959</v>
      </c>
      <c r="G109" s="19">
        <v>4377925</v>
      </c>
      <c r="H109" s="19">
        <v>1124626</v>
      </c>
      <c r="I109" s="16" t="s">
        <v>2207</v>
      </c>
      <c r="J109" s="16" t="s">
        <v>2107</v>
      </c>
      <c r="K109" s="16" t="s">
        <v>2060</v>
      </c>
      <c r="L109" s="16"/>
    </row>
    <row r="110" ht="15">
      <c r="A110" s="16" t="s">
        <v>2205</v>
      </c>
      <c r="B110" s="16" t="s">
        <v>2231</v>
      </c>
      <c r="C110" s="16"/>
      <c r="D110" s="17" t="s">
        <v>1630</v>
      </c>
      <c r="E110" s="16" t="str">
        <f>VLOOKUP(D110,fonds!$A$1:$B$495,2,FALSE())</f>
        <v>IT-ASFi/DNFirenzeSMariaDegliAngioli</v>
      </c>
      <c r="F110" s="18">
        <v>3176959</v>
      </c>
      <c r="G110" s="19">
        <v>4377925</v>
      </c>
      <c r="H110" s="19">
        <v>1124626</v>
      </c>
      <c r="I110" s="16" t="s">
        <v>2207</v>
      </c>
      <c r="J110" s="16" t="s">
        <v>2107</v>
      </c>
      <c r="K110" s="16" t="s">
        <v>2060</v>
      </c>
      <c r="L110" s="16"/>
    </row>
    <row r="111" ht="15">
      <c r="A111" s="16" t="s">
        <v>2205</v>
      </c>
      <c r="B111" s="16" t="s">
        <v>2232</v>
      </c>
      <c r="C111" s="16"/>
      <c r="D111" s="17" t="s">
        <v>1638</v>
      </c>
      <c r="E111" s="16" t="str">
        <f>VLOOKUP(D111,fonds!$A$1:$B$495,2,FALSE())</f>
        <v>IT-ASFi/DNFirenzeSAntonioAbate</v>
      </c>
      <c r="F111" s="18">
        <v>3176959</v>
      </c>
      <c r="G111" s="19">
        <v>4377925</v>
      </c>
      <c r="H111" s="19">
        <v>1124626</v>
      </c>
      <c r="I111" s="16" t="s">
        <v>2207</v>
      </c>
      <c r="J111" s="16" t="s">
        <v>2107</v>
      </c>
      <c r="K111" s="16" t="s">
        <v>2060</v>
      </c>
      <c r="L111" s="16"/>
    </row>
    <row r="112" ht="15">
      <c r="A112" s="16" t="s">
        <v>2205</v>
      </c>
      <c r="B112" s="16" t="s">
        <v>2233</v>
      </c>
      <c r="C112" s="16"/>
      <c r="D112" s="17" t="s">
        <v>1662</v>
      </c>
      <c r="E112" s="16" t="str">
        <f>VLOOKUP(D112,fonds!$A$1:$B$495,2,FALSE())</f>
        <v>IT-ASFi/DNFirenzeSFrancesco</v>
      </c>
      <c r="F112" s="18">
        <v>3176959</v>
      </c>
      <c r="G112" s="19">
        <v>4377925</v>
      </c>
      <c r="H112" s="19">
        <v>1124626</v>
      </c>
      <c r="I112" s="16" t="s">
        <v>2207</v>
      </c>
      <c r="J112" s="16" t="s">
        <v>2107</v>
      </c>
      <c r="K112" s="16" t="s">
        <v>2060</v>
      </c>
      <c r="L112" s="16"/>
    </row>
    <row r="113" ht="15">
      <c r="A113" s="16" t="s">
        <v>2205</v>
      </c>
      <c r="B113" s="16" t="s">
        <v>2234</v>
      </c>
      <c r="C113" s="16"/>
      <c r="D113" s="20" t="s">
        <v>1686</v>
      </c>
      <c r="E113" s="16" t="str">
        <f>VLOOKUP(D113,fonds!$A$1:$B$495,2,FALSE())</f>
        <v>IT-ASFi/DNFirenzeSAmbrogio</v>
      </c>
      <c r="F113" s="18">
        <v>3176959</v>
      </c>
      <c r="G113" s="19">
        <v>4377925</v>
      </c>
      <c r="H113" s="19">
        <v>1124626</v>
      </c>
      <c r="I113" s="16" t="s">
        <v>2207</v>
      </c>
      <c r="J113" s="16" t="s">
        <v>2107</v>
      </c>
      <c r="K113" s="16" t="s">
        <v>2060</v>
      </c>
      <c r="L113" s="16"/>
    </row>
    <row r="114" ht="15">
      <c r="A114" s="16" t="s">
        <v>2205</v>
      </c>
      <c r="B114" s="16" t="s">
        <v>2235</v>
      </c>
      <c r="C114" s="16"/>
      <c r="D114" s="20" t="s">
        <v>1690</v>
      </c>
      <c r="E114" s="16" t="str">
        <f>VLOOKUP(D114,fonds!$A$1:$B$495,2,FALSE())</f>
        <v>IT-ASFi/DNFirenzeSSalvi</v>
      </c>
      <c r="F114" s="18">
        <v>3176959</v>
      </c>
      <c r="G114" s="19">
        <v>4377925</v>
      </c>
      <c r="H114" s="19">
        <v>1124626</v>
      </c>
      <c r="I114" s="16" t="s">
        <v>2207</v>
      </c>
      <c r="J114" s="16" t="s">
        <v>2107</v>
      </c>
      <c r="K114" s="16" t="s">
        <v>2060</v>
      </c>
      <c r="L114" s="16"/>
    </row>
    <row r="115" ht="15">
      <c r="A115" s="16" t="s">
        <v>2205</v>
      </c>
      <c r="B115" s="16" t="s">
        <v>2236</v>
      </c>
      <c r="C115" s="16"/>
      <c r="D115" s="20" t="s">
        <v>1726</v>
      </c>
      <c r="E115" s="16" t="str">
        <f>VLOOKUP(D115,fonds!$A$1:$B$495,2,FALSE())</f>
        <v>IT-ASFi/DNFirenzeSLucia</v>
      </c>
      <c r="F115" s="18">
        <v>3176959</v>
      </c>
      <c r="G115" s="19">
        <v>4377925</v>
      </c>
      <c r="H115" s="19">
        <v>1124626</v>
      </c>
      <c r="I115" s="16" t="s">
        <v>2207</v>
      </c>
      <c r="J115" s="16" t="s">
        <v>2107</v>
      </c>
      <c r="K115" s="16" t="s">
        <v>2060</v>
      </c>
      <c r="L115" s="16"/>
    </row>
    <row r="116" ht="15">
      <c r="A116" s="16" t="s">
        <v>2205</v>
      </c>
      <c r="B116" s="16" t="s">
        <v>2237</v>
      </c>
      <c r="C116" s="16"/>
      <c r="D116" s="17" t="s">
        <v>1742</v>
      </c>
      <c r="E116" s="16" t="str">
        <f>VLOOKUP(D116,fonds!$A$1:$B$495,2,FALSE())</f>
        <v>IT-ASFi/DNFirenzeSNiccolo</v>
      </c>
      <c r="F116" s="18">
        <v>3176959</v>
      </c>
      <c r="G116" s="19">
        <v>4377925</v>
      </c>
      <c r="H116" s="19">
        <v>1124626</v>
      </c>
      <c r="I116" s="16" t="s">
        <v>2207</v>
      </c>
      <c r="J116" s="16" t="s">
        <v>2107</v>
      </c>
      <c r="K116" s="16" t="s">
        <v>2060</v>
      </c>
      <c r="L116" s="16"/>
    </row>
    <row r="117" ht="15">
      <c r="A117" s="16" t="s">
        <v>2205</v>
      </c>
      <c r="B117" s="16" t="s">
        <v>2238</v>
      </c>
      <c r="C117" s="16"/>
      <c r="D117" s="20" t="s">
        <v>1758</v>
      </c>
      <c r="E117" s="16" t="str">
        <f>VLOOKUP(D117,fonds!$A$1:$B$495,2,FALSE())</f>
        <v>IT-ASFi/DNFirenzeSAgata</v>
      </c>
      <c r="F117" s="18">
        <v>3176959</v>
      </c>
      <c r="G117" s="19">
        <v>4377925</v>
      </c>
      <c r="H117" s="19">
        <v>1124626</v>
      </c>
      <c r="I117" s="16" t="s">
        <v>2207</v>
      </c>
      <c r="J117" s="16" t="s">
        <v>2107</v>
      </c>
      <c r="K117" s="16" t="s">
        <v>2060</v>
      </c>
      <c r="L117" s="16"/>
    </row>
    <row r="118" ht="15">
      <c r="A118" s="16" t="s">
        <v>2205</v>
      </c>
      <c r="B118" s="16" t="s">
        <v>2239</v>
      </c>
      <c r="C118" s="16"/>
      <c r="D118" s="20" t="s">
        <v>1762</v>
      </c>
      <c r="E118" s="16" t="str">
        <f>VLOOKUP(D118,fonds!$A$1:$B$495,2,FALSE())</f>
        <v>IT-ASFi/DNFirenzeSMichele</v>
      </c>
      <c r="F118" s="18">
        <v>3176959</v>
      </c>
      <c r="G118" s="19">
        <v>4377925</v>
      </c>
      <c r="H118" s="19">
        <v>1124626</v>
      </c>
      <c r="I118" s="16" t="s">
        <v>2207</v>
      </c>
      <c r="J118" s="16" t="s">
        <v>2107</v>
      </c>
      <c r="K118" s="16" t="s">
        <v>2060</v>
      </c>
      <c r="L118" s="16"/>
    </row>
    <row r="119" ht="15">
      <c r="A119" s="16" t="s">
        <v>2205</v>
      </c>
      <c r="B119" s="16" t="s">
        <v>2240</v>
      </c>
      <c r="C119" s="16"/>
      <c r="D119" s="17" t="s">
        <v>1770</v>
      </c>
      <c r="E119" s="16" t="str">
        <f>VLOOKUP(D119,fonds!$A$1:$B$495,2,FALSE())</f>
        <v>IT-ASFi/DNFirenzeSTrinitaVallombrosani</v>
      </c>
      <c r="F119" s="18">
        <v>3176959</v>
      </c>
      <c r="G119" s="19">
        <v>4377925</v>
      </c>
      <c r="H119" s="19">
        <v>1124626</v>
      </c>
      <c r="I119" s="16" t="s">
        <v>2207</v>
      </c>
      <c r="J119" s="16" t="s">
        <v>2107</v>
      </c>
      <c r="K119" s="16" t="s">
        <v>2060</v>
      </c>
      <c r="L119" s="16"/>
    </row>
    <row r="120" ht="15">
      <c r="A120" s="16" t="s">
        <v>2205</v>
      </c>
      <c r="B120" s="16" t="s">
        <v>2241</v>
      </c>
      <c r="C120" s="16"/>
      <c r="D120" s="20" t="s">
        <v>1814</v>
      </c>
      <c r="E120" s="16" t="str">
        <f>VLOOKUP(D120,fonds!$A$1:$B$495,2,FALSE())</f>
        <v>IT-ASFi/DNFirenzeSSpirito</v>
      </c>
      <c r="F120" s="18">
        <v>3176959</v>
      </c>
      <c r="G120" s="19">
        <v>4377925</v>
      </c>
      <c r="H120" s="19">
        <v>1124626</v>
      </c>
      <c r="I120" s="16" t="s">
        <v>2207</v>
      </c>
      <c r="J120" s="16" t="s">
        <v>2107</v>
      </c>
      <c r="K120" s="16" t="s">
        <v>2060</v>
      </c>
      <c r="L120" s="16"/>
    </row>
    <row r="121" ht="15">
      <c r="A121" s="16" t="s">
        <v>2205</v>
      </c>
      <c r="B121" s="16" t="s">
        <v>2242</v>
      </c>
      <c r="C121" s="16"/>
      <c r="D121" s="20" t="s">
        <v>1818</v>
      </c>
      <c r="E121" s="16" t="str">
        <f>VLOOKUP(D121,fonds!$A$1:$B$495,2,FALSE())</f>
        <v>IT-ASFi/DNFirenzeSVerdiana</v>
      </c>
      <c r="F121" s="18">
        <v>3176959</v>
      </c>
      <c r="G121" s="19">
        <v>4377925</v>
      </c>
      <c r="H121" s="19">
        <v>1124626</v>
      </c>
      <c r="I121" s="16" t="s">
        <v>2207</v>
      </c>
      <c r="J121" s="16" t="s">
        <v>2107</v>
      </c>
      <c r="K121" s="16" t="s">
        <v>2060</v>
      </c>
      <c r="L121" s="16"/>
    </row>
    <row r="122" ht="15">
      <c r="A122" s="16" t="s">
        <v>2205</v>
      </c>
      <c r="B122" s="16" t="s">
        <v>2243</v>
      </c>
      <c r="C122" s="16"/>
      <c r="D122" s="20" t="s">
        <v>1830</v>
      </c>
      <c r="E122" s="16" t="str">
        <f>VLOOKUP(D122,fonds!$A$1:$B$495,2,FALSE())</f>
        <v>IT-ASFi/DNFirenzeSClemente</v>
      </c>
      <c r="F122" s="18">
        <v>3176959</v>
      </c>
      <c r="G122" s="19">
        <v>4377925</v>
      </c>
      <c r="H122" s="19">
        <v>1124626</v>
      </c>
      <c r="I122" s="16" t="s">
        <v>2207</v>
      </c>
      <c r="J122" s="16" t="s">
        <v>2107</v>
      </c>
      <c r="K122" s="16" t="s">
        <v>2060</v>
      </c>
      <c r="L122" s="16"/>
    </row>
    <row r="123" ht="15">
      <c r="A123" s="16" t="s">
        <v>2205</v>
      </c>
      <c r="B123" s="16" t="s">
        <v>2244</v>
      </c>
      <c r="C123" s="16"/>
      <c r="D123" s="20" t="s">
        <v>1838</v>
      </c>
      <c r="E123" s="16" t="str">
        <f>VLOOKUP(D123,fonds!$A$1:$B$495,2,FALSE())</f>
        <v>IT-ASFi/DNFirenzeSMartino</v>
      </c>
      <c r="F123" s="18">
        <v>3176959</v>
      </c>
      <c r="G123" s="19">
        <v>4377925</v>
      </c>
      <c r="H123" s="19">
        <v>1124626</v>
      </c>
      <c r="I123" s="16" t="s">
        <v>2207</v>
      </c>
      <c r="J123" s="16" t="s">
        <v>2107</v>
      </c>
      <c r="K123" s="16" t="s">
        <v>2060</v>
      </c>
      <c r="L123" s="16"/>
    </row>
    <row r="124" ht="15">
      <c r="A124" s="16" t="s">
        <v>2205</v>
      </c>
      <c r="B124" s="16" t="s">
        <v>2245</v>
      </c>
      <c r="C124" s="16"/>
      <c r="D124" s="20" t="s">
        <v>1842</v>
      </c>
      <c r="E124" s="16" t="str">
        <f>VLOOKUP(D124,fonds!$A$1:$B$495,2,FALSE())</f>
        <v>IT-ASFi/DNFirenzeSSpiritoCosta</v>
      </c>
      <c r="F124" s="18">
        <v>3176959</v>
      </c>
      <c r="G124" s="19">
        <v>4377925</v>
      </c>
      <c r="H124" s="19">
        <v>1124626</v>
      </c>
      <c r="I124" s="16" t="s">
        <v>2207</v>
      </c>
      <c r="J124" s="16" t="s">
        <v>2107</v>
      </c>
      <c r="K124" s="16" t="s">
        <v>2060</v>
      </c>
      <c r="L124" s="16"/>
    </row>
    <row r="125" ht="15">
      <c r="A125" s="16" t="s">
        <v>2205</v>
      </c>
      <c r="B125" s="16" t="s">
        <v>2246</v>
      </c>
      <c r="C125" s="16"/>
      <c r="D125" s="20" t="s">
        <v>1846</v>
      </c>
      <c r="E125" s="16" t="str">
        <f>VLOOKUP(D125,fonds!$A$1:$B$495,2,FALSE())</f>
        <v>IT-ASFi/DNFirenzeSGiuliano</v>
      </c>
      <c r="F125" s="18">
        <v>3176959</v>
      </c>
      <c r="G125" s="19">
        <v>4377925</v>
      </c>
      <c r="H125" s="19">
        <v>1124626</v>
      </c>
      <c r="I125" s="16" t="s">
        <v>2207</v>
      </c>
      <c r="J125" s="16" t="s">
        <v>2107</v>
      </c>
      <c r="K125" s="16" t="s">
        <v>2060</v>
      </c>
      <c r="L125" s="16"/>
    </row>
    <row r="126" ht="15">
      <c r="A126" s="16" t="s">
        <v>2205</v>
      </c>
      <c r="B126" s="16" t="s">
        <v>2247</v>
      </c>
      <c r="C126" s="16"/>
      <c r="D126" s="20" t="s">
        <v>1858</v>
      </c>
      <c r="E126" s="16" t="str">
        <f>VLOOKUP(D126,fonds!$A$1:$B$495,2,FALSE())</f>
        <v>IT-ASFi/DNFirenzeSMariaReginaCoeli</v>
      </c>
      <c r="F126" s="18">
        <v>3176959</v>
      </c>
      <c r="G126" s="19">
        <v>4377925</v>
      </c>
      <c r="H126" s="19">
        <v>1124626</v>
      </c>
      <c r="I126" s="16" t="s">
        <v>2207</v>
      </c>
      <c r="J126" s="16" t="s">
        <v>2107</v>
      </c>
      <c r="K126" s="16" t="s">
        <v>2060</v>
      </c>
      <c r="L126" s="16"/>
    </row>
    <row r="127" ht="15">
      <c r="A127" s="16" t="s">
        <v>2205</v>
      </c>
      <c r="B127" s="16" t="s">
        <v>2248</v>
      </c>
      <c r="C127" s="16"/>
      <c r="D127" s="17" t="s">
        <v>1870</v>
      </c>
      <c r="E127" s="16" t="str">
        <f>VLOOKUP(D127,fonds!$A$1:$B$495,2,FALSE())</f>
        <v>IT-ASFi/DNFirenzeSMariaDelCarmine</v>
      </c>
      <c r="F127" s="18">
        <v>3176959</v>
      </c>
      <c r="G127" s="19">
        <v>4377925</v>
      </c>
      <c r="H127" s="19">
        <v>1124626</v>
      </c>
      <c r="I127" s="16" t="s">
        <v>2207</v>
      </c>
      <c r="J127" s="16" t="s">
        <v>2107</v>
      </c>
      <c r="K127" s="16" t="s">
        <v>2060</v>
      </c>
      <c r="L127" s="16"/>
    </row>
    <row r="128" ht="15">
      <c r="A128" s="16" t="s">
        <v>2205</v>
      </c>
      <c r="B128" s="16" t="s">
        <v>2249</v>
      </c>
      <c r="C128" s="16"/>
      <c r="D128" s="17" t="s">
        <v>1874</v>
      </c>
      <c r="E128" s="16" t="str">
        <f>VLOOKUP(D128,fonds!$A$1:$B$495,2,FALSE())</f>
        <v>IT-ASFi/DNFirenzeSVincenzo</v>
      </c>
      <c r="F128" s="18">
        <v>3176959</v>
      </c>
      <c r="G128" s="19">
        <v>4377925</v>
      </c>
      <c r="H128" s="19">
        <v>1124626</v>
      </c>
      <c r="I128" s="16" t="s">
        <v>2207</v>
      </c>
      <c r="J128" s="16" t="s">
        <v>2107</v>
      </c>
      <c r="K128" s="16" t="s">
        <v>2060</v>
      </c>
      <c r="L128" s="16"/>
    </row>
    <row r="129" ht="15">
      <c r="A129" s="16" t="s">
        <v>2205</v>
      </c>
      <c r="B129" s="16" t="s">
        <v>2250</v>
      </c>
      <c r="C129" s="16"/>
      <c r="D129" s="20" t="s">
        <v>1890</v>
      </c>
      <c r="E129" s="16" t="str">
        <f>VLOOKUP(D129,fonds!$A$1:$B$495,2,FALSE())</f>
        <v>IT-ASFi/DNFirenzeSGirolamo</v>
      </c>
      <c r="F129" s="18">
        <v>3176959</v>
      </c>
      <c r="G129" s="19">
        <v>4377925</v>
      </c>
      <c r="H129" s="19">
        <v>1124626</v>
      </c>
      <c r="I129" s="16" t="s">
        <v>2207</v>
      </c>
      <c r="J129" s="16" t="s">
        <v>2107</v>
      </c>
      <c r="K129" s="16" t="s">
        <v>2060</v>
      </c>
      <c r="L129" s="16"/>
    </row>
    <row r="130" ht="15">
      <c r="A130" s="16" t="s">
        <v>2205</v>
      </c>
      <c r="B130" s="16" t="s">
        <v>2251</v>
      </c>
      <c r="C130" s="16"/>
      <c r="D130" s="20" t="s">
        <v>1894</v>
      </c>
      <c r="E130" s="16" t="str">
        <f>VLOOKUP(D130,fonds!$A$1:$B$495,2,FALSE())</f>
        <v>IT-ASFi/DNFirenzeSAnna</v>
      </c>
      <c r="F130" s="18">
        <v>3176959</v>
      </c>
      <c r="G130" s="19">
        <v>4377925</v>
      </c>
      <c r="H130" s="19">
        <v>1124626</v>
      </c>
      <c r="I130" s="16" t="s">
        <v>2207</v>
      </c>
      <c r="J130" s="16" t="s">
        <v>2107</v>
      </c>
      <c r="K130" s="16" t="s">
        <v>2060</v>
      </c>
      <c r="L130" s="16"/>
    </row>
    <row r="131" ht="15">
      <c r="A131" s="16" t="s">
        <v>2205</v>
      </c>
      <c r="B131" s="16" t="s">
        <v>2252</v>
      </c>
      <c r="C131" s="16"/>
      <c r="D131" s="17" t="s">
        <v>1914</v>
      </c>
      <c r="E131" s="16" t="str">
        <f>VLOOKUP(D131,fonds!$A$1:$B$495,2,FALSE())</f>
        <v>IT-ASFi/DNFirenzeSMariaDelFioreLapo</v>
      </c>
      <c r="F131" s="18">
        <v>3176959</v>
      </c>
      <c r="G131" s="19">
        <v>4377925</v>
      </c>
      <c r="H131" s="19">
        <v>1124626</v>
      </c>
      <c r="I131" s="16" t="s">
        <v>2207</v>
      </c>
      <c r="J131" s="16" t="s">
        <v>2107</v>
      </c>
      <c r="K131" s="16" t="s">
        <v>2060</v>
      </c>
      <c r="L131" s="16"/>
    </row>
    <row r="132" ht="15">
      <c r="A132" s="16" t="s">
        <v>2205</v>
      </c>
      <c r="B132" s="16" t="s">
        <v>2253</v>
      </c>
      <c r="C132" s="16"/>
      <c r="D132" s="17" t="s">
        <v>1918</v>
      </c>
      <c r="E132" s="16" t="str">
        <f>VLOOKUP(D132,fonds!$A$1:$B$495,2,FALSE())</f>
        <v>IT-ASFi/DNFirenzeSFrediano</v>
      </c>
      <c r="F132" s="18">
        <v>3176959</v>
      </c>
      <c r="G132" s="19">
        <v>4377925</v>
      </c>
      <c r="H132" s="19">
        <v>1124626</v>
      </c>
      <c r="I132" s="16" t="s">
        <v>2207</v>
      </c>
      <c r="J132" s="16" t="s">
        <v>2107</v>
      </c>
      <c r="K132" s="16" t="s">
        <v>2060</v>
      </c>
      <c r="L132" s="16"/>
    </row>
    <row r="133" ht="15">
      <c r="A133" s="16" t="s">
        <v>2205</v>
      </c>
      <c r="B133" s="16" t="s">
        <v>2254</v>
      </c>
      <c r="C133" s="16"/>
      <c r="D133" s="20" t="s">
        <v>1922</v>
      </c>
      <c r="E133" s="16" t="str">
        <f>VLOOKUP(D133,fonds!$A$1:$B$495,2,FALSE())</f>
        <v>IT-ASFi/DNFirenzeSCaterinaDaSiena</v>
      </c>
      <c r="F133" s="18">
        <v>3176959</v>
      </c>
      <c r="G133" s="19">
        <v>4377925</v>
      </c>
      <c r="H133" s="19">
        <v>1124626</v>
      </c>
      <c r="I133" s="16" t="s">
        <v>2207</v>
      </c>
      <c r="J133" s="16" t="s">
        <v>2107</v>
      </c>
      <c r="K133" s="16" t="s">
        <v>2060</v>
      </c>
      <c r="L133" s="16"/>
    </row>
    <row r="134" ht="15">
      <c r="A134" s="25" t="s">
        <v>2255</v>
      </c>
      <c r="B134" s="25"/>
      <c r="C134" s="25"/>
      <c r="D134" s="25" t="s">
        <v>1034</v>
      </c>
      <c r="E134" s="25" t="str">
        <f>VLOOKUP(D134,fonds!$A$1:$B$495,2,FALSE())</f>
        <v>DE-BAH/Franziskanerkloster</v>
      </c>
      <c r="F134" s="26">
        <v>11186410</v>
      </c>
      <c r="G134" s="27">
        <v>493767</v>
      </c>
      <c r="H134" s="28" t="s">
        <v>2256</v>
      </c>
      <c r="I134" s="25" t="s">
        <v>2257</v>
      </c>
      <c r="J134" s="25" t="s">
        <v>2087</v>
      </c>
      <c r="K134" s="25" t="s">
        <v>2033</v>
      </c>
      <c r="L134" s="25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5">
      <c r="A135" s="16" t="s">
        <v>2258</v>
      </c>
      <c r="B135" s="16" t="s">
        <v>2030</v>
      </c>
      <c r="C135" s="16" t="s">
        <v>450</v>
      </c>
      <c r="D135" s="20" t="s">
        <v>1058</v>
      </c>
      <c r="E135" s="16" t="str">
        <f>VLOOKUP(D135,fonds!$A$1:$B$495,2,FALSE())</f>
        <v>DE-BayHStA/KUFrauenchiemsee</v>
      </c>
      <c r="F135" s="18">
        <v>2925339</v>
      </c>
      <c r="G135" s="19">
        <v>4787289</v>
      </c>
      <c r="H135" s="19">
        <v>1242575</v>
      </c>
      <c r="I135" s="16" t="s">
        <v>2258</v>
      </c>
      <c r="J135" s="16" t="s">
        <v>2259</v>
      </c>
      <c r="K135" s="16" t="s">
        <v>2033</v>
      </c>
      <c r="L135" s="16"/>
    </row>
    <row r="136" ht="15">
      <c r="A136" s="16" t="s">
        <v>2260</v>
      </c>
      <c r="B136" s="16" t="s">
        <v>2261</v>
      </c>
      <c r="C136" s="16"/>
      <c r="D136" s="20" t="s">
        <v>240</v>
      </c>
      <c r="E136" s="16" t="str">
        <f>VLOOKUP(D136,fonds!$A$1:$B$495,2,FALSE())</f>
        <v>AT-HHStA/FriesachOSA</v>
      </c>
      <c r="F136" s="18">
        <v>2779229</v>
      </c>
      <c r="G136" s="19">
        <v>4695528</v>
      </c>
      <c r="H136" s="19">
        <v>1440583</v>
      </c>
      <c r="I136" s="16" t="s">
        <v>2260</v>
      </c>
      <c r="J136" s="16" t="s">
        <v>2023</v>
      </c>
      <c r="K136" s="16" t="s">
        <v>2181</v>
      </c>
      <c r="L136" s="16"/>
    </row>
    <row r="137" ht="15">
      <c r="A137" s="16" t="s">
        <v>2262</v>
      </c>
      <c r="B137" s="16" t="s">
        <v>2263</v>
      </c>
      <c r="C137" s="16" t="s">
        <v>2264</v>
      </c>
      <c r="D137" s="17" t="s">
        <v>1150</v>
      </c>
      <c r="E137" s="16" t="str">
        <f>VLOOKUP(D137,fonds!$A$1:$B$495,2,FALSE())</f>
        <v>DE-HStAMa/urk77</v>
      </c>
      <c r="F137" s="18">
        <v>2923822</v>
      </c>
      <c r="G137" s="19">
        <v>5055162</v>
      </c>
      <c r="H137" s="19">
        <v>967518</v>
      </c>
      <c r="I137" s="16" t="s">
        <v>2262</v>
      </c>
      <c r="J137" s="16" t="s">
        <v>2023</v>
      </c>
      <c r="K137" s="16" t="s">
        <v>2098</v>
      </c>
      <c r="L137" s="16"/>
    </row>
    <row r="138" ht="15">
      <c r="A138" s="16" t="s">
        <v>2265</v>
      </c>
      <c r="B138" s="16" t="s">
        <v>2030</v>
      </c>
      <c r="C138" s="16" t="s">
        <v>2266</v>
      </c>
      <c r="D138" s="20" t="s">
        <v>1094</v>
      </c>
      <c r="E138" s="16" t="str">
        <f>VLOOKUP(D138,fonds!$A$1:$B$495,2,FALSE())</f>
        <v>DE-BayHStA/KUFuerstenzell</v>
      </c>
      <c r="F138" s="18">
        <v>2923584</v>
      </c>
      <c r="G138" s="19">
        <v>4852163</v>
      </c>
      <c r="H138" s="19">
        <v>1331749</v>
      </c>
      <c r="I138" s="16" t="s">
        <v>2265</v>
      </c>
      <c r="J138" s="16" t="s">
        <v>2050</v>
      </c>
      <c r="K138" s="16" t="s">
        <v>2033</v>
      </c>
      <c r="L138" s="16"/>
    </row>
    <row r="139" ht="15">
      <c r="A139" s="16" t="s">
        <v>2267</v>
      </c>
      <c r="B139" s="16" t="s">
        <v>2268</v>
      </c>
      <c r="C139" s="16"/>
      <c r="D139" s="17" t="s">
        <v>1774</v>
      </c>
      <c r="E139" s="16" t="str">
        <f>VLOOKUP(D139,fonds!$A$1:$B$495,2,FALSE())</f>
        <v>IT-ASFi/DNGalluzzoSCaterina</v>
      </c>
      <c r="F139" s="18">
        <v>3176350</v>
      </c>
      <c r="G139" s="19">
        <v>4373767</v>
      </c>
      <c r="H139" s="19">
        <v>1122528</v>
      </c>
      <c r="I139" s="16" t="s">
        <v>2267</v>
      </c>
      <c r="J139" s="16" t="s">
        <v>2050</v>
      </c>
      <c r="K139" s="16" t="s">
        <v>2060</v>
      </c>
      <c r="L139" s="16"/>
    </row>
    <row r="140" ht="15">
      <c r="A140" s="16" t="s">
        <v>2269</v>
      </c>
      <c r="B140" s="16" t="s">
        <v>2270</v>
      </c>
      <c r="C140" s="16"/>
      <c r="D140" s="17" t="s">
        <v>116</v>
      </c>
      <c r="E140" s="16" t="str">
        <f>VLOOKUP(D140,fonds!$A$1:$B$495,2,FALSE())</f>
        <v>AT-HHStA/GamingOCart</v>
      </c>
      <c r="F140" s="18">
        <v>2778949</v>
      </c>
      <c r="G140" s="19">
        <v>47929</v>
      </c>
      <c r="H140" s="19">
        <v>1508818</v>
      </c>
      <c r="I140" s="16" t="s">
        <v>2269</v>
      </c>
      <c r="J140" s="16" t="s">
        <v>2023</v>
      </c>
      <c r="K140" s="16" t="s">
        <v>2037</v>
      </c>
      <c r="L140" s="16"/>
    </row>
    <row r="141" ht="15">
      <c r="A141" s="16" t="s">
        <v>2271</v>
      </c>
      <c r="B141" s="16"/>
      <c r="C141" s="16" t="s">
        <v>2272</v>
      </c>
      <c r="D141" s="20" t="s">
        <v>424</v>
      </c>
      <c r="E141" s="16" t="str">
        <f>VLOOKUP(D141,fonds!$A$1:$B$495,2,FALSE())</f>
        <v>AT-OOeLA/GarstenOSB</v>
      </c>
      <c r="F141" s="18">
        <v>2778843</v>
      </c>
      <c r="G141" s="19">
        <v>480224</v>
      </c>
      <c r="H141" s="19">
        <v>1440747</v>
      </c>
      <c r="I141" s="16" t="s">
        <v>2271</v>
      </c>
      <c r="J141" s="16" t="s">
        <v>2023</v>
      </c>
      <c r="K141" s="16" t="s">
        <v>2028</v>
      </c>
      <c r="L141" s="16"/>
    </row>
    <row r="142" ht="15">
      <c r="A142" s="16" t="s">
        <v>2273</v>
      </c>
      <c r="B142" s="16" t="s">
        <v>2274</v>
      </c>
      <c r="C142" s="16"/>
      <c r="D142" s="17" t="s">
        <v>364</v>
      </c>
      <c r="E142" s="16" t="str">
        <f>VLOOKUP(D142,fonds!$A$1:$B$495,2,FALSE())</f>
        <v>AT-HHStA/GleinkOSB</v>
      </c>
      <c r="F142" s="18">
        <v>2778486</v>
      </c>
      <c r="G142" s="19">
        <v>4806667</v>
      </c>
      <c r="H142" s="19">
        <v>1441667</v>
      </c>
      <c r="I142" s="16" t="s">
        <v>2273</v>
      </c>
      <c r="J142" s="16" t="s">
        <v>2275</v>
      </c>
      <c r="K142" s="16" t="s">
        <v>2028</v>
      </c>
      <c r="L142" s="16"/>
    </row>
    <row r="143" ht="15">
      <c r="A143" s="16" t="s">
        <v>2273</v>
      </c>
      <c r="B143" s="16"/>
      <c r="C143" s="16" t="s">
        <v>2276</v>
      </c>
      <c r="D143" s="20" t="s">
        <v>432</v>
      </c>
      <c r="E143" s="16" t="str">
        <f>VLOOKUP(D143,fonds!$A$1:$B$495,2,FALSE())</f>
        <v>AT-OOeLA/GleinkOSB</v>
      </c>
      <c r="F143" s="18">
        <v>2778486</v>
      </c>
      <c r="G143" s="19">
        <v>4806667</v>
      </c>
      <c r="H143" s="19">
        <v>1441667</v>
      </c>
      <c r="I143" s="16" t="s">
        <v>2273</v>
      </c>
      <c r="J143" s="16" t="s">
        <v>2275</v>
      </c>
      <c r="K143" s="16" t="s">
        <v>2028</v>
      </c>
      <c r="L143" s="16"/>
    </row>
    <row r="144" ht="15">
      <c r="A144" s="16" t="s">
        <v>2277</v>
      </c>
      <c r="B144" s="16" t="s">
        <v>2278</v>
      </c>
      <c r="C144" s="16"/>
      <c r="D144" s="17" t="s">
        <v>84</v>
      </c>
      <c r="E144" s="16" t="str">
        <f>VLOOKUP(D144,fonds!$A$1:$B$495,2,FALSE())</f>
        <v>AT-HHStA/GloggnitzOSB</v>
      </c>
      <c r="F144" s="18">
        <v>2778455</v>
      </c>
      <c r="G144" s="19">
        <v>4767487</v>
      </c>
      <c r="H144" s="19">
        <v>1593893</v>
      </c>
      <c r="I144" s="16" t="s">
        <v>2277</v>
      </c>
      <c r="J144" s="16" t="s">
        <v>2023</v>
      </c>
      <c r="K144" s="16" t="s">
        <v>2037</v>
      </c>
      <c r="L144" s="16"/>
    </row>
    <row r="145" ht="15">
      <c r="A145" s="16" t="s">
        <v>2279</v>
      </c>
      <c r="B145" s="16" t="s">
        <v>2280</v>
      </c>
      <c r="C145" s="16" t="s">
        <v>2281</v>
      </c>
      <c r="D145" s="17" t="s">
        <v>316</v>
      </c>
      <c r="E145" s="16" t="str">
        <f>VLOOKUP(D145,fonds!$A$1:$B$495,2,FALSE())</f>
        <v>AT-HHStA/ObernburgOSB</v>
      </c>
      <c r="F145" s="18">
        <v>3200016</v>
      </c>
      <c r="G145" s="19">
        <v>4629528</v>
      </c>
      <c r="H145" s="19">
        <v>1480833</v>
      </c>
      <c r="I145" s="16" t="s">
        <v>2279</v>
      </c>
      <c r="J145" s="16" t="s">
        <v>2107</v>
      </c>
      <c r="K145" s="16" t="s">
        <v>2279</v>
      </c>
      <c r="L145" s="16"/>
    </row>
    <row r="146" ht="15">
      <c r="A146" s="16" t="s">
        <v>2282</v>
      </c>
      <c r="B146" s="16" t="s">
        <v>2283</v>
      </c>
      <c r="C146" s="16"/>
      <c r="D146" s="17" t="s">
        <v>268</v>
      </c>
      <c r="E146" s="16" t="str">
        <f>VLOOKUP(D146,fonds!$A$1:$B$495,2,FALSE())</f>
        <v>AT-HHStA/GoessOSB</v>
      </c>
      <c r="F146" s="18">
        <v>2778284</v>
      </c>
      <c r="G146" s="19">
        <v>4735871</v>
      </c>
      <c r="H146" s="19">
        <v>1510015</v>
      </c>
      <c r="I146" s="16" t="s">
        <v>2282</v>
      </c>
      <c r="J146" s="16" t="s">
        <v>2275</v>
      </c>
      <c r="K146" s="16" t="s">
        <v>2024</v>
      </c>
      <c r="L146" s="16"/>
    </row>
    <row r="147" ht="15">
      <c r="A147" s="16" t="s">
        <v>2284</v>
      </c>
      <c r="B147" s="16" t="s">
        <v>2285</v>
      </c>
      <c r="C147" s="16"/>
      <c r="D147" s="17" t="s">
        <v>304</v>
      </c>
      <c r="E147" s="16" t="str">
        <f>VLOOKUP(D147,fonds!$A$1:$B$495,2,FALSE())</f>
        <v>AT-HHStA/GrazOFM</v>
      </c>
      <c r="F147" s="18">
        <v>2778067</v>
      </c>
      <c r="G147" s="19">
        <v>4706667</v>
      </c>
      <c r="H147" s="16" t="s">
        <v>2286</v>
      </c>
      <c r="I147" s="16" t="s">
        <v>2284</v>
      </c>
      <c r="J147" s="16" t="s">
        <v>2107</v>
      </c>
      <c r="K147" s="16" t="s">
        <v>2024</v>
      </c>
      <c r="L147" s="16"/>
    </row>
    <row r="148" ht="15">
      <c r="A148" s="16" t="s">
        <v>2287</v>
      </c>
      <c r="B148" s="16" t="s">
        <v>2288</v>
      </c>
      <c r="C148" s="16"/>
      <c r="D148" s="17" t="s">
        <v>459</v>
      </c>
      <c r="E148" s="16" t="str">
        <f>VLOOKUP(D148,fonds!$A$1:$B$495,2,FALSE())</f>
        <v>AT-StiAH/HeiligenkreuzOCist</v>
      </c>
      <c r="F148" s="18">
        <v>2776582</v>
      </c>
      <c r="G148" s="19">
        <v>4698917</v>
      </c>
      <c r="H148" s="19">
        <v>1626083</v>
      </c>
      <c r="I148" s="16" t="s">
        <v>2289</v>
      </c>
      <c r="J148" s="16" t="s">
        <v>2023</v>
      </c>
      <c r="K148" s="16" t="s">
        <v>2290</v>
      </c>
      <c r="L148" s="16"/>
    </row>
    <row r="149" ht="15">
      <c r="A149" s="16" t="s">
        <v>2291</v>
      </c>
      <c r="B149" s="16"/>
      <c r="C149" s="16" t="s">
        <v>2292</v>
      </c>
      <c r="D149" s="17" t="s">
        <v>467</v>
      </c>
      <c r="E149" s="16" t="str">
        <f>VLOOKUP(D149,fonds!$A$1:$B$495,2,FALSE())</f>
        <v>AT-StiAHe/HerzogenburgCanReg</v>
      </c>
      <c r="F149" s="18">
        <v>2776470</v>
      </c>
      <c r="G149" s="19">
        <v>4828137</v>
      </c>
      <c r="H149" s="19">
        <v>1569431</v>
      </c>
      <c r="I149" s="16" t="s">
        <v>2291</v>
      </c>
      <c r="J149" s="16" t="s">
        <v>2023</v>
      </c>
      <c r="K149" s="16" t="s">
        <v>2037</v>
      </c>
      <c r="L149" s="16"/>
    </row>
    <row r="150" ht="15">
      <c r="A150" s="16" t="s">
        <v>2293</v>
      </c>
      <c r="B150" s="16" t="s">
        <v>2294</v>
      </c>
      <c r="C150" s="16"/>
      <c r="D150" s="17" t="s">
        <v>570</v>
      </c>
      <c r="E150" s="16" t="str">
        <f>VLOOKUP(D150,fonds!$A$1:$B$495,2,FALSE())</f>
        <v>AT-StiAStP/BlUKHirsau</v>
      </c>
      <c r="F150" s="18">
        <v>11398244</v>
      </c>
      <c r="G150" s="19">
        <v>487378</v>
      </c>
      <c r="H150" s="23">
        <v>1980194</v>
      </c>
      <c r="I150" s="16" t="s">
        <v>2295</v>
      </c>
      <c r="J150" s="16" t="s">
        <v>2087</v>
      </c>
      <c r="K150" s="16" t="s">
        <v>2091</v>
      </c>
      <c r="L150" s="16"/>
    </row>
    <row r="151" ht="15">
      <c r="A151" s="16" t="s">
        <v>2296</v>
      </c>
      <c r="B151" s="16" t="s">
        <v>2030</v>
      </c>
      <c r="C151" s="16" t="s">
        <v>2297</v>
      </c>
      <c r="D151" s="17" t="s">
        <v>1070</v>
      </c>
      <c r="E151" s="16" t="str">
        <f>VLOOKUP(D151,fonds!$A$1:$B$495,2,FALSE())</f>
        <v>DE-BayHStA/KUHoeglwoerth</v>
      </c>
      <c r="F151" s="18">
        <v>2902287</v>
      </c>
      <c r="G151" s="19">
        <v>4781661</v>
      </c>
      <c r="H151" s="19">
        <v>1285054</v>
      </c>
      <c r="I151" s="16" t="s">
        <v>2298</v>
      </c>
      <c r="J151" s="16" t="s">
        <v>2299</v>
      </c>
      <c r="K151" s="16" t="s">
        <v>2033</v>
      </c>
      <c r="L151" s="16"/>
    </row>
    <row r="152" ht="15">
      <c r="A152" s="16" t="s">
        <v>2300</v>
      </c>
      <c r="B152" s="16" t="s">
        <v>2301</v>
      </c>
      <c r="C152" s="16"/>
      <c r="D152" s="20" t="s">
        <v>88</v>
      </c>
      <c r="E152" s="16" t="str">
        <f>VLOOKUP(D152,fonds!$A$1:$B$495,2,FALSE())</f>
        <v>AT-HHStA/ImbachOP</v>
      </c>
      <c r="F152" s="18">
        <v>2775322</v>
      </c>
      <c r="G152" s="19">
        <v>4844033</v>
      </c>
      <c r="H152" s="19">
        <v>1557486</v>
      </c>
      <c r="I152" s="16" t="s">
        <v>2300</v>
      </c>
      <c r="J152" s="16" t="s">
        <v>2050</v>
      </c>
      <c r="K152" s="16" t="s">
        <v>2037</v>
      </c>
      <c r="L152" s="16"/>
    </row>
    <row r="153" ht="15">
      <c r="A153" s="16" t="s">
        <v>2302</v>
      </c>
      <c r="B153" s="16" t="s">
        <v>2303</v>
      </c>
      <c r="C153" s="16"/>
      <c r="D153" s="17" t="s">
        <v>144</v>
      </c>
      <c r="E153" s="16" t="str">
        <f>VLOOKUP(D153,fonds!$A$1:$B$495,2,FALSE())</f>
        <v>AT-HHStA/JudenburgOSCI</v>
      </c>
      <c r="F153" s="18">
        <v>2775020</v>
      </c>
      <c r="G153" s="19">
        <v>4716667</v>
      </c>
      <c r="H153" s="19">
        <v>1466667</v>
      </c>
      <c r="I153" s="16" t="s">
        <v>2302</v>
      </c>
      <c r="J153" s="16" t="s">
        <v>2023</v>
      </c>
      <c r="K153" s="16" t="s">
        <v>2024</v>
      </c>
      <c r="L153" s="16"/>
    </row>
    <row r="154" ht="15">
      <c r="A154" s="16" t="s">
        <v>2304</v>
      </c>
      <c r="B154" s="17" t="s">
        <v>2174</v>
      </c>
      <c r="C154" s="16" t="s">
        <v>2175</v>
      </c>
      <c r="D154" s="16" t="s">
        <v>934</v>
      </c>
      <c r="E154" s="16" t="str">
        <f>VLOOKUP(D154,fonds!$A$1:$B$495,2,FALSE())</f>
        <v>CZ-NA/AZK%7CMost</v>
      </c>
      <c r="F154" s="18">
        <v>3059575</v>
      </c>
      <c r="G154" s="19">
        <v>4785124</v>
      </c>
      <c r="H154" s="19">
        <v>1865639</v>
      </c>
      <c r="I154" s="16" t="s">
        <v>2305</v>
      </c>
      <c r="J154" s="16" t="s">
        <v>2050</v>
      </c>
      <c r="K154" s="16" t="s">
        <v>2306</v>
      </c>
      <c r="L154" s="16"/>
    </row>
    <row r="155" ht="15">
      <c r="A155" s="16" t="s">
        <v>2307</v>
      </c>
      <c r="B155" s="16" t="s">
        <v>2308</v>
      </c>
      <c r="C155" s="16"/>
      <c r="D155" s="17" t="s">
        <v>1282</v>
      </c>
      <c r="E155" s="16" t="str">
        <f>VLOOKUP(D155,fonds!$A$1:$B$495,2,FALSE())</f>
        <v>DE-StAW/HimmelspfortenOCist</v>
      </c>
      <c r="F155" s="18">
        <v>11748960</v>
      </c>
      <c r="G155" s="16" t="s">
        <v>2309</v>
      </c>
      <c r="H155" s="19">
        <v>9905</v>
      </c>
      <c r="I155" s="16" t="s">
        <v>2310</v>
      </c>
      <c r="J155" s="16" t="s">
        <v>2311</v>
      </c>
      <c r="K155" s="16" t="s">
        <v>2033</v>
      </c>
      <c r="L155" s="16"/>
    </row>
    <row r="156" ht="15">
      <c r="A156" s="16" t="s">
        <v>2312</v>
      </c>
      <c r="B156" s="16" t="s">
        <v>2313</v>
      </c>
      <c r="C156" s="16"/>
      <c r="D156" s="20" t="s">
        <v>200</v>
      </c>
      <c r="E156" s="16" t="str">
        <f>VLOOKUP(D156,fonds!$A$1:$B$495,2,FALSE())</f>
        <v>AT-HHStA/KirchbergCanReg</v>
      </c>
      <c r="F156" s="18">
        <v>2774405</v>
      </c>
      <c r="G156" s="19">
        <v>4760738</v>
      </c>
      <c r="H156" s="19">
        <v>1599103</v>
      </c>
      <c r="I156" s="16" t="s">
        <v>2312</v>
      </c>
      <c r="J156" s="16" t="s">
        <v>2023</v>
      </c>
      <c r="K156" s="16" t="s">
        <v>2037</v>
      </c>
      <c r="L156" s="16"/>
    </row>
    <row r="157" ht="15">
      <c r="A157" s="16" t="s">
        <v>2314</v>
      </c>
      <c r="B157" s="16" t="s">
        <v>2274</v>
      </c>
      <c r="C157" s="16"/>
      <c r="D157" s="17" t="s">
        <v>108</v>
      </c>
      <c r="E157" s="16" t="str">
        <f>VLOOKUP(D157,fonds!$A$1:$B$495,2,FALSE())</f>
        <v>AT-HHStA/KleinmariazellOSB</v>
      </c>
      <c r="F157" s="18">
        <v>2774084</v>
      </c>
      <c r="G157" s="19">
        <v>4803597</v>
      </c>
      <c r="H157" s="19">
        <v>1597412</v>
      </c>
      <c r="I157" s="16" t="s">
        <v>2314</v>
      </c>
      <c r="J157" s="16" t="s">
        <v>2050</v>
      </c>
      <c r="K157" s="16" t="s">
        <v>2037</v>
      </c>
      <c r="L157" s="16"/>
    </row>
    <row r="158" ht="15">
      <c r="A158" s="16" t="s">
        <v>2315</v>
      </c>
      <c r="B158" s="16" t="s">
        <v>2316</v>
      </c>
      <c r="C158" s="16"/>
      <c r="D158" s="20" t="s">
        <v>120</v>
      </c>
      <c r="E158" s="16" t="str">
        <f>VLOOKUP(D158,fonds!$A$1:$B$495,2,FALSE())</f>
        <v>AT-HHStA/KlingenthalOP</v>
      </c>
      <c r="F158" s="18">
        <v>7602487</v>
      </c>
      <c r="G158" s="19">
        <v>5036667</v>
      </c>
      <c r="H158" s="19">
        <v>1246667</v>
      </c>
      <c r="I158" s="16" t="s">
        <v>2315</v>
      </c>
      <c r="J158" s="16" t="s">
        <v>2317</v>
      </c>
      <c r="K158" s="16" t="s">
        <v>2318</v>
      </c>
      <c r="L158" s="16"/>
    </row>
    <row r="159" ht="15">
      <c r="A159" s="16" t="s">
        <v>2319</v>
      </c>
      <c r="B159" s="16" t="s">
        <v>2035</v>
      </c>
      <c r="C159" s="16"/>
      <c r="D159" s="17" t="s">
        <v>48</v>
      </c>
      <c r="E159" s="16" t="str">
        <f>VLOOKUP(D159,fonds!$A$1:$B$495,2,FALSE())</f>
        <v>AT-HHStA/ArnsburgOCist</v>
      </c>
      <c r="F159" s="18">
        <v>3208027</v>
      </c>
      <c r="G159" s="19">
        <v>5049359</v>
      </c>
      <c r="H159" s="19">
        <v>879359</v>
      </c>
      <c r="I159" s="16" t="s">
        <v>2320</v>
      </c>
      <c r="J159" s="16" t="s">
        <v>2087</v>
      </c>
      <c r="K159" s="16" t="s">
        <v>2098</v>
      </c>
      <c r="L159" s="16"/>
    </row>
    <row r="160" ht="15">
      <c r="A160" s="16" t="s">
        <v>2321</v>
      </c>
      <c r="B160" s="16" t="s">
        <v>2030</v>
      </c>
      <c r="C160" s="16"/>
      <c r="D160" s="20" t="s">
        <v>1190</v>
      </c>
      <c r="E160" s="16" t="str">
        <f>VLOOKUP(D160,fonds!$A$1:$B$495,2,FALSE())</f>
        <v>DE-StABa/Langheim</v>
      </c>
      <c r="F160" s="18">
        <v>11523748</v>
      </c>
      <c r="G160" s="19">
        <v>5011164</v>
      </c>
      <c r="H160" s="19">
        <v>11111</v>
      </c>
      <c r="I160" s="16" t="s">
        <v>2322</v>
      </c>
      <c r="J160" s="16" t="s">
        <v>2167</v>
      </c>
      <c r="K160" s="16" t="s">
        <v>2033</v>
      </c>
      <c r="L160" s="16"/>
    </row>
    <row r="161" ht="15">
      <c r="A161" s="16" t="s">
        <v>2323</v>
      </c>
      <c r="B161" s="16" t="s">
        <v>2030</v>
      </c>
      <c r="C161" s="16"/>
      <c r="D161" s="20" t="s">
        <v>662</v>
      </c>
      <c r="E161" s="16" t="str">
        <f>VLOOKUP(D161,fonds!$A$1:$B$495,2,FALSE())</f>
        <v>AT-VLA/MehrerauKl</v>
      </c>
      <c r="F161" s="18">
        <v>3333694</v>
      </c>
      <c r="G161" s="19">
        <v>4750389</v>
      </c>
      <c r="H161" s="19">
        <v>972083</v>
      </c>
      <c r="I161" s="16" t="s">
        <v>2324</v>
      </c>
      <c r="J161" s="16" t="s">
        <v>2087</v>
      </c>
      <c r="K161" s="16" t="s">
        <v>2101</v>
      </c>
      <c r="L161" s="16"/>
    </row>
    <row r="162" ht="15">
      <c r="A162" s="16" t="s">
        <v>2325</v>
      </c>
      <c r="B162" s="16" t="s">
        <v>2030</v>
      </c>
      <c r="C162" s="16"/>
      <c r="D162" s="17" t="s">
        <v>658</v>
      </c>
      <c r="E162" s="16" t="str">
        <f>VLOOKUP(D162,fonds!$A$1:$B$495,2,FALSE())</f>
        <v>AT-VLA/PfaefersKl</v>
      </c>
      <c r="F162" s="18">
        <v>11550525</v>
      </c>
      <c r="G162" s="19">
        <v>4699019</v>
      </c>
      <c r="H162" s="19">
        <v>950201</v>
      </c>
      <c r="I162" s="16" t="s">
        <v>2326</v>
      </c>
      <c r="J162" s="16" t="s">
        <v>2087</v>
      </c>
      <c r="K162" s="16" t="s">
        <v>2327</v>
      </c>
      <c r="L162" s="16"/>
    </row>
    <row r="163" ht="15">
      <c r="A163" s="16" t="s">
        <v>2325</v>
      </c>
      <c r="B163" s="16"/>
      <c r="C163" s="16" t="s">
        <v>2328</v>
      </c>
      <c r="D163" s="20" t="s">
        <v>666</v>
      </c>
      <c r="E163" s="16" t="str">
        <f>VLOOKUP(D163,fonds!$A$1:$B$495,2,FALSE())</f>
        <v>CH-StiASG/StiAPfae</v>
      </c>
      <c r="F163" s="18">
        <v>11550525</v>
      </c>
      <c r="G163" s="19">
        <v>4699019</v>
      </c>
      <c r="H163" s="19">
        <v>950201</v>
      </c>
      <c r="I163" s="16" t="s">
        <v>2326</v>
      </c>
      <c r="J163" s="16" t="s">
        <v>2087</v>
      </c>
      <c r="K163" s="16" t="s">
        <v>2327</v>
      </c>
      <c r="L163" s="16"/>
    </row>
    <row r="164" ht="15">
      <c r="A164" s="16" t="s">
        <v>2329</v>
      </c>
      <c r="B164" s="16" t="s">
        <v>2030</v>
      </c>
      <c r="C164" s="16"/>
      <c r="D164" s="20" t="s">
        <v>650</v>
      </c>
      <c r="E164" s="16" t="str">
        <f>VLOOKUP(D164,fonds!$A$1:$B$495,2,FALSE())</f>
        <v>AT-VLA/StGeroldKl</v>
      </c>
      <c r="F164" s="18">
        <v>2766686</v>
      </c>
      <c r="G164" s="19">
        <v>4721847</v>
      </c>
      <c r="H164" s="19">
        <v>981646</v>
      </c>
      <c r="I164" s="16" t="s">
        <v>2330</v>
      </c>
      <c r="J164" s="16" t="s">
        <v>2087</v>
      </c>
      <c r="K164" s="16" t="s">
        <v>2101</v>
      </c>
      <c r="L164" s="16"/>
    </row>
    <row r="165" ht="15">
      <c r="A165" s="16" t="s">
        <v>2331</v>
      </c>
      <c r="B165" s="16" t="s">
        <v>2332</v>
      </c>
      <c r="C165" s="16"/>
      <c r="D165" s="17" t="s">
        <v>547</v>
      </c>
      <c r="E165" s="16" t="str">
        <f>VLOOKUP(D165,fonds!$A$1:$B$495,2,FALSE())</f>
        <v>AT-StiASei/SeitenstettenOSB</v>
      </c>
      <c r="F165" s="18">
        <v>11609907</v>
      </c>
      <c r="G165" s="19">
        <v>4803581</v>
      </c>
      <c r="H165" s="19">
        <v>1465539</v>
      </c>
      <c r="I165" s="16" t="s">
        <v>2333</v>
      </c>
      <c r="J165" s="16" t="s">
        <v>2087</v>
      </c>
      <c r="K165" s="16" t="s">
        <v>2037</v>
      </c>
      <c r="L165" s="16"/>
    </row>
    <row r="166" ht="15">
      <c r="A166" s="16" t="s">
        <v>2334</v>
      </c>
      <c r="B166" s="16" t="s">
        <v>2335</v>
      </c>
      <c r="C166" s="16"/>
      <c r="D166" s="17" t="s">
        <v>1294</v>
      </c>
      <c r="E166" s="16" t="str">
        <f>VLOOKUP(D166,fonds!$A$1:$B$495,2,FALSE())</f>
        <v>DE-StAW/Seligenstadt</v>
      </c>
      <c r="F166" s="18">
        <v>11548420</v>
      </c>
      <c r="G166" s="19">
        <v>5004261</v>
      </c>
      <c r="H166" s="23">
        <v>2879421</v>
      </c>
      <c r="I166" s="16" t="s">
        <v>2336</v>
      </c>
      <c r="J166" s="16" t="s">
        <v>2087</v>
      </c>
      <c r="K166" s="16" t="s">
        <v>2098</v>
      </c>
      <c r="L166" s="16"/>
    </row>
    <row r="167" ht="15">
      <c r="A167" s="16" t="s">
        <v>2337</v>
      </c>
      <c r="B167" s="16" t="s">
        <v>2274</v>
      </c>
      <c r="C167" s="16"/>
      <c r="D167" s="17" t="s">
        <v>348</v>
      </c>
      <c r="E167" s="16" t="str">
        <f>VLOOKUP(D167,fonds!$A$1:$B$495,2,FALSE())</f>
        <v>AT-HHStA/TegernseeOSB</v>
      </c>
      <c r="F167" s="18">
        <v>11608486</v>
      </c>
      <c r="G167" s="19">
        <v>4770745</v>
      </c>
      <c r="H167" s="19">
        <v>1175678</v>
      </c>
      <c r="I167" s="16" t="s">
        <v>2338</v>
      </c>
      <c r="J167" s="16" t="s">
        <v>2087</v>
      </c>
      <c r="K167" s="16" t="s">
        <v>2033</v>
      </c>
      <c r="L167" s="16"/>
    </row>
    <row r="168" ht="15">
      <c r="A168" s="16" t="s">
        <v>2339</v>
      </c>
      <c r="B168" s="16" t="s">
        <v>2340</v>
      </c>
      <c r="C168" s="16"/>
      <c r="D168" s="20" t="s">
        <v>188</v>
      </c>
      <c r="E168" s="16" t="str">
        <f>VLOOKUP(D168,fonds!$A$1:$B$495,2,FALSE())</f>
        <v>AT-HHStA/TullnOP</v>
      </c>
      <c r="F168" s="18">
        <v>2773913</v>
      </c>
      <c r="G168" s="19">
        <v>4830521</v>
      </c>
      <c r="H168" s="19">
        <v>1632522</v>
      </c>
      <c r="I168" s="16" t="s">
        <v>2341</v>
      </c>
      <c r="J168" s="16" t="s">
        <v>2023</v>
      </c>
      <c r="K168" s="16" t="s">
        <v>2037</v>
      </c>
      <c r="L168" s="16"/>
    </row>
    <row r="169" ht="15">
      <c r="A169" s="16" t="s">
        <v>2341</v>
      </c>
      <c r="B169" s="16"/>
      <c r="C169" s="16" t="s">
        <v>2342</v>
      </c>
      <c r="D169" s="17" t="s">
        <v>483</v>
      </c>
      <c r="E169" s="16" t="str">
        <f>VLOOKUP(D169,fonds!$A$1:$B$495,2,FALSE())</f>
        <v>AT-StiAK/KlosterneuburgCanReg</v>
      </c>
      <c r="F169" s="18">
        <v>2773913</v>
      </c>
      <c r="G169" s="19">
        <v>4830521</v>
      </c>
      <c r="H169" s="19">
        <v>1632522</v>
      </c>
      <c r="I169" s="16" t="s">
        <v>2341</v>
      </c>
      <c r="J169" s="16" t="s">
        <v>2023</v>
      </c>
      <c r="K169" s="16" t="s">
        <v>2037</v>
      </c>
      <c r="L169" s="16"/>
    </row>
    <row r="170" ht="15">
      <c r="A170" s="16" t="s">
        <v>2343</v>
      </c>
      <c r="B170" s="16" t="s">
        <v>2344</v>
      </c>
      <c r="C170" s="16"/>
      <c r="D170" s="17" t="s">
        <v>160</v>
      </c>
      <c r="E170" s="16" t="str">
        <f>VLOOKUP(D170,fonds!$A$1:$B$495,2,FALSE())</f>
        <v>AT-HHStA/KorneuburgOESA</v>
      </c>
      <c r="F170" s="18">
        <v>2773698</v>
      </c>
      <c r="G170" s="16" t="s">
        <v>2345</v>
      </c>
      <c r="H170" s="19">
        <v>1633333</v>
      </c>
      <c r="I170" s="16" t="s">
        <v>2343</v>
      </c>
      <c r="J170" s="16" t="s">
        <v>2023</v>
      </c>
      <c r="K170" s="16" t="s">
        <v>2037</v>
      </c>
      <c r="L170" s="16"/>
    </row>
    <row r="171" ht="15">
      <c r="A171" s="16" t="s">
        <v>2346</v>
      </c>
      <c r="B171" s="16" t="s">
        <v>2030</v>
      </c>
      <c r="C171" s="16" t="s">
        <v>2347</v>
      </c>
      <c r="D171" s="20" t="s">
        <v>1102</v>
      </c>
      <c r="E171" s="16" t="str">
        <f>VLOOKUP(D171,fonds!$A$1:$B$495,2,FALSE())</f>
        <v>DE-BayHStA/KUKuehbach</v>
      </c>
      <c r="F171" s="18">
        <v>2883000</v>
      </c>
      <c r="G171" s="19">
        <v>4849101</v>
      </c>
      <c r="H171" s="19">
        <v>1118691</v>
      </c>
      <c r="I171" s="16" t="s">
        <v>2346</v>
      </c>
      <c r="J171" s="16" t="s">
        <v>2050</v>
      </c>
      <c r="K171" s="16" t="s">
        <v>2033</v>
      </c>
      <c r="L171" s="16"/>
    </row>
    <row r="172" ht="15">
      <c r="A172" s="16" t="s">
        <v>2348</v>
      </c>
      <c r="B172" s="16" t="s">
        <v>2349</v>
      </c>
      <c r="C172" s="16"/>
      <c r="D172" s="17" t="s">
        <v>276</v>
      </c>
      <c r="E172" s="16" t="str">
        <f>VLOOKUP(D172,fonds!$A$1:$B$495,2,FALSE())</f>
        <v>AT-HHStA/LeobenOP</v>
      </c>
      <c r="F172" s="18">
        <v>2772649</v>
      </c>
      <c r="G172" s="19">
        <v>473765</v>
      </c>
      <c r="H172" s="19">
        <v>1509144</v>
      </c>
      <c r="I172" s="16" t="s">
        <v>2348</v>
      </c>
      <c r="J172" s="16" t="s">
        <v>2023</v>
      </c>
      <c r="K172" s="16" t="s">
        <v>2024</v>
      </c>
      <c r="L172" s="16"/>
    </row>
    <row r="173" ht="15">
      <c r="A173" s="16" t="s">
        <v>2350</v>
      </c>
      <c r="B173" s="16" t="s">
        <v>2351</v>
      </c>
      <c r="C173" s="16"/>
      <c r="D173" s="17" t="s">
        <v>499</v>
      </c>
      <c r="E173" s="16" t="str">
        <f>VLOOKUP(D173,fonds!$A$1:$B$495,2,FALSE())</f>
        <v>AT-StiALi/LilienfeldOCist</v>
      </c>
      <c r="F173" s="18">
        <v>2772470</v>
      </c>
      <c r="G173" s="19">
        <v>4801312</v>
      </c>
      <c r="H173" s="19">
        <v>1559664</v>
      </c>
      <c r="I173" s="16" t="s">
        <v>2350</v>
      </c>
      <c r="J173" s="16" t="s">
        <v>2023</v>
      </c>
      <c r="K173" s="16" t="s">
        <v>2037</v>
      </c>
      <c r="L173" s="16"/>
    </row>
    <row r="174" ht="15">
      <c r="A174" s="16" t="s">
        <v>2352</v>
      </c>
      <c r="B174" s="16" t="s">
        <v>2353</v>
      </c>
      <c r="C174" s="16"/>
      <c r="D174" s="20" t="s">
        <v>196</v>
      </c>
      <c r="E174" s="16" t="str">
        <f>VLOOKUP(D174,fonds!$A$1:$B$495,2,FALSE())</f>
        <v>AT-HHStA/LindauCan</v>
      </c>
      <c r="F174" s="18">
        <v>2877550</v>
      </c>
      <c r="G174" s="19">
        <v>4754612</v>
      </c>
      <c r="H174" s="19">
        <v>968431</v>
      </c>
      <c r="I174" s="16" t="s">
        <v>2352</v>
      </c>
      <c r="J174" s="16" t="s">
        <v>2023</v>
      </c>
      <c r="K174" s="16" t="s">
        <v>2033</v>
      </c>
      <c r="L174" s="16"/>
    </row>
    <row r="175" ht="15">
      <c r="A175" s="16" t="s">
        <v>2354</v>
      </c>
      <c r="B175" s="16" t="s">
        <v>2089</v>
      </c>
      <c r="C175" s="16"/>
      <c r="D175" s="20" t="s">
        <v>582</v>
      </c>
      <c r="E175" s="16" t="str">
        <f>VLOOKUP(D175,fonds!$A$1:$B$495,2,FALSE())</f>
        <v>AT-StiAStP/BlUKLorch</v>
      </c>
      <c r="F175" s="18">
        <v>2875906</v>
      </c>
      <c r="G175" s="19">
        <v>5004619</v>
      </c>
      <c r="H175" s="19">
        <v>780418</v>
      </c>
      <c r="I175" s="16" t="s">
        <v>2354</v>
      </c>
      <c r="J175" s="16" t="s">
        <v>2050</v>
      </c>
      <c r="K175" s="16" t="s">
        <v>2098</v>
      </c>
      <c r="L175" s="16"/>
    </row>
    <row r="176" ht="15">
      <c r="A176" s="16" t="s">
        <v>2355</v>
      </c>
      <c r="B176" s="16" t="s">
        <v>2356</v>
      </c>
      <c r="C176" s="16"/>
      <c r="D176" s="17" t="s">
        <v>1586</v>
      </c>
      <c r="E176" s="16" t="str">
        <f>VLOOKUP(D176,fonds!$A$1:$B$495,2,FALSE())</f>
        <v>IT-ASFi/DNMaianoSMartino</v>
      </c>
      <c r="F176" s="18">
        <v>9032176</v>
      </c>
      <c r="G176" s="19">
        <v>4379382</v>
      </c>
      <c r="H176" s="19">
        <v>1130414</v>
      </c>
      <c r="I176" s="16" t="s">
        <v>2355</v>
      </c>
      <c r="J176" s="16" t="s">
        <v>2050</v>
      </c>
      <c r="K176" s="16" t="s">
        <v>2060</v>
      </c>
      <c r="L176" s="16"/>
    </row>
    <row r="177" ht="15">
      <c r="A177" s="16" t="s">
        <v>2357</v>
      </c>
      <c r="B177" s="16" t="s">
        <v>2358</v>
      </c>
      <c r="D177" s="17" t="s">
        <v>1162</v>
      </c>
      <c r="E177" s="16" t="str">
        <f>VLOOKUP(D177,fonds!$A$1:$B$495,2,FALSE())</f>
        <v>DE-LHAKO/128</v>
      </c>
      <c r="F177" s="18">
        <v>2771925</v>
      </c>
      <c r="G177" s="19">
        <v>4830412</v>
      </c>
      <c r="H177" s="19">
        <v>1534472</v>
      </c>
      <c r="I177" s="16" t="s">
        <v>2359</v>
      </c>
      <c r="J177" s="16" t="s">
        <v>2023</v>
      </c>
      <c r="K177" s="16" t="s">
        <v>2037</v>
      </c>
      <c r="L177" s="16"/>
    </row>
    <row r="178" ht="15">
      <c r="A178" s="16" t="s">
        <v>2360</v>
      </c>
      <c r="B178" s="16" t="s">
        <v>2361</v>
      </c>
      <c r="C178" s="16"/>
      <c r="D178" s="17" t="s">
        <v>1398</v>
      </c>
      <c r="E178" s="16" t="str">
        <f>VLOOKUP(D178,fonds!$A$1:$B$495,2,FALSE())</f>
        <v>HU-MNL-DLKINL/MKAAPQ312</v>
      </c>
      <c r="F178" s="18">
        <v>7730634</v>
      </c>
      <c r="G178" s="19">
        <v>499228</v>
      </c>
      <c r="H178" s="23">
        <v>1953288</v>
      </c>
      <c r="I178" s="16" t="s">
        <v>2362</v>
      </c>
      <c r="J178" s="16" t="s">
        <v>2363</v>
      </c>
      <c r="K178" s="16" t="s">
        <v>2149</v>
      </c>
      <c r="L178" s="16"/>
    </row>
    <row r="179" ht="15">
      <c r="A179" s="16" t="s">
        <v>2364</v>
      </c>
      <c r="B179" s="16" t="s">
        <v>2365</v>
      </c>
      <c r="C179" s="16"/>
      <c r="D179" s="17" t="s">
        <v>515</v>
      </c>
      <c r="E179" s="16" t="str">
        <f>VLOOKUP(D179,fonds!$A$1:$B$495,2,FALSE())</f>
        <v>AT-StiAMh/MattighofenCan</v>
      </c>
      <c r="F179" s="18">
        <v>2771814</v>
      </c>
      <c r="G179" s="19">
        <v>4810732</v>
      </c>
      <c r="H179" s="19">
        <v>1315081</v>
      </c>
      <c r="I179" s="16" t="s">
        <v>2364</v>
      </c>
      <c r="J179" s="16" t="s">
        <v>2023</v>
      </c>
      <c r="K179" s="16" t="s">
        <v>2028</v>
      </c>
      <c r="L179" s="16"/>
    </row>
    <row r="180" ht="15">
      <c r="A180" s="16" t="s">
        <v>2366</v>
      </c>
      <c r="B180" s="16" t="s">
        <v>2367</v>
      </c>
      <c r="C180" s="16"/>
      <c r="D180" s="20" t="s">
        <v>336</v>
      </c>
      <c r="E180" s="16" t="str">
        <f>VLOOKUP(D180,fonds!$A$1:$B$495,2,FALSE())</f>
        <v>AT-HHStA/MauerbachOCart</v>
      </c>
      <c r="F180" s="18">
        <v>2771785</v>
      </c>
      <c r="G180" s="19">
        <v>4824514</v>
      </c>
      <c r="H180" s="19">
        <v>1616793</v>
      </c>
      <c r="I180" s="16" t="s">
        <v>2366</v>
      </c>
      <c r="J180" s="16" t="s">
        <v>2023</v>
      </c>
      <c r="K180" s="16" t="s">
        <v>2037</v>
      </c>
      <c r="L180" s="16"/>
    </row>
    <row r="181" ht="15">
      <c r="A181" s="16" t="s">
        <v>2368</v>
      </c>
      <c r="B181" s="16" t="s">
        <v>2089</v>
      </c>
      <c r="C181" s="16"/>
      <c r="D181" s="20" t="s">
        <v>590</v>
      </c>
      <c r="E181" s="16" t="str">
        <f>VLOOKUP(D181,fonds!$A$1:$B$495,2,FALSE())</f>
        <v>AT-StiAStP/BlUKMaulbronn</v>
      </c>
      <c r="F181" s="18">
        <v>2872777</v>
      </c>
      <c r="G181" s="19">
        <v>4899958</v>
      </c>
      <c r="H181" s="19">
        <v>880337</v>
      </c>
      <c r="I181" s="16" t="s">
        <v>2368</v>
      </c>
      <c r="J181" s="16" t="s">
        <v>2050</v>
      </c>
      <c r="K181" s="16" t="s">
        <v>2091</v>
      </c>
      <c r="L181" s="16"/>
    </row>
    <row r="182" ht="15">
      <c r="A182" s="16" t="s">
        <v>2368</v>
      </c>
      <c r="B182" s="16" t="s">
        <v>2369</v>
      </c>
      <c r="C182" s="16"/>
      <c r="D182" s="17" t="s">
        <v>1154</v>
      </c>
      <c r="E182" s="16" t="str">
        <f>VLOOKUP(D182,fonds!$A$1:$B$495,2,FALSE())</f>
        <v>DE-HStASt/HStASt_A502</v>
      </c>
      <c r="F182" s="18">
        <v>2872777</v>
      </c>
      <c r="G182" s="19">
        <v>4899958</v>
      </c>
      <c r="H182" s="19">
        <v>880337</v>
      </c>
      <c r="I182" s="16" t="s">
        <v>2368</v>
      </c>
      <c r="J182" s="16" t="s">
        <v>2050</v>
      </c>
      <c r="K182" s="16" t="s">
        <v>2091</v>
      </c>
      <c r="L182" s="16"/>
    </row>
    <row r="183" ht="15">
      <c r="A183" s="16" t="s">
        <v>2370</v>
      </c>
      <c r="B183" s="16" t="s">
        <v>2371</v>
      </c>
      <c r="C183" s="16" t="s">
        <v>2372</v>
      </c>
      <c r="D183" s="20" t="s">
        <v>56</v>
      </c>
      <c r="E183" s="16" t="str">
        <f>VLOOKUP(D183,fonds!$A$1:$B$495,2,FALSE())</f>
        <v>AT-HHStA/MekinjeOSCI</v>
      </c>
      <c r="F183" s="18">
        <v>3195271</v>
      </c>
      <c r="G183" s="19">
        <v>4623333</v>
      </c>
      <c r="H183" s="19">
        <v>1461667</v>
      </c>
      <c r="I183" s="16" t="s">
        <v>2370</v>
      </c>
      <c r="J183" s="16" t="s">
        <v>2050</v>
      </c>
      <c r="K183" s="16" t="s">
        <v>2373</v>
      </c>
      <c r="L183" s="16"/>
    </row>
    <row r="184" ht="15">
      <c r="A184" s="16" t="s">
        <v>2374</v>
      </c>
      <c r="B184" s="16" t="s">
        <v>2375</v>
      </c>
      <c r="C184" s="16"/>
      <c r="D184" s="20" t="s">
        <v>511</v>
      </c>
      <c r="E184" s="16" t="str">
        <f>VLOOKUP(D184,fonds!$A$1:$B$495,2,FALSE())</f>
        <v>AT-StiAMB/MbOSB</v>
      </c>
      <c r="F184" s="18">
        <v>2771633</v>
      </c>
      <c r="G184" s="19">
        <v>4801667</v>
      </c>
      <c r="H184" s="19">
        <v>1303333</v>
      </c>
      <c r="I184" s="16" t="s">
        <v>2374</v>
      </c>
      <c r="J184" s="16" t="s">
        <v>2050</v>
      </c>
      <c r="K184" s="16" t="s">
        <v>2376</v>
      </c>
      <c r="L184" s="16"/>
    </row>
    <row r="185" ht="15">
      <c r="A185" s="16" t="s">
        <v>2377</v>
      </c>
      <c r="B185" s="16" t="s">
        <v>2378</v>
      </c>
      <c r="C185" s="16"/>
      <c r="D185" s="20" t="s">
        <v>256</v>
      </c>
      <c r="E185" s="16" t="str">
        <f>VLOOKUP(D185,fonds!$A$1:$B$495,2,FALSE())</f>
        <v>AT-HHStA/MillstattOSB</v>
      </c>
      <c r="F185" s="18">
        <v>2760380</v>
      </c>
      <c r="G185" s="19">
        <v>4680417</v>
      </c>
      <c r="H185" s="19">
        <v>1358056</v>
      </c>
      <c r="I185" s="16" t="s">
        <v>2377</v>
      </c>
      <c r="J185" s="16" t="s">
        <v>2023</v>
      </c>
      <c r="K185" s="16" t="s">
        <v>2181</v>
      </c>
      <c r="L185" s="16"/>
    </row>
    <row r="186" ht="15">
      <c r="A186" s="16" t="s">
        <v>2379</v>
      </c>
      <c r="B186" s="16"/>
      <c r="C186" s="16" t="s">
        <v>2380</v>
      </c>
      <c r="D186" s="20" t="s">
        <v>1966</v>
      </c>
      <c r="E186" s="16" t="str">
        <f>VLOOKUP(D186,fonds!$A$1:$B$495,2,FALSE())</f>
        <v>SI-ZAC/Minoritski</v>
      </c>
      <c r="F186" s="18">
        <v>10375655</v>
      </c>
      <c r="G186" s="19">
        <v>4820931</v>
      </c>
      <c r="H186" s="19">
        <v>1636429</v>
      </c>
      <c r="I186" s="16" t="s">
        <v>2381</v>
      </c>
      <c r="J186" s="16" t="s">
        <v>2382</v>
      </c>
      <c r="K186" s="16" t="s">
        <v>2168</v>
      </c>
      <c r="L186" s="16"/>
    </row>
    <row r="187" ht="15">
      <c r="A187" s="16" t="s">
        <v>2383</v>
      </c>
      <c r="B187" s="16" t="s">
        <v>2384</v>
      </c>
      <c r="C187" s="16"/>
      <c r="D187" s="17" t="s">
        <v>184</v>
      </c>
      <c r="E187" s="16" t="str">
        <f>VLOOKUP(D187,fonds!$A$1:$B$495,2,FALSE())</f>
        <v>AT-HHStA/MistelbachOCarm</v>
      </c>
      <c r="F187" s="18">
        <v>2771557</v>
      </c>
      <c r="G187" s="16" t="s">
        <v>2385</v>
      </c>
      <c r="H187" s="19">
        <v>1657667</v>
      </c>
      <c r="I187" s="16" t="s">
        <v>2383</v>
      </c>
      <c r="J187" s="16" t="s">
        <v>2023</v>
      </c>
      <c r="K187" s="16" t="s">
        <v>2037</v>
      </c>
      <c r="L187" s="16"/>
    </row>
    <row r="188" ht="15">
      <c r="A188" s="16" t="s">
        <v>2386</v>
      </c>
      <c r="B188" s="16" t="s">
        <v>2387</v>
      </c>
      <c r="C188" s="16"/>
      <c r="D188" s="17" t="s">
        <v>420</v>
      </c>
      <c r="E188" s="16" t="str">
        <f>VLOOKUP(D188,fonds!$A$1:$B$495,2,FALSE())</f>
        <v>AT-OOeLA/MondseeOSB</v>
      </c>
      <c r="F188" s="18">
        <v>2771277</v>
      </c>
      <c r="G188" s="19">
        <v>4785648</v>
      </c>
      <c r="H188" s="19">
        <v>1334908</v>
      </c>
      <c r="I188" s="16" t="s">
        <v>2386</v>
      </c>
      <c r="J188" s="16" t="s">
        <v>2023</v>
      </c>
      <c r="K188" s="16" t="s">
        <v>2028</v>
      </c>
      <c r="L188" s="16"/>
    </row>
    <row r="189" ht="15">
      <c r="A189" s="16" t="s">
        <v>2388</v>
      </c>
      <c r="B189" s="16" t="s">
        <v>2136</v>
      </c>
      <c r="C189" s="16"/>
      <c r="D189" s="17" t="s">
        <v>1570</v>
      </c>
      <c r="E189" s="16" t="str">
        <f>VLOOKUP(D189,fonds!$A$1:$B$495,2,FALSE())</f>
        <v>IT-ASFi/DNMontalcinoSAgostino</v>
      </c>
      <c r="F189" s="18">
        <v>3173096</v>
      </c>
      <c r="G189" s="19">
        <v>4305397</v>
      </c>
      <c r="H189" s="19">
        <v>1148853</v>
      </c>
      <c r="I189" s="16" t="s">
        <v>2388</v>
      </c>
      <c r="J189" s="16" t="s">
        <v>2023</v>
      </c>
      <c r="K189" s="16" t="s">
        <v>2060</v>
      </c>
      <c r="L189" s="16"/>
    </row>
    <row r="190" ht="15">
      <c r="A190" s="16" t="s">
        <v>2389</v>
      </c>
      <c r="B190" s="16" t="s">
        <v>2136</v>
      </c>
      <c r="C190" s="16"/>
      <c r="D190" s="17" t="s">
        <v>1602</v>
      </c>
      <c r="E190" s="16" t="str">
        <f>VLOOKUP(D190,fonds!$A$1:$B$495,2,FALSE())</f>
        <v>IT-ASFi/DNMonteSanSavinoSAgostino</v>
      </c>
      <c r="F190" s="18">
        <v>3172750</v>
      </c>
      <c r="G190" s="19">
        <v>4333213</v>
      </c>
      <c r="H190" s="19">
        <v>1172663</v>
      </c>
      <c r="I190" s="16" t="s">
        <v>2389</v>
      </c>
      <c r="J190" s="16" t="s">
        <v>2023</v>
      </c>
      <c r="K190" s="16" t="s">
        <v>2060</v>
      </c>
      <c r="L190" s="16"/>
    </row>
    <row r="191" ht="15">
      <c r="A191" s="16" t="s">
        <v>2390</v>
      </c>
      <c r="B191" s="16" t="s">
        <v>2391</v>
      </c>
      <c r="C191" s="16"/>
      <c r="D191" s="17" t="s">
        <v>1794</v>
      </c>
      <c r="E191" s="16" t="str">
        <f>VLOOKUP(D191,fonds!$A$1:$B$495,2,FALSE())</f>
        <v>IT-ASFi/DNMontecatiniSMargherita</v>
      </c>
      <c r="F191" s="18">
        <v>3172996</v>
      </c>
      <c r="G191" s="19">
        <v>4388153</v>
      </c>
      <c r="H191" s="23">
        <v>2127082</v>
      </c>
      <c r="I191" s="16" t="s">
        <v>2392</v>
      </c>
      <c r="J191" s="16" t="s">
        <v>2023</v>
      </c>
      <c r="K191" s="16" t="s">
        <v>2060</v>
      </c>
      <c r="L191" s="16"/>
    </row>
    <row r="192" ht="15">
      <c r="A192" s="16" t="s">
        <v>2393</v>
      </c>
      <c r="B192" s="16" t="s">
        <v>2151</v>
      </c>
      <c r="C192" s="16"/>
      <c r="D192" s="20" t="s">
        <v>1574</v>
      </c>
      <c r="E192" s="16" t="str">
        <f>VLOOKUP(D192,fonds!$A$1:$B$495,2,FALSE())</f>
        <v>IT-ASFi/DNMontepulcianoSFrancesco</v>
      </c>
      <c r="F192" s="18">
        <v>3172794</v>
      </c>
      <c r="G192" s="19">
        <v>4309998</v>
      </c>
      <c r="H192" s="19">
        <v>1178704</v>
      </c>
      <c r="I192" s="16" t="s">
        <v>2393</v>
      </c>
      <c r="J192" s="16" t="s">
        <v>2023</v>
      </c>
      <c r="K192" s="16" t="s">
        <v>2060</v>
      </c>
      <c r="L192" s="16"/>
    </row>
    <row r="193" ht="15">
      <c r="A193" s="16" t="s">
        <v>2393</v>
      </c>
      <c r="B193" s="16" t="s">
        <v>2394</v>
      </c>
      <c r="C193" s="16"/>
      <c r="D193" s="20" t="s">
        <v>1658</v>
      </c>
      <c r="E193" s="16" t="str">
        <f>VLOOKUP(D193,fonds!$A$1:$B$495,2,FALSE())</f>
        <v>IT-ASFi/DNMontepulcianoSAgnese</v>
      </c>
      <c r="F193" s="18">
        <v>3172794</v>
      </c>
      <c r="G193" s="19">
        <v>4309998</v>
      </c>
      <c r="H193" s="19">
        <v>1178704</v>
      </c>
      <c r="I193" s="16" t="s">
        <v>2393</v>
      </c>
      <c r="J193" s="16" t="s">
        <v>2023</v>
      </c>
      <c r="K193" s="16" t="s">
        <v>2060</v>
      </c>
      <c r="L193" s="16"/>
    </row>
    <row r="194" ht="15">
      <c r="A194" s="16" t="s">
        <v>2395</v>
      </c>
      <c r="B194" s="16" t="s">
        <v>2396</v>
      </c>
      <c r="C194" s="16"/>
      <c r="D194" s="17" t="s">
        <v>1622</v>
      </c>
      <c r="E194" s="16" t="str">
        <f>VLOOKUP(D194,fonds!$A$1:$B$495,2,FALSE())</f>
        <v>IT-ASFi/DNMonticianoSSPietroPaolo</v>
      </c>
      <c r="F194" s="18">
        <v>3172680</v>
      </c>
      <c r="G194" s="19">
        <v>4313965</v>
      </c>
      <c r="H194" s="23" t="s">
        <v>2397</v>
      </c>
      <c r="I194" s="16" t="s">
        <v>2395</v>
      </c>
      <c r="J194" s="16" t="s">
        <v>2023</v>
      </c>
      <c r="K194" s="16" t="s">
        <v>2060</v>
      </c>
      <c r="L194" s="16"/>
    </row>
    <row r="195" ht="15">
      <c r="A195" s="16" t="s">
        <v>2398</v>
      </c>
      <c r="B195" s="16" t="s">
        <v>2399</v>
      </c>
      <c r="C195" s="16"/>
      <c r="D195" s="17" t="s">
        <v>507</v>
      </c>
      <c r="E195" s="16" t="str">
        <f>VLOOKUP(D195,fonds!$A$1:$B$495,2,FALSE())</f>
        <v>AT-StiAMB/MuellnOSA</v>
      </c>
      <c r="F195" s="18">
        <v>12216892</v>
      </c>
      <c r="G195" s="19">
        <v>47807</v>
      </c>
      <c r="H195" s="19">
        <v>13031</v>
      </c>
      <c r="I195" s="16" t="s">
        <v>2400</v>
      </c>
      <c r="J195" s="16" t="s">
        <v>2275</v>
      </c>
      <c r="K195" s="16" t="s">
        <v>2376</v>
      </c>
      <c r="L195" s="16"/>
    </row>
    <row r="196" ht="15">
      <c r="A196" s="16" t="s">
        <v>2401</v>
      </c>
      <c r="B196" s="16" t="s">
        <v>2402</v>
      </c>
      <c r="C196" s="16" t="s">
        <v>2403</v>
      </c>
      <c r="D196" s="17" t="s">
        <v>392</v>
      </c>
      <c r="E196" s="16" t="str">
        <f>VLOOKUP(D196,fonds!$A$1:$B$495,2,FALSE())</f>
        <v>AT-HHStA/BistraOCart</v>
      </c>
      <c r="F196" s="18">
        <v>11054888</v>
      </c>
      <c r="G196" s="19">
        <v>4590657</v>
      </c>
      <c r="H196" s="19">
        <v>1585087</v>
      </c>
      <c r="I196" s="16" t="s">
        <v>2404</v>
      </c>
      <c r="J196" s="16" t="s">
        <v>2405</v>
      </c>
      <c r="K196" s="16"/>
      <c r="L196" s="16"/>
    </row>
    <row r="197" ht="15">
      <c r="A197" s="16" t="s">
        <v>2406</v>
      </c>
      <c r="B197" s="16" t="s">
        <v>2407</v>
      </c>
      <c r="C197" s="16"/>
      <c r="D197" s="17" t="s">
        <v>284</v>
      </c>
      <c r="E197" s="16" t="str">
        <f>VLOOKUP(D197,fonds!$A$1:$B$495,2,FALSE())</f>
        <v>AT-HHStA/NeubergOCist</v>
      </c>
      <c r="F197" s="18">
        <v>2770844</v>
      </c>
      <c r="G197" s="19">
        <v>4766423</v>
      </c>
      <c r="H197" s="19">
        <v>1557226</v>
      </c>
      <c r="I197" s="16" t="s">
        <v>2406</v>
      </c>
      <c r="J197" s="16" t="s">
        <v>2023</v>
      </c>
      <c r="K197" s="16" t="s">
        <v>2024</v>
      </c>
      <c r="L197" s="16"/>
    </row>
    <row r="198" ht="15">
      <c r="A198" s="16" t="s">
        <v>2408</v>
      </c>
      <c r="B198" s="16"/>
      <c r="C198" s="16" t="s">
        <v>2409</v>
      </c>
      <c r="D198" s="20" t="s">
        <v>16</v>
      </c>
      <c r="E198" s="16" t="str">
        <f>VLOOKUP(D198,fonds!$A$1:$B$495,2,FALSE())</f>
        <v>AT-AWMK/NeunkirchenOFMConv</v>
      </c>
      <c r="F198" s="18">
        <v>2770740</v>
      </c>
      <c r="G198" s="19">
        <v>4725046</v>
      </c>
      <c r="H198" s="19">
        <v>1227585</v>
      </c>
      <c r="I198" s="16" t="s">
        <v>2410</v>
      </c>
      <c r="J198" s="16" t="s">
        <v>2023</v>
      </c>
      <c r="K198" s="16" t="s">
        <v>2376</v>
      </c>
      <c r="L198" s="16"/>
    </row>
    <row r="199" ht="15">
      <c r="A199" s="16" t="s">
        <v>2411</v>
      </c>
      <c r="B199" s="16" t="s">
        <v>2412</v>
      </c>
      <c r="C199" s="16"/>
      <c r="D199" s="17" t="s">
        <v>1290</v>
      </c>
      <c r="E199" s="16" t="str">
        <f>VLOOKUP(D199,fonds!$A$1:$B$495,2,FALSE())</f>
        <v>DE-StAW/Neumuenster</v>
      </c>
      <c r="F199" s="18">
        <v>2864475</v>
      </c>
      <c r="G199" s="19">
        <v>5407399</v>
      </c>
      <c r="H199" s="19">
        <v>998456</v>
      </c>
      <c r="I199" s="16" t="s">
        <v>2411</v>
      </c>
      <c r="J199" s="16" t="s">
        <v>2023</v>
      </c>
      <c r="K199" s="16" t="s">
        <v>2413</v>
      </c>
      <c r="L199" s="16"/>
    </row>
    <row r="200" ht="15">
      <c r="A200" s="16" t="s">
        <v>2414</v>
      </c>
      <c r="B200" s="16" t="s">
        <v>2030</v>
      </c>
      <c r="C200" s="16" t="s">
        <v>2415</v>
      </c>
      <c r="D200" s="20" t="s">
        <v>1130</v>
      </c>
      <c r="E200" s="16" t="str">
        <f>VLOOKUP(D200,fonds!$A$1:$B$495,2,FALSE())</f>
        <v>DE-BayHStA/KUNiederaltaich</v>
      </c>
      <c r="F200" s="18">
        <v>2863667</v>
      </c>
      <c r="G200" s="19">
        <v>4876564</v>
      </c>
      <c r="H200" s="19">
        <v>1302412</v>
      </c>
      <c r="I200" s="16" t="s">
        <v>2416</v>
      </c>
      <c r="J200" s="16" t="s">
        <v>2032</v>
      </c>
      <c r="K200" s="16" t="s">
        <v>2033</v>
      </c>
      <c r="L200" s="16"/>
    </row>
    <row r="201" ht="15">
      <c r="A201" s="16" t="s">
        <v>2417</v>
      </c>
      <c r="B201" s="16" t="s">
        <v>2274</v>
      </c>
      <c r="C201" s="16"/>
      <c r="D201" s="17" t="s">
        <v>288</v>
      </c>
      <c r="E201" s="16" t="str">
        <f>VLOOKUP(D201,fonds!$A$1:$B$495,2,FALSE())</f>
        <v>AT-HHStA/NiedernburgOSB</v>
      </c>
      <c r="F201" s="18">
        <v>2863085</v>
      </c>
      <c r="G201" s="19">
        <v>4789514</v>
      </c>
      <c r="H201" s="23" t="s">
        <v>2418</v>
      </c>
      <c r="I201" s="16" t="s">
        <v>2417</v>
      </c>
      <c r="J201" s="16" t="s">
        <v>2050</v>
      </c>
      <c r="K201" s="16" t="s">
        <v>2033</v>
      </c>
      <c r="L201" s="16"/>
    </row>
    <row r="202" ht="15">
      <c r="A202" s="16" t="s">
        <v>2419</v>
      </c>
      <c r="B202" s="16" t="s">
        <v>2420</v>
      </c>
      <c r="C202" s="16"/>
      <c r="D202" s="20" t="s">
        <v>80</v>
      </c>
      <c r="E202" s="16" t="str">
        <f>VLOOKUP(D202,fonds!$A$1:$B$495,2,FALSE())</f>
        <v>AT-HHStA/NRannaOSPPE</v>
      </c>
      <c r="F202" s="18">
        <v>2770532</v>
      </c>
      <c r="G202" s="19">
        <v>4846791</v>
      </c>
      <c r="H202" s="19">
        <v>1379136</v>
      </c>
      <c r="I202" s="16" t="s">
        <v>2419</v>
      </c>
      <c r="J202" s="16" t="s">
        <v>2050</v>
      </c>
      <c r="K202" s="16" t="s">
        <v>2028</v>
      </c>
      <c r="L202" s="16"/>
    </row>
    <row r="203" ht="15">
      <c r="A203" s="16" t="s">
        <v>2421</v>
      </c>
      <c r="B203" s="16"/>
      <c r="C203" s="16" t="s">
        <v>2422</v>
      </c>
      <c r="D203" s="17" t="s">
        <v>436</v>
      </c>
      <c r="E203" s="16" t="str">
        <f>VLOOKUP(D203,fonds!$A$1:$B$495,2,FALSE())</f>
        <v>AT-StaAR/UrkDominikanerkloster</v>
      </c>
      <c r="F203" s="18">
        <v>11204738</v>
      </c>
      <c r="G203" s="19">
        <v>494558</v>
      </c>
      <c r="H203" s="23" t="s">
        <v>2423</v>
      </c>
      <c r="I203" s="16" t="s">
        <v>2424</v>
      </c>
      <c r="J203" s="16" t="s">
        <v>2087</v>
      </c>
      <c r="K203" s="16" t="s">
        <v>2033</v>
      </c>
      <c r="L203" s="16"/>
    </row>
    <row r="204" ht="15">
      <c r="A204" s="1" t="s">
        <v>2425</v>
      </c>
      <c r="B204" s="16" t="s">
        <v>2426</v>
      </c>
      <c r="C204" s="16"/>
      <c r="D204" s="17" t="s">
        <v>1218</v>
      </c>
      <c r="E204" s="16" t="str">
        <f>VLOOKUP(D204,fonds!$A$1:$B$495,2,FALSE())</f>
        <v>DE-StALB/StAL_B509</v>
      </c>
      <c r="F204" s="18">
        <v>11186199</v>
      </c>
      <c r="G204" s="19">
        <v>494486</v>
      </c>
      <c r="H204" s="23" t="s">
        <v>2427</v>
      </c>
      <c r="I204" s="16" t="s">
        <v>2428</v>
      </c>
      <c r="J204" s="16" t="s">
        <v>2087</v>
      </c>
      <c r="K204" s="16" t="s">
        <v>2033</v>
      </c>
      <c r="L204" s="16"/>
    </row>
    <row r="205" ht="15">
      <c r="A205" s="16" t="s">
        <v>2429</v>
      </c>
      <c r="B205" s="16" t="s">
        <v>2103</v>
      </c>
      <c r="C205" s="16" t="s">
        <v>2430</v>
      </c>
      <c r="D205" s="17" t="s">
        <v>1006</v>
      </c>
      <c r="E205" s="16" t="str">
        <f>VLOOKUP(D205,fonds!$A$1:$B$495,2,FALSE())</f>
        <v>CZ-ZAO/RD-Opava</v>
      </c>
      <c r="F205" s="18">
        <v>3068927</v>
      </c>
      <c r="G205" s="19">
        <v>4993866</v>
      </c>
      <c r="H205" s="19">
        <v>1790257</v>
      </c>
      <c r="I205" s="16" t="s">
        <v>2429</v>
      </c>
      <c r="J205" s="16" t="s">
        <v>2050</v>
      </c>
      <c r="K205" s="16" t="s">
        <v>2146</v>
      </c>
      <c r="L205" s="16"/>
    </row>
    <row r="206" ht="15">
      <c r="A206" s="16" t="s">
        <v>2431</v>
      </c>
      <c r="B206" s="16" t="s">
        <v>2432</v>
      </c>
      <c r="C206" s="16"/>
      <c r="D206" s="17" t="s">
        <v>76</v>
      </c>
      <c r="E206" s="16" t="str">
        <f>VLOOKUP(D206,fonds!$A$1:$B$495,2,FALSE())</f>
        <v>AT-HHStA/GrosswardeinOPraem</v>
      </c>
      <c r="F206" s="18">
        <v>671768</v>
      </c>
      <c r="G206" s="19">
        <v>470458</v>
      </c>
      <c r="H206" s="19">
        <v>2191833</v>
      </c>
      <c r="I206" s="16" t="s">
        <v>2433</v>
      </c>
      <c r="J206" s="16" t="s">
        <v>2107</v>
      </c>
      <c r="K206" s="16" t="s">
        <v>2434</v>
      </c>
      <c r="L206" s="16"/>
    </row>
    <row r="207" ht="15">
      <c r="A207" s="16" t="s">
        <v>2435</v>
      </c>
      <c r="B207" s="16" t="s">
        <v>2274</v>
      </c>
      <c r="C207" s="16"/>
      <c r="D207" s="20" t="s">
        <v>228</v>
      </c>
      <c r="E207" s="16" t="str">
        <f>VLOOKUP(D207,fonds!$A$1:$B$495,2,FALSE())</f>
        <v>AT-HHStA/OssiachOSB</v>
      </c>
      <c r="F207" s="18">
        <v>2769391</v>
      </c>
      <c r="G207" s="19">
        <v>4667435</v>
      </c>
      <c r="H207" s="19">
        <v>1398358</v>
      </c>
      <c r="I207" s="16" t="s">
        <v>2435</v>
      </c>
      <c r="J207" s="16" t="s">
        <v>2023</v>
      </c>
      <c r="K207" s="16" t="s">
        <v>2181</v>
      </c>
      <c r="L207" s="16"/>
    </row>
    <row r="208" ht="15">
      <c r="A208" s="16" t="s">
        <v>2436</v>
      </c>
      <c r="B208" s="16" t="s">
        <v>2030</v>
      </c>
      <c r="C208" s="16" t="s">
        <v>2437</v>
      </c>
      <c r="D208" s="17" t="s">
        <v>1106</v>
      </c>
      <c r="E208" s="16" t="str">
        <f>VLOOKUP(D208,fonds!$A$1:$B$495,2,FALSE())</f>
        <v>DE-BayHStA/KUOsterhofen</v>
      </c>
      <c r="F208" s="18">
        <v>2856530</v>
      </c>
      <c r="G208" s="16" t="s">
        <v>2438</v>
      </c>
      <c r="H208" s="19">
        <v>1302221</v>
      </c>
      <c r="I208" s="16" t="s">
        <v>2436</v>
      </c>
      <c r="J208" s="16" t="s">
        <v>2050</v>
      </c>
      <c r="K208" s="16" t="s">
        <v>2033</v>
      </c>
      <c r="L208" s="16"/>
    </row>
    <row r="209" ht="15">
      <c r="A209" s="16" t="s">
        <v>2439</v>
      </c>
      <c r="B209" s="16" t="s">
        <v>2440</v>
      </c>
      <c r="C209" s="16"/>
      <c r="D209" s="20" t="s">
        <v>1410</v>
      </c>
      <c r="E209" s="16" t="str">
        <f>VLOOKUP(D209,fonds!$A$1:$B$495,2,FALSE())</f>
        <v>HU-PBFL/Elen</v>
      </c>
      <c r="F209" s="18">
        <v>3046693</v>
      </c>
      <c r="G209" s="19">
        <v>4754946</v>
      </c>
      <c r="H209" s="19">
        <v>1775535</v>
      </c>
      <c r="I209" s="16" t="s">
        <v>2439</v>
      </c>
      <c r="J209" s="16" t="s">
        <v>2063</v>
      </c>
      <c r="K209" s="16" t="s">
        <v>2441</v>
      </c>
      <c r="L209" s="16"/>
    </row>
    <row r="210" ht="15">
      <c r="A210" s="16" t="s">
        <v>2439</v>
      </c>
      <c r="B210" s="16" t="s">
        <v>2442</v>
      </c>
      <c r="C210" s="16"/>
      <c r="D210" s="17" t="s">
        <v>1414</v>
      </c>
      <c r="E210" s="16" t="str">
        <f>VLOOKUP(D210,fonds!$A$1:$B$495,2,FALSE())</f>
        <v>HU-PBFL/PannHActa</v>
      </c>
      <c r="F210" s="18">
        <v>3046693</v>
      </c>
      <c r="G210" s="19">
        <v>4754946</v>
      </c>
      <c r="H210" s="19">
        <v>1775535</v>
      </c>
      <c r="I210" s="16" t="s">
        <v>2439</v>
      </c>
      <c r="J210" s="16" t="s">
        <v>2063</v>
      </c>
      <c r="K210" s="16" t="s">
        <v>2441</v>
      </c>
      <c r="L210" s="16"/>
    </row>
    <row r="211" ht="15">
      <c r="A211" s="16" t="s">
        <v>2439</v>
      </c>
      <c r="B211" s="16" t="s">
        <v>2443</v>
      </c>
      <c r="C211" s="16"/>
      <c r="D211" s="20" t="s">
        <v>1418</v>
      </c>
      <c r="E211" s="16" t="str">
        <f>VLOOKUP(D211,fonds!$A$1:$B$495,2,FALSE())</f>
        <v>HU-PBFL/PannHOSB</v>
      </c>
      <c r="F211" s="18">
        <v>3046693</v>
      </c>
      <c r="G211" s="19">
        <v>4754946</v>
      </c>
      <c r="H211" s="19">
        <v>1775535</v>
      </c>
      <c r="I211" s="16" t="s">
        <v>2439</v>
      </c>
      <c r="J211" s="16" t="s">
        <v>2063</v>
      </c>
      <c r="K211" s="16" t="s">
        <v>2441</v>
      </c>
      <c r="L211" s="16"/>
    </row>
    <row r="212" ht="15">
      <c r="A212" s="16" t="s">
        <v>2444</v>
      </c>
      <c r="B212" s="16" t="s">
        <v>2445</v>
      </c>
      <c r="C212" s="16"/>
      <c r="D212" s="20" t="s">
        <v>1694</v>
      </c>
      <c r="E212" s="16" t="str">
        <f>VLOOKUP(D212,fonds!$A$1:$B$495,2,FALSE())</f>
        <v>IT-ASFi/DNPassignanoSMichele</v>
      </c>
      <c r="F212" s="18">
        <v>3171418</v>
      </c>
      <c r="G212" s="19">
        <v>4319043</v>
      </c>
      <c r="H212" s="19">
        <v>1213535</v>
      </c>
      <c r="I212" s="16" t="s">
        <v>2446</v>
      </c>
      <c r="J212" s="16" t="s">
        <v>2023</v>
      </c>
      <c r="K212" s="16" t="s">
        <v>2447</v>
      </c>
      <c r="L212" s="16"/>
    </row>
    <row r="213" ht="15">
      <c r="A213" s="16" t="s">
        <v>2448</v>
      </c>
      <c r="B213" s="16" t="s">
        <v>2449</v>
      </c>
      <c r="C213" s="16"/>
      <c r="D213" s="17" t="s">
        <v>260</v>
      </c>
      <c r="E213" s="16" t="str">
        <f>VLOOKUP(D213,fonds!$A$1:$B$495,2,FALSE())</f>
        <v>AT-HHStA/PerneggOPraem</v>
      </c>
      <c r="F213" s="18">
        <v>2769077</v>
      </c>
      <c r="G213" s="19">
        <v>4735979</v>
      </c>
      <c r="H213" s="19">
        <v>1534236</v>
      </c>
      <c r="I213" s="16" t="s">
        <v>2450</v>
      </c>
      <c r="J213" s="16" t="s">
        <v>2023</v>
      </c>
      <c r="K213" s="16" t="s">
        <v>2024</v>
      </c>
      <c r="L213" s="16"/>
    </row>
    <row r="214" ht="15">
      <c r="A214" s="16" t="s">
        <v>2451</v>
      </c>
      <c r="B214" s="16" t="s">
        <v>2452</v>
      </c>
      <c r="C214" s="16"/>
      <c r="D214" s="17" t="s">
        <v>1498</v>
      </c>
      <c r="E214" s="16" t="str">
        <f>VLOOKUP(D214,fonds!$A$1:$B$495,2,FALSE())</f>
        <v>IT-ASFi/DNPesciaSMichele</v>
      </c>
      <c r="F214" s="18">
        <v>3171148</v>
      </c>
      <c r="G214" s="19">
        <v>438871</v>
      </c>
      <c r="H214" s="19">
        <v>1068849</v>
      </c>
      <c r="I214" s="16" t="s">
        <v>2451</v>
      </c>
      <c r="J214" s="16" t="s">
        <v>2023</v>
      </c>
      <c r="K214" s="16" t="s">
        <v>2060</v>
      </c>
      <c r="L214" s="16"/>
    </row>
    <row r="215" ht="15">
      <c r="A215" s="16" t="s">
        <v>2453</v>
      </c>
      <c r="B215" s="16" t="s">
        <v>2454</v>
      </c>
      <c r="C215" s="16" t="s">
        <v>2455</v>
      </c>
      <c r="D215" s="20" t="s">
        <v>1646</v>
      </c>
      <c r="E215" s="16" t="str">
        <f>VLOOKUP(D215,fonds!$A$1:$B$495,2,FALSE())</f>
        <v>IT-ASFi/DNPinelli</v>
      </c>
      <c r="F215" s="18">
        <v>8955584</v>
      </c>
      <c r="G215" s="19">
        <v>416724</v>
      </c>
      <c r="H215" s="19">
        <v>1326272</v>
      </c>
      <c r="I215" s="16" t="s">
        <v>2453</v>
      </c>
      <c r="J215" s="16" t="s">
        <v>2050</v>
      </c>
      <c r="K215" s="16" t="s">
        <v>2142</v>
      </c>
      <c r="L215" s="16"/>
    </row>
    <row r="216" ht="15">
      <c r="A216" s="16" t="s">
        <v>2456</v>
      </c>
      <c r="B216" s="16" t="s">
        <v>2457</v>
      </c>
      <c r="C216" s="16"/>
      <c r="D216" s="20" t="s">
        <v>1538</v>
      </c>
      <c r="E216" s="16" t="str">
        <f>VLOOKUP(D216,fonds!$A$1:$B$495,2,FALSE())</f>
        <v>IT-ASFi/DNPisaSBernardo</v>
      </c>
      <c r="F216" s="18">
        <v>3170647</v>
      </c>
      <c r="G216" s="19">
        <v>4370853</v>
      </c>
      <c r="H216" s="23">
        <v>780434</v>
      </c>
      <c r="I216" s="16" t="s">
        <v>2456</v>
      </c>
      <c r="J216" s="16" t="s">
        <v>2063</v>
      </c>
      <c r="K216" s="16" t="s">
        <v>2060</v>
      </c>
      <c r="L216" s="16"/>
    </row>
    <row r="217" ht="15">
      <c r="A217" s="16" t="s">
        <v>2458</v>
      </c>
      <c r="B217" s="16" t="s">
        <v>2459</v>
      </c>
      <c r="C217" s="16"/>
      <c r="D217" s="17" t="s">
        <v>1454</v>
      </c>
      <c r="E217" s="16" t="str">
        <f>VLOOKUP(D217,fonds!$A$1:$B$495,2,FALSE())</f>
        <v>IT-ASFi/DNPistoiaSMicheleNiccolao</v>
      </c>
      <c r="F217" s="18">
        <v>3170621</v>
      </c>
      <c r="G217" s="19">
        <v>4393064</v>
      </c>
      <c r="H217" s="19">
        <v>1092365</v>
      </c>
      <c r="I217" s="16" t="s">
        <v>2458</v>
      </c>
      <c r="J217" s="16" t="s">
        <v>2063</v>
      </c>
      <c r="K217" s="16" t="s">
        <v>2060</v>
      </c>
      <c r="L217" s="16"/>
    </row>
    <row r="218" ht="15">
      <c r="A218" s="16" t="s">
        <v>2458</v>
      </c>
      <c r="B218" s="16" t="s">
        <v>2460</v>
      </c>
      <c r="C218" s="16"/>
      <c r="D218" s="17" t="s">
        <v>1682</v>
      </c>
      <c r="E218" s="16" t="str">
        <f>VLOOKUP(D218,fonds!$A$1:$B$495,2,FALSE())</f>
        <v>IT-ASFi/DNPistoiaSBenedetto</v>
      </c>
      <c r="F218" s="18">
        <v>3170621</v>
      </c>
      <c r="G218" s="19">
        <v>4393064</v>
      </c>
      <c r="H218" s="19">
        <v>1092365</v>
      </c>
      <c r="I218" s="16" t="s">
        <v>2458</v>
      </c>
      <c r="J218" s="16" t="s">
        <v>2063</v>
      </c>
      <c r="K218" s="16" t="s">
        <v>2060</v>
      </c>
      <c r="L218" s="16"/>
    </row>
    <row r="219" ht="15">
      <c r="A219" s="16" t="s">
        <v>2458</v>
      </c>
      <c r="B219" s="16" t="s">
        <v>2461</v>
      </c>
      <c r="C219" s="16"/>
      <c r="D219" s="20" t="s">
        <v>1706</v>
      </c>
      <c r="E219" s="16" t="str">
        <f>VLOOKUP(D219,fonds!$A$1:$B$495,2,FALSE())</f>
        <v>IT-ASFi/DNPistoiaSMercuriale</v>
      </c>
      <c r="F219" s="18">
        <v>3170621</v>
      </c>
      <c r="G219" s="19">
        <v>4393064</v>
      </c>
      <c r="H219" s="19">
        <v>1092365</v>
      </c>
      <c r="I219" s="16" t="s">
        <v>2458</v>
      </c>
      <c r="J219" s="16" t="s">
        <v>2063</v>
      </c>
      <c r="K219" s="16" t="s">
        <v>2060</v>
      </c>
      <c r="L219" s="16"/>
    </row>
    <row r="220" ht="15">
      <c r="A220" s="16" t="s">
        <v>2458</v>
      </c>
      <c r="B220" s="16" t="s">
        <v>2236</v>
      </c>
      <c r="C220" s="16"/>
      <c r="D220" s="20" t="s">
        <v>1722</v>
      </c>
      <c r="E220" s="16" t="str">
        <f>VLOOKUP(D220,fonds!$A$1:$B$495,2,FALSE())</f>
        <v>IT-ASFi/DNPistoiaSLucia</v>
      </c>
      <c r="F220" s="18">
        <v>3170621</v>
      </c>
      <c r="G220" s="19">
        <v>4393064</v>
      </c>
      <c r="H220" s="19">
        <v>1092365</v>
      </c>
      <c r="I220" s="16" t="s">
        <v>2458</v>
      </c>
      <c r="J220" s="16" t="s">
        <v>2063</v>
      </c>
      <c r="K220" s="16" t="s">
        <v>2060</v>
      </c>
      <c r="L220" s="16"/>
    </row>
    <row r="221" ht="15">
      <c r="A221" s="16" t="s">
        <v>2458</v>
      </c>
      <c r="B221" s="16" t="s">
        <v>2132</v>
      </c>
      <c r="C221" s="16"/>
      <c r="D221" s="20" t="s">
        <v>1734</v>
      </c>
      <c r="E221" s="16" t="str">
        <f>VLOOKUP(D221,fonds!$A$1:$B$495,2,FALSE())</f>
        <v>IT-ASFi/DNPistoiaSChiara</v>
      </c>
      <c r="F221" s="18">
        <v>3170621</v>
      </c>
      <c r="G221" s="19">
        <v>4393064</v>
      </c>
      <c r="H221" s="19">
        <v>1092365</v>
      </c>
      <c r="I221" s="16" t="s">
        <v>2458</v>
      </c>
      <c r="J221" s="16" t="s">
        <v>2063</v>
      </c>
      <c r="K221" s="16" t="s">
        <v>2060</v>
      </c>
      <c r="L221" s="16"/>
    </row>
    <row r="222" ht="15">
      <c r="A222" s="16" t="s">
        <v>2458</v>
      </c>
      <c r="B222" s="16" t="s">
        <v>2217</v>
      </c>
      <c r="C222" s="16"/>
      <c r="D222" s="20" t="s">
        <v>1750</v>
      </c>
      <c r="E222" s="16" t="str">
        <f>VLOOKUP(D222,fonds!$A$1:$B$495,2,FALSE())</f>
        <v>IT-ASFi/DNPistoiaSmaAnnunziata</v>
      </c>
      <c r="F222" s="18">
        <v>3170621</v>
      </c>
      <c r="G222" s="19">
        <v>4393064</v>
      </c>
      <c r="H222" s="19">
        <v>1092365</v>
      </c>
      <c r="I222" s="16" t="s">
        <v>2458</v>
      </c>
      <c r="J222" s="16" t="s">
        <v>2063</v>
      </c>
      <c r="K222" s="16" t="s">
        <v>2060</v>
      </c>
      <c r="L222" s="16"/>
    </row>
    <row r="223" ht="15">
      <c r="A223" s="16" t="s">
        <v>2458</v>
      </c>
      <c r="B223" s="16" t="s">
        <v>2064</v>
      </c>
      <c r="C223" s="16"/>
      <c r="D223" s="20" t="s">
        <v>1778</v>
      </c>
      <c r="E223" s="16" t="str">
        <f>VLOOKUP(D223,fonds!$A$1:$B$495,2,FALSE())</f>
        <v>IT-ASFi/DNPistoiaSDomenico</v>
      </c>
      <c r="F223" s="18">
        <v>3170621</v>
      </c>
      <c r="G223" s="19">
        <v>4393064</v>
      </c>
      <c r="H223" s="19">
        <v>1092365</v>
      </c>
      <c r="I223" s="16" t="s">
        <v>2458</v>
      </c>
      <c r="J223" s="16" t="s">
        <v>2063</v>
      </c>
      <c r="K223" s="16" t="s">
        <v>2060</v>
      </c>
      <c r="L223" s="16"/>
    </row>
    <row r="224" ht="15">
      <c r="A224" s="16" t="s">
        <v>2458</v>
      </c>
      <c r="B224" s="16" t="s">
        <v>2462</v>
      </c>
      <c r="C224" s="16"/>
      <c r="D224" s="17" t="s">
        <v>1834</v>
      </c>
      <c r="E224" s="16" t="str">
        <f>VLOOKUP(D224,fonds!$A$1:$B$495,2,FALSE())</f>
        <v>IT-ASFi/DNPistoiaSLorenzo</v>
      </c>
      <c r="F224" s="18">
        <v>3170621</v>
      </c>
      <c r="G224" s="19">
        <v>4393064</v>
      </c>
      <c r="H224" s="19">
        <v>1092365</v>
      </c>
      <c r="I224" s="16" t="s">
        <v>2458</v>
      </c>
      <c r="J224" s="16" t="s">
        <v>2063</v>
      </c>
      <c r="K224" s="16" t="s">
        <v>2060</v>
      </c>
      <c r="L224" s="16"/>
    </row>
    <row r="225" ht="15">
      <c r="A225" s="16" t="s">
        <v>2458</v>
      </c>
      <c r="B225" s="16" t="s">
        <v>2463</v>
      </c>
      <c r="C225" s="16"/>
      <c r="D225" s="17" t="s">
        <v>1850</v>
      </c>
      <c r="E225" s="16" t="str">
        <f>VLOOKUP(D225,fonds!$A$1:$B$495,2,FALSE())</f>
        <v>IT-ASFi/DNPistoiaSBartolomeo</v>
      </c>
      <c r="F225" s="18">
        <v>3170621</v>
      </c>
      <c r="G225" s="19">
        <v>4393064</v>
      </c>
      <c r="H225" s="19">
        <v>1092365</v>
      </c>
      <c r="I225" s="16" t="s">
        <v>2458</v>
      </c>
      <c r="J225" s="16" t="s">
        <v>2063</v>
      </c>
      <c r="K225" s="16" t="s">
        <v>2060</v>
      </c>
      <c r="L225" s="16"/>
    </row>
    <row r="226" ht="15">
      <c r="A226" s="16" t="s">
        <v>2458</v>
      </c>
      <c r="B226" s="16" t="s">
        <v>2131</v>
      </c>
      <c r="C226" s="16"/>
      <c r="D226" s="17" t="s">
        <v>1854</v>
      </c>
      <c r="E226" s="16" t="str">
        <f>VLOOKUP(D226,fonds!$A$1:$B$495,2,FALSE())</f>
        <v>IT-ASFi/DNPistoiaSFrancesco</v>
      </c>
      <c r="F226" s="18">
        <v>3170621</v>
      </c>
      <c r="G226" s="19">
        <v>4393064</v>
      </c>
      <c r="H226" s="19">
        <v>1092365</v>
      </c>
      <c r="I226" s="16" t="s">
        <v>2458</v>
      </c>
      <c r="J226" s="16" t="s">
        <v>2063</v>
      </c>
      <c r="K226" s="16" t="s">
        <v>2060</v>
      </c>
      <c r="L226" s="16"/>
    </row>
    <row r="227" ht="15">
      <c r="A227" s="16" t="s">
        <v>2458</v>
      </c>
      <c r="B227" s="16" t="s">
        <v>2464</v>
      </c>
      <c r="C227" s="16"/>
      <c r="D227" s="17" t="s">
        <v>1866</v>
      </c>
      <c r="E227" s="16" t="str">
        <f>VLOOKUP(D227,fonds!$A$1:$B$495,2,FALSE())</f>
        <v>IT-ASFi/DNPistoiaSMariaDegliAngioli</v>
      </c>
      <c r="F227" s="18">
        <v>3170621</v>
      </c>
      <c r="G227" s="19">
        <v>4393064</v>
      </c>
      <c r="H227" s="19">
        <v>1092365</v>
      </c>
      <c r="I227" s="16" t="s">
        <v>2458</v>
      </c>
      <c r="J227" s="16" t="s">
        <v>2063</v>
      </c>
      <c r="K227" s="16" t="s">
        <v>2060</v>
      </c>
      <c r="L227" s="16"/>
    </row>
    <row r="228" ht="15">
      <c r="A228" s="16" t="s">
        <v>2465</v>
      </c>
      <c r="B228" s="16" t="s">
        <v>2466</v>
      </c>
      <c r="C228" s="16" t="s">
        <v>2467</v>
      </c>
      <c r="D228" s="17" t="s">
        <v>168</v>
      </c>
      <c r="E228" s="16" t="str">
        <f>VLOOKUP(D228,fonds!$A$1:$B$495,2,FALSE())</f>
        <v>AT-HHStA/PlasyOCist</v>
      </c>
      <c r="F228" s="18">
        <v>3068222</v>
      </c>
      <c r="G228" s="19">
        <v>4993449</v>
      </c>
      <c r="H228" s="19">
        <v>1339035</v>
      </c>
      <c r="I228" s="16" t="s">
        <v>2465</v>
      </c>
      <c r="J228" s="16" t="s">
        <v>2050</v>
      </c>
      <c r="K228" s="16" t="s">
        <v>2468</v>
      </c>
      <c r="L228" s="16"/>
    </row>
    <row r="229" ht="15">
      <c r="A229" s="16" t="s">
        <v>2469</v>
      </c>
      <c r="B229" s="16" t="s">
        <v>2462</v>
      </c>
      <c r="C229" s="16"/>
      <c r="D229" s="20" t="s">
        <v>1478</v>
      </c>
      <c r="E229" s="16" t="str">
        <f>VLOOKUP(D229,fonds!$A$1:$B$495,2,FALSE())</f>
        <v>IT-ASFi/DNPoggibonsiSLorenzo</v>
      </c>
      <c r="F229" s="18">
        <v>3170504</v>
      </c>
      <c r="G229" s="19">
        <v>4347064</v>
      </c>
      <c r="H229" s="19">
        <v>1114804</v>
      </c>
      <c r="I229" s="16" t="s">
        <v>2469</v>
      </c>
      <c r="J229" s="16" t="s">
        <v>2023</v>
      </c>
      <c r="K229" s="16" t="s">
        <v>2060</v>
      </c>
      <c r="L229" s="16"/>
    </row>
    <row r="230" ht="15">
      <c r="A230" s="16" t="s">
        <v>2470</v>
      </c>
      <c r="B230" s="16" t="s">
        <v>2471</v>
      </c>
      <c r="C230" s="16"/>
      <c r="D230" s="17" t="s">
        <v>52</v>
      </c>
      <c r="E230" s="16" t="str">
        <f>VLOOKUP(D230,fonds!$A$1:$B$495,2,FALSE())</f>
        <v>AT-HHStA/WolfsbergOFMConv</v>
      </c>
      <c r="F230" s="18">
        <v>2760908</v>
      </c>
      <c r="G230" s="19">
        <v>4683333</v>
      </c>
      <c r="H230" s="19">
        <v>1483333</v>
      </c>
      <c r="I230" s="16" t="s">
        <v>2472</v>
      </c>
      <c r="J230" s="16" t="s">
        <v>2405</v>
      </c>
      <c r="K230" s="16" t="s">
        <v>2181</v>
      </c>
      <c r="L230" s="16"/>
    </row>
    <row r="231" ht="15">
      <c r="A231" s="16" t="s">
        <v>2473</v>
      </c>
      <c r="B231" s="16" t="s">
        <v>2474</v>
      </c>
      <c r="C231" s="16"/>
      <c r="D231" s="20" t="s">
        <v>1790</v>
      </c>
      <c r="E231" s="16" t="str">
        <f>VLOOKUP(D231,fonds!$A$1:$B$495,2,FALSE())</f>
        <v>IT-ASFi/DNPorticoSMariaDellaDisciplina</v>
      </c>
      <c r="F231" s="18">
        <v>3170115</v>
      </c>
      <c r="G231" s="19">
        <v>4105562</v>
      </c>
      <c r="H231" s="19">
        <v>1428022</v>
      </c>
      <c r="I231" s="16" t="s">
        <v>2475</v>
      </c>
      <c r="J231" s="16" t="s">
        <v>2023</v>
      </c>
      <c r="K231" s="16" t="s">
        <v>2020</v>
      </c>
      <c r="L231" s="16"/>
    </row>
    <row r="232" ht="15">
      <c r="A232" s="16" t="s">
        <v>2476</v>
      </c>
      <c r="B232" s="16" t="s">
        <v>2477</v>
      </c>
      <c r="C232" s="16"/>
      <c r="D232" s="20" t="s">
        <v>112</v>
      </c>
      <c r="E232" s="16" t="str">
        <f>VLOOKUP(D232,fonds!$A$1:$B$495,2,FALSE())</f>
        <v>AT-HHStA/PrahaMgd</v>
      </c>
      <c r="F232" s="18">
        <v>3067696</v>
      </c>
      <c r="G232" s="19">
        <v>5008804</v>
      </c>
      <c r="H232" s="19">
        <v>1442076</v>
      </c>
      <c r="I232" s="16" t="s">
        <v>2478</v>
      </c>
      <c r="J232" s="16" t="s">
        <v>2479</v>
      </c>
      <c r="K232" s="16" t="s">
        <v>2478</v>
      </c>
      <c r="L232" s="16"/>
    </row>
    <row r="233" ht="15">
      <c r="A233" s="16" t="s">
        <v>2480</v>
      </c>
      <c r="B233" s="16" t="s">
        <v>2481</v>
      </c>
      <c r="C233" s="16" t="s">
        <v>2482</v>
      </c>
      <c r="D233" s="17" t="s">
        <v>950</v>
      </c>
      <c r="E233" s="16" t="str">
        <f>VLOOKUP(D233,fonds!$A$1:$B$495,2,FALSE())</f>
        <v>CZ-NA/RD</v>
      </c>
      <c r="F233" s="18">
        <v>3067696</v>
      </c>
      <c r="G233" s="19">
        <v>5008804</v>
      </c>
      <c r="H233" s="19">
        <v>1442076</v>
      </c>
      <c r="I233" s="16" t="s">
        <v>2478</v>
      </c>
      <c r="J233" s="16" t="s">
        <v>2479</v>
      </c>
      <c r="K233" s="16" t="s">
        <v>2478</v>
      </c>
      <c r="L233" s="16"/>
    </row>
    <row r="234" ht="15">
      <c r="A234" s="16" t="s">
        <v>2483</v>
      </c>
      <c r="B234" s="16" t="s">
        <v>2484</v>
      </c>
      <c r="C234" s="16"/>
      <c r="D234" s="17" t="s">
        <v>1546</v>
      </c>
      <c r="E234" s="16" t="str">
        <f>VLOOKUP(D234,fonds!$A$1:$B$495,2,FALSE())</f>
        <v>IT-ASFi/DNPratoSVincenzo</v>
      </c>
      <c r="F234" s="18">
        <v>3169921</v>
      </c>
      <c r="G234" s="19">
        <v>438805</v>
      </c>
      <c r="H234" s="19">
        <v>1109699</v>
      </c>
      <c r="I234" s="16" t="s">
        <v>2483</v>
      </c>
      <c r="J234" s="16" t="s">
        <v>2063</v>
      </c>
      <c r="K234" s="16" t="s">
        <v>2060</v>
      </c>
      <c r="L234" s="16"/>
    </row>
    <row r="235" ht="15">
      <c r="A235" s="16" t="s">
        <v>2483</v>
      </c>
      <c r="B235" s="16" t="s">
        <v>2485</v>
      </c>
      <c r="C235" s="16"/>
      <c r="D235" s="20" t="s">
        <v>1562</v>
      </c>
      <c r="E235" s="16" t="str">
        <f>VLOOKUP(D235,fonds!$A$1:$B$495,2,FALSE())</f>
        <v>IT-ASFi/DNPratoSBartolomeo</v>
      </c>
      <c r="F235" s="18">
        <v>3169921</v>
      </c>
      <c r="G235" s="19">
        <v>438805</v>
      </c>
      <c r="H235" s="19">
        <v>1109699</v>
      </c>
      <c r="I235" s="16" t="s">
        <v>2483</v>
      </c>
      <c r="J235" s="16" t="s">
        <v>2063</v>
      </c>
      <c r="K235" s="16" t="s">
        <v>2060</v>
      </c>
      <c r="L235" s="16"/>
    </row>
    <row r="236" ht="15">
      <c r="A236" s="16" t="s">
        <v>2483</v>
      </c>
      <c r="B236" s="16" t="s">
        <v>2486</v>
      </c>
      <c r="C236" s="16"/>
      <c r="D236" s="20" t="s">
        <v>1910</v>
      </c>
      <c r="E236" s="16" t="str">
        <f>VLOOKUP(D236,fonds!$A$1:$B$495,2,FALSE())</f>
        <v>IT-ASFi/DNPratoSNiccolo</v>
      </c>
      <c r="F236" s="18">
        <v>3169921</v>
      </c>
      <c r="G236" s="19">
        <v>438805</v>
      </c>
      <c r="H236" s="19">
        <v>1109699</v>
      </c>
      <c r="I236" s="16" t="s">
        <v>2483</v>
      </c>
      <c r="J236" s="16" t="s">
        <v>2063</v>
      </c>
      <c r="K236" s="16" t="s">
        <v>2060</v>
      </c>
      <c r="L236" s="16"/>
    </row>
    <row r="237" ht="15">
      <c r="A237" s="16" t="s">
        <v>2487</v>
      </c>
      <c r="B237" s="16" t="s">
        <v>2488</v>
      </c>
      <c r="C237" s="16"/>
      <c r="D237" s="20" t="s">
        <v>1710</v>
      </c>
      <c r="E237" s="16" t="str">
        <f>VLOOKUP(D237,fonds!$A$1:$B$495,2,FALSE())</f>
        <v>IT-ASFi/DNPratovecchioSGiovanniEvangelista</v>
      </c>
      <c r="F237" s="18">
        <v>3169895</v>
      </c>
      <c r="G237" s="19">
        <v>4378685</v>
      </c>
      <c r="H237" s="19">
        <v>1172353</v>
      </c>
      <c r="I237" s="16" t="s">
        <v>2487</v>
      </c>
      <c r="J237" s="16" t="s">
        <v>2023</v>
      </c>
      <c r="K237" s="16" t="s">
        <v>2060</v>
      </c>
      <c r="L237" s="16"/>
    </row>
    <row r="238" ht="15">
      <c r="A238" s="16" t="s">
        <v>2489</v>
      </c>
      <c r="B238" s="16" t="s">
        <v>2490</v>
      </c>
      <c r="C238" s="16" t="s">
        <v>2491</v>
      </c>
      <c r="D238" s="17" t="s">
        <v>368</v>
      </c>
      <c r="E238" s="16" t="str">
        <f>VLOOKUP(D238,fonds!$A$1:$B$495,2,FALSE())</f>
        <v>AT-HHStA/PtujOP</v>
      </c>
      <c r="F238" s="18">
        <v>3192241</v>
      </c>
      <c r="G238" s="19">
        <v>4642005</v>
      </c>
      <c r="H238" s="19">
        <v>1587018</v>
      </c>
      <c r="I238" s="16" t="s">
        <v>2489</v>
      </c>
      <c r="J238" s="16" t="s">
        <v>2107</v>
      </c>
      <c r="K238" s="16" t="s">
        <v>2489</v>
      </c>
      <c r="L238" s="16"/>
    </row>
    <row r="239" ht="15">
      <c r="A239" s="16" t="s">
        <v>2492</v>
      </c>
      <c r="B239" s="16" t="s">
        <v>2353</v>
      </c>
      <c r="C239" s="16"/>
      <c r="D239" s="17" t="s">
        <v>332</v>
      </c>
      <c r="E239" s="16" t="str">
        <f>VLOOKUP(D239,fonds!$A$1:$B$495,2,FALSE())</f>
        <v>AT-HHStA/PulgarnCan</v>
      </c>
      <c r="F239" s="18">
        <v>2768256</v>
      </c>
      <c r="G239" s="19">
        <v>4828148</v>
      </c>
      <c r="H239" s="19">
        <v>1439604</v>
      </c>
      <c r="I239" s="16" t="s">
        <v>2492</v>
      </c>
      <c r="J239" s="16" t="s">
        <v>2050</v>
      </c>
      <c r="K239" s="16" t="s">
        <v>2028</v>
      </c>
      <c r="L239" s="16"/>
    </row>
    <row r="240" ht="15">
      <c r="A240" s="16" t="s">
        <v>2493</v>
      </c>
      <c r="B240" s="16" t="s">
        <v>2494</v>
      </c>
      <c r="C240" s="16"/>
      <c r="D240" s="17" t="s">
        <v>1514</v>
      </c>
      <c r="E240" s="16" t="str">
        <f>VLOOKUP(D240,fonds!$A$1:$B$495,2,FALSE())</f>
        <v>IT-ASFi/DNRadicondoliSCaterinaDelleRuote</v>
      </c>
      <c r="F240" s="18">
        <v>3169639</v>
      </c>
      <c r="G240" s="19">
        <v>4326047</v>
      </c>
      <c r="H240" s="19">
        <v>1104582</v>
      </c>
      <c r="I240" s="16" t="s">
        <v>2493</v>
      </c>
      <c r="J240" s="16" t="s">
        <v>2023</v>
      </c>
      <c r="K240" s="16" t="s">
        <v>2060</v>
      </c>
      <c r="L240" s="16"/>
    </row>
    <row r="241" ht="15">
      <c r="A241" s="16" t="s">
        <v>2495</v>
      </c>
      <c r="B241" s="16" t="s">
        <v>2496</v>
      </c>
      <c r="C241" s="16" t="s">
        <v>2497</v>
      </c>
      <c r="D241" s="17" t="s">
        <v>100</v>
      </c>
      <c r="E241" s="16" t="str">
        <f>VLOOKUP(D241,fonds!$A$1:$B$495,2,FALSE())</f>
        <v>AT-HHStA/RadljeOP</v>
      </c>
      <c r="F241" s="18">
        <v>3192121</v>
      </c>
      <c r="G241" s="19">
        <v>4661417</v>
      </c>
      <c r="H241" s="19">
        <v>1522639</v>
      </c>
      <c r="I241" s="16" t="s">
        <v>2498</v>
      </c>
      <c r="J241" s="16" t="s">
        <v>2107</v>
      </c>
      <c r="K241" s="16" t="s">
        <v>2498</v>
      </c>
      <c r="L241" s="16"/>
    </row>
    <row r="242" ht="15">
      <c r="A242" s="16" t="s">
        <v>2499</v>
      </c>
      <c r="B242" s="16" t="s">
        <v>2030</v>
      </c>
      <c r="C242" s="16" t="s">
        <v>2500</v>
      </c>
      <c r="D242" s="17" t="s">
        <v>1082</v>
      </c>
      <c r="E242" s="16" t="str">
        <f>VLOOKUP(D242,fonds!$A$1:$B$495,2,FALSE())</f>
        <v>DE-BayHStA/KURaitenhaslach</v>
      </c>
      <c r="F242" s="18">
        <v>2850763</v>
      </c>
      <c r="G242" s="19">
        <v>4813016</v>
      </c>
      <c r="H242" s="19">
        <v>1278705</v>
      </c>
      <c r="I242" s="16" t="s">
        <v>2499</v>
      </c>
      <c r="J242" s="16" t="s">
        <v>2050</v>
      </c>
      <c r="K242" s="16" t="s">
        <v>2033</v>
      </c>
      <c r="L242" s="16"/>
    </row>
    <row r="243" ht="15">
      <c r="A243" s="16" t="s">
        <v>2501</v>
      </c>
      <c r="B243" s="16" t="s">
        <v>2030</v>
      </c>
      <c r="C243" s="16" t="s">
        <v>2502</v>
      </c>
      <c r="D243" s="17" t="s">
        <v>1122</v>
      </c>
      <c r="E243" s="16" t="str">
        <f>VLOOKUP(D243,fonds!$A$1:$B$495,2,FALSE())</f>
        <v>DE-BayHStA/KURanshofen</v>
      </c>
      <c r="F243" s="18">
        <v>2767961</v>
      </c>
      <c r="G243" s="19">
        <v>4823308</v>
      </c>
      <c r="H243" s="19">
        <v>1301571</v>
      </c>
      <c r="I243" s="16" t="s">
        <v>2501</v>
      </c>
      <c r="J243" s="16" t="s">
        <v>2050</v>
      </c>
      <c r="K243" s="16" t="s">
        <v>2028</v>
      </c>
      <c r="L243" s="16"/>
    </row>
    <row r="244" ht="15">
      <c r="A244" s="16" t="s">
        <v>2503</v>
      </c>
      <c r="B244" s="16" t="s">
        <v>2504</v>
      </c>
      <c r="C244" s="16"/>
      <c r="D244" s="20" t="s">
        <v>320</v>
      </c>
      <c r="E244" s="16" t="str">
        <f>VLOOKUP(D244,fonds!$A$1:$B$495,2,FALSE())</f>
        <v>AT-HHStA/RegensburgOCarm</v>
      </c>
      <c r="F244" s="18">
        <v>2849483</v>
      </c>
      <c r="G244" s="19">
        <v>4901513</v>
      </c>
      <c r="H244" s="19">
        <v>1210161</v>
      </c>
      <c r="I244" s="16" t="s">
        <v>2503</v>
      </c>
      <c r="J244" s="16" t="s">
        <v>2063</v>
      </c>
      <c r="K244" s="16" t="s">
        <v>2033</v>
      </c>
      <c r="L244" s="16"/>
    </row>
    <row r="245" ht="15">
      <c r="A245" s="16" t="s">
        <v>2505</v>
      </c>
      <c r="B245" s="16" t="s">
        <v>2030</v>
      </c>
      <c r="C245" s="16" t="s">
        <v>2506</v>
      </c>
      <c r="D245" s="20" t="s">
        <v>1126</v>
      </c>
      <c r="E245" s="16" t="str">
        <f>VLOOKUP(D245,fonds!$A$1:$B$495,2,FALSE())</f>
        <v>DE-BayHStA/KURegensburgStEmmeram</v>
      </c>
      <c r="F245" s="18">
        <v>11204749</v>
      </c>
      <c r="G245" s="19">
        <v>4901528</v>
      </c>
      <c r="H245" s="19">
        <v>1209278</v>
      </c>
      <c r="I245" s="16" t="s">
        <v>2507</v>
      </c>
      <c r="J245" s="16" t="s">
        <v>2508</v>
      </c>
      <c r="K245" s="16" t="s">
        <v>2033</v>
      </c>
      <c r="L245" s="16"/>
    </row>
    <row r="246" ht="15">
      <c r="A246" s="16" t="s">
        <v>2509</v>
      </c>
      <c r="B246" s="16" t="s">
        <v>2089</v>
      </c>
      <c r="C246" s="16"/>
      <c r="D246" s="17" t="s">
        <v>586</v>
      </c>
      <c r="E246" s="16" t="str">
        <f>VLOOKUP(D246,fonds!$A$1:$B$495,2,FALSE())</f>
        <v>AT-StiAStP/BlUKReichenbach</v>
      </c>
      <c r="F246" s="18">
        <v>2849170</v>
      </c>
      <c r="G246" s="19">
        <v>4918333</v>
      </c>
      <c r="H246" s="16" t="s">
        <v>2510</v>
      </c>
      <c r="I246" s="16" t="s">
        <v>2511</v>
      </c>
      <c r="J246" s="16" t="s">
        <v>2032</v>
      </c>
      <c r="K246" s="16" t="s">
        <v>2033</v>
      </c>
      <c r="L246" s="16"/>
    </row>
    <row r="247" ht="15">
      <c r="A247" s="16" t="s">
        <v>2512</v>
      </c>
      <c r="B247" s="16" t="s">
        <v>2030</v>
      </c>
      <c r="C247" s="16" t="s">
        <v>2513</v>
      </c>
      <c r="D247" s="17" t="s">
        <v>1054</v>
      </c>
      <c r="E247" s="16" t="str">
        <f>VLOOKUP(D247,fonds!$A$1:$B$495,2,FALSE())</f>
        <v>DE-BayHStA/KURohr</v>
      </c>
      <c r="F247" s="18">
        <v>2767265</v>
      </c>
      <c r="G247" s="19">
        <v>4711667</v>
      </c>
      <c r="H247" s="19">
        <v>1616667</v>
      </c>
      <c r="I247" s="16" t="s">
        <v>2514</v>
      </c>
      <c r="J247" s="16" t="s">
        <v>2023</v>
      </c>
      <c r="K247" s="16" t="s">
        <v>2290</v>
      </c>
      <c r="L247" s="16"/>
    </row>
    <row r="248" ht="15">
      <c r="A248" s="16" t="s">
        <v>2515</v>
      </c>
      <c r="B248" s="16" t="s">
        <v>2516</v>
      </c>
      <c r="C248" s="16"/>
      <c r="D248" s="20" t="s">
        <v>1634</v>
      </c>
      <c r="E248" s="16" t="str">
        <f>VLOOKUP(D248,fonds!$A$1:$B$495,2,FALSE())</f>
        <v>IT-ASFi/DNRosanoSmaAnnunziata</v>
      </c>
      <c r="F248" s="18">
        <v>6539851</v>
      </c>
      <c r="G248" s="19">
        <v>395751</v>
      </c>
      <c r="H248" s="19">
        <v>166349</v>
      </c>
      <c r="I248" s="16" t="s">
        <v>2517</v>
      </c>
      <c r="J248" s="16" t="s">
        <v>2518</v>
      </c>
      <c r="K248" s="16" t="s">
        <v>2519</v>
      </c>
      <c r="L248" s="16"/>
    </row>
    <row r="249" ht="15">
      <c r="A249" s="16" t="s">
        <v>2089</v>
      </c>
      <c r="B249" s="16"/>
      <c r="C249" s="16"/>
      <c r="D249" s="17" t="s">
        <v>578</v>
      </c>
      <c r="E249" s="16" t="str">
        <f>VLOOKUP(D249,fonds!$A$1:$B$495,2,FALSE())</f>
        <v>AT-StiAStP/BlUK</v>
      </c>
      <c r="F249" s="18">
        <v>2841643</v>
      </c>
      <c r="G249" s="19">
        <v>4776252</v>
      </c>
      <c r="H249" s="19">
        <v>812714</v>
      </c>
      <c r="I249" s="16" t="s">
        <v>2520</v>
      </c>
      <c r="J249" s="16" t="s">
        <v>2050</v>
      </c>
      <c r="K249" s="16" t="s">
        <v>2091</v>
      </c>
      <c r="L249" s="16"/>
    </row>
    <row r="250" ht="15">
      <c r="A250" s="16" t="s">
        <v>2521</v>
      </c>
      <c r="B250" s="16" t="s">
        <v>2522</v>
      </c>
      <c r="C250" s="16"/>
      <c r="D250" s="17" t="s">
        <v>670</v>
      </c>
      <c r="E250" s="16" t="str">
        <f>VLOOKUP(D250,fonds!$A$1:$B$495,2,FALSE())</f>
        <v>CH-StiASG/Urkunden</v>
      </c>
      <c r="F250" s="18">
        <v>2658822</v>
      </c>
      <c r="G250" s="19">
        <v>4742391</v>
      </c>
      <c r="H250" s="19">
        <v>937477</v>
      </c>
      <c r="I250" s="16" t="s">
        <v>2327</v>
      </c>
      <c r="J250" s="16" t="s">
        <v>2107</v>
      </c>
      <c r="K250" s="16" t="s">
        <v>2327</v>
      </c>
      <c r="L250" s="16"/>
    </row>
    <row r="251" ht="15">
      <c r="A251" s="16" t="s">
        <v>2523</v>
      </c>
      <c r="B251" s="16" t="s">
        <v>2132</v>
      </c>
      <c r="C251" s="16"/>
      <c r="D251" s="17" t="s">
        <v>1438</v>
      </c>
      <c r="E251" s="16" t="str">
        <f>VLOOKUP(D251,fonds!$A$1:$B$495,2,FALSE())</f>
        <v>IT-ASFi/DNSanGimignanoSChiara</v>
      </c>
      <c r="F251" s="18">
        <v>3168320</v>
      </c>
      <c r="G251" s="19">
        <v>434738</v>
      </c>
      <c r="H251" s="19">
        <v>1102975</v>
      </c>
      <c r="I251" s="16" t="s">
        <v>2523</v>
      </c>
      <c r="J251" s="16" t="s">
        <v>2023</v>
      </c>
      <c r="K251" s="16" t="s">
        <v>2060</v>
      </c>
      <c r="L251" s="16"/>
    </row>
    <row r="252" ht="15">
      <c r="A252" s="16" t="s">
        <v>2523</v>
      </c>
      <c r="B252" s="16" t="s">
        <v>2524</v>
      </c>
      <c r="C252" s="16"/>
      <c r="D252" s="20" t="s">
        <v>1486</v>
      </c>
      <c r="E252" s="16" t="str">
        <f>VLOOKUP(D252,fonds!$A$1:$B$495,2,FALSE())</f>
        <v>IT-ASFi/DNGimignanoSMariaRomite</v>
      </c>
      <c r="F252" s="18">
        <v>3168320</v>
      </c>
      <c r="G252" s="19">
        <v>434738</v>
      </c>
      <c r="H252" s="19">
        <v>1102975</v>
      </c>
      <c r="I252" s="16" t="s">
        <v>2523</v>
      </c>
      <c r="J252" s="16" t="s">
        <v>2023</v>
      </c>
      <c r="K252" s="16" t="s">
        <v>2060</v>
      </c>
      <c r="L252" s="16"/>
    </row>
    <row r="253" ht="15">
      <c r="A253" s="16" t="s">
        <v>2523</v>
      </c>
      <c r="B253" s="16" t="s">
        <v>2525</v>
      </c>
      <c r="C253" s="16"/>
      <c r="D253" s="20" t="s">
        <v>1678</v>
      </c>
      <c r="E253" s="16" t="str">
        <f>VLOOKUP(D253,fonds!$A$1:$B$495,2,FALSE())</f>
        <v>IT-ASFi/DNSanGimignanoSGirolamo</v>
      </c>
      <c r="F253" s="18">
        <v>3168320</v>
      </c>
      <c r="G253" s="19">
        <v>434738</v>
      </c>
      <c r="H253" s="19">
        <v>1102975</v>
      </c>
      <c r="I253" s="16" t="s">
        <v>2523</v>
      </c>
      <c r="J253" s="16" t="s">
        <v>2023</v>
      </c>
      <c r="K253" s="16" t="s">
        <v>2060</v>
      </c>
      <c r="L253" s="16"/>
    </row>
    <row r="254" ht="15">
      <c r="A254" s="16" t="s">
        <v>2523</v>
      </c>
      <c r="B254" s="16" t="s">
        <v>2526</v>
      </c>
      <c r="C254" s="16"/>
      <c r="D254" s="17" t="s">
        <v>1702</v>
      </c>
      <c r="E254" s="16" t="str">
        <f>VLOOKUP(D254,fonds!$A$1:$B$495,2,FALSE())</f>
        <v>IT-ASFi/DNSanGimignanoSMariaMaddalena</v>
      </c>
      <c r="F254" s="18">
        <v>3168320</v>
      </c>
      <c r="G254" s="19">
        <v>434738</v>
      </c>
      <c r="H254" s="19">
        <v>1102975</v>
      </c>
      <c r="I254" s="16" t="s">
        <v>2523</v>
      </c>
      <c r="J254" s="16" t="s">
        <v>2023</v>
      </c>
      <c r="K254" s="16" t="s">
        <v>2060</v>
      </c>
      <c r="L254" s="16"/>
    </row>
    <row r="255" ht="15">
      <c r="A255" s="16" t="s">
        <v>2523</v>
      </c>
      <c r="B255" s="16" t="s">
        <v>2527</v>
      </c>
      <c r="C255" s="16"/>
      <c r="D255" s="20" t="s">
        <v>1882</v>
      </c>
      <c r="E255" s="16" t="str">
        <f>VLOOKUP(D255,fonds!$A$1:$B$495,2,FALSE())</f>
        <v>IT-ASFi/DNSanGimignanoSmaAnnunziata</v>
      </c>
      <c r="F255" s="18">
        <v>3168320</v>
      </c>
      <c r="G255" s="19">
        <v>434738</v>
      </c>
      <c r="H255" s="19">
        <v>1102975</v>
      </c>
      <c r="I255" s="16" t="s">
        <v>2523</v>
      </c>
      <c r="J255" s="16" t="s">
        <v>2023</v>
      </c>
      <c r="K255" s="16" t="s">
        <v>2060</v>
      </c>
      <c r="L255" s="16"/>
    </row>
    <row r="256" ht="15">
      <c r="A256" s="16" t="s">
        <v>2523</v>
      </c>
      <c r="B256" s="16" t="s">
        <v>2528</v>
      </c>
      <c r="C256" s="16"/>
      <c r="D256" s="17" t="s">
        <v>1886</v>
      </c>
      <c r="E256" s="16" t="str">
        <f>VLOOKUP(D256,fonds!$A$1:$B$495,2,FALSE())</f>
        <v>IT-ASFi/DNSanGimignanoSAgostino</v>
      </c>
      <c r="F256" s="18">
        <v>3168320</v>
      </c>
      <c r="G256" s="19">
        <v>434738</v>
      </c>
      <c r="H256" s="19">
        <v>1102975</v>
      </c>
      <c r="I256" s="16" t="s">
        <v>2523</v>
      </c>
      <c r="J256" s="16" t="s">
        <v>2023</v>
      </c>
      <c r="K256" s="16" t="s">
        <v>2060</v>
      </c>
      <c r="L256" s="16"/>
    </row>
    <row r="257" ht="15">
      <c r="A257" s="25" t="s">
        <v>2529</v>
      </c>
      <c r="B257" s="25" t="s">
        <v>2530</v>
      </c>
      <c r="C257" s="25"/>
      <c r="D257" s="25" t="s">
        <v>376</v>
      </c>
      <c r="E257" s="25" t="str">
        <f>VLOOKUP(D257,fonds!$A$1:$B$495,2,FALSE())</f>
        <v>AT-HHStA/StPaulOSB</v>
      </c>
      <c r="F257" s="26">
        <v>2562541</v>
      </c>
      <c r="G257" s="27">
        <v>3595064</v>
      </c>
      <c r="H257" s="27">
        <v>1441561</v>
      </c>
      <c r="I257" s="25" t="s">
        <v>2531</v>
      </c>
      <c r="J257" s="25" t="s">
        <v>2107</v>
      </c>
      <c r="K257" s="25" t="s">
        <v>2532</v>
      </c>
      <c r="L257" s="25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5">
      <c r="A258" s="25" t="s">
        <v>2529</v>
      </c>
      <c r="B258" s="25"/>
      <c r="C258" s="25"/>
      <c r="D258" s="25" t="s">
        <v>566</v>
      </c>
      <c r="E258" s="25" t="str">
        <f>VLOOKUP(D258,fonds!$A$1:$B$495,2,FALSE())</f>
        <v>AT-StiAStP/UK</v>
      </c>
      <c r="F258" s="26">
        <v>2562541</v>
      </c>
      <c r="G258" s="27">
        <v>3595064</v>
      </c>
      <c r="H258" s="27">
        <v>1441561</v>
      </c>
      <c r="I258" s="25" t="s">
        <v>2531</v>
      </c>
      <c r="J258" s="25" t="s">
        <v>2107</v>
      </c>
      <c r="K258" s="25" t="s">
        <v>2532</v>
      </c>
      <c r="L258" s="25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5">
      <c r="A259" s="16" t="s">
        <v>2533</v>
      </c>
      <c r="B259" s="16" t="s">
        <v>2534</v>
      </c>
      <c r="C259" s="16"/>
      <c r="D259" s="20" t="s">
        <v>300</v>
      </c>
      <c r="E259" s="16" t="str">
        <f>VLOOKUP(D259,fonds!$A$1:$B$495,2,FALSE())</f>
        <v>AT-HHStA/StAndraeOP</v>
      </c>
      <c r="F259" s="18">
        <v>2766769</v>
      </c>
      <c r="G259" s="19">
        <v>477841</v>
      </c>
      <c r="H259" s="19">
        <v>1694195</v>
      </c>
      <c r="I259" s="16" t="s">
        <v>2535</v>
      </c>
      <c r="J259" s="16" t="s">
        <v>2023</v>
      </c>
      <c r="K259" s="16" t="s">
        <v>2290</v>
      </c>
      <c r="L259" s="16"/>
    </row>
    <row r="260" ht="15">
      <c r="A260" s="16" t="s">
        <v>2536</v>
      </c>
      <c r="B260" s="16"/>
      <c r="C260" s="16" t="s">
        <v>2537</v>
      </c>
      <c r="D260" s="20" t="s">
        <v>471</v>
      </c>
      <c r="E260" s="16" t="str">
        <f>VLOOKUP(D260,fonds!$A$1:$B$495,2,FALSE())</f>
        <v>AT-StiAHe/StAndraeCanReg</v>
      </c>
      <c r="F260" s="18">
        <v>2766770</v>
      </c>
      <c r="G260" s="19">
        <v>482969</v>
      </c>
      <c r="H260" s="19">
        <v>1571732</v>
      </c>
      <c r="I260" s="16" t="s">
        <v>2538</v>
      </c>
      <c r="J260" s="16" t="s">
        <v>2050</v>
      </c>
      <c r="K260" s="16" t="s">
        <v>2037</v>
      </c>
      <c r="L260" s="16"/>
    </row>
    <row r="261" ht="15">
      <c r="A261" s="16" t="s">
        <v>2539</v>
      </c>
      <c r="B261" s="16" t="s">
        <v>2540</v>
      </c>
      <c r="C261" s="16"/>
      <c r="D261" s="20" t="s">
        <v>64</v>
      </c>
      <c r="E261" s="16" t="str">
        <f>VLOOKUP(D261,fonds!$A$1:$B$495,2,FALSE())</f>
        <v>AT-HHStA/StBernhardOCist</v>
      </c>
      <c r="F261" s="18"/>
      <c r="G261" s="21">
        <v>48685278</v>
      </c>
      <c r="H261" s="21">
        <v>15595</v>
      </c>
      <c r="I261" s="16" t="s">
        <v>2541</v>
      </c>
      <c r="J261" s="16"/>
      <c r="K261" s="16" t="s">
        <v>2037</v>
      </c>
      <c r="L261" s="16" t="s">
        <v>2043</v>
      </c>
    </row>
    <row r="262" ht="15">
      <c r="A262" s="25" t="s">
        <v>2542</v>
      </c>
      <c r="B262" s="25" t="s">
        <v>2543</v>
      </c>
      <c r="C262" s="25"/>
      <c r="D262" s="25" t="s">
        <v>44</v>
      </c>
      <c r="E262" s="25" t="str">
        <f>VLOOKUP(D262,fonds!$A$1:$B$495,2,FALSE())</f>
        <v>AT-HHStA/StLambrechtOSB</v>
      </c>
      <c r="F262" s="26">
        <v>2766615</v>
      </c>
      <c r="G262" s="27">
        <v>4706667</v>
      </c>
      <c r="H262" s="29">
        <v>46095</v>
      </c>
      <c r="I262" s="25" t="s">
        <v>2544</v>
      </c>
      <c r="J262" s="25" t="s">
        <v>2023</v>
      </c>
      <c r="K262" s="25" t="s">
        <v>2024</v>
      </c>
      <c r="L262" s="25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5">
      <c r="A263" s="25" t="s">
        <v>2545</v>
      </c>
      <c r="B263" s="25" t="s">
        <v>2030</v>
      </c>
      <c r="C263" s="25"/>
      <c r="D263" s="25" t="s">
        <v>1302</v>
      </c>
      <c r="E263" s="25" t="str">
        <f>VLOOKUP(D263,fonds!$A$1:$B$495,2,FALSE())</f>
        <v>DE-UAHD/LambrechtKloster</v>
      </c>
      <c r="F263" s="26">
        <v>2766615</v>
      </c>
      <c r="G263" s="27">
        <v>4706667</v>
      </c>
      <c r="H263" s="29">
        <v>46095</v>
      </c>
      <c r="I263" s="25" t="s">
        <v>2544</v>
      </c>
      <c r="J263" s="25" t="s">
        <v>2023</v>
      </c>
      <c r="K263" s="25" t="s">
        <v>2024</v>
      </c>
      <c r="L263" s="25"/>
      <c r="M263" s="9" t="s">
        <v>2546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5">
      <c r="A264" s="16" t="s">
        <v>2547</v>
      </c>
      <c r="B264" s="16" t="s">
        <v>2030</v>
      </c>
      <c r="C264" s="16" t="s">
        <v>2548</v>
      </c>
      <c r="D264" s="17" t="s">
        <v>1114</v>
      </c>
      <c r="E264" s="16" t="str">
        <f>VLOOKUP(D264,fonds!$A$1:$B$495,2,FALSE())</f>
        <v>DE-BayHStA/KUPassauStSalvator</v>
      </c>
      <c r="F264" s="18">
        <v>2766408</v>
      </c>
      <c r="G264" s="16" t="s">
        <v>2549</v>
      </c>
      <c r="H264" s="19">
        <v>1435694</v>
      </c>
      <c r="I264" s="16" t="s">
        <v>2550</v>
      </c>
      <c r="J264" s="16" t="s">
        <v>2050</v>
      </c>
      <c r="K264" s="16" t="s">
        <v>2181</v>
      </c>
      <c r="L264" s="16"/>
    </row>
    <row r="265" ht="15">
      <c r="A265" s="16" t="s">
        <v>2551</v>
      </c>
      <c r="B265" s="16"/>
      <c r="C265" s="16" t="s">
        <v>2552</v>
      </c>
      <c r="D265" s="17" t="s">
        <v>428</v>
      </c>
      <c r="E265" s="16" t="str">
        <f>VLOOKUP(D265,fonds!$A$1:$B$495,2,FALSE())</f>
        <v>AT-OOeLA/SubenCanReg</v>
      </c>
      <c r="F265" s="18">
        <v>8989457</v>
      </c>
      <c r="G265" s="19">
        <v>4840282</v>
      </c>
      <c r="H265" s="19">
        <v>1344842</v>
      </c>
      <c r="I265" s="16" t="s">
        <v>2553</v>
      </c>
      <c r="J265" s="16" t="s">
        <v>2363</v>
      </c>
      <c r="K265" s="16" t="s">
        <v>2028</v>
      </c>
      <c r="L265" s="16"/>
    </row>
    <row r="266" ht="15">
      <c r="A266" s="16" t="s">
        <v>2554</v>
      </c>
      <c r="B266" s="16" t="s">
        <v>2555</v>
      </c>
      <c r="C266" s="16"/>
      <c r="D266" s="17" t="s">
        <v>1766</v>
      </c>
      <c r="E266" s="16" t="str">
        <f>VLOOKUP(D266,fonds!$A$1:$B$495,2,FALSE())</f>
        <v>IT-ASFi/DNScrofianoSNiccolo</v>
      </c>
      <c r="F266" s="18">
        <v>8952255</v>
      </c>
      <c r="G266" s="19">
        <v>4323053</v>
      </c>
      <c r="H266" s="19">
        <v>1171478</v>
      </c>
      <c r="I266" s="16" t="s">
        <v>2554</v>
      </c>
      <c r="J266" s="16" t="s">
        <v>2050</v>
      </c>
      <c r="K266" s="16" t="s">
        <v>2060</v>
      </c>
      <c r="L266" s="16"/>
    </row>
    <row r="267" ht="15">
      <c r="A267" s="16" t="s">
        <v>2556</v>
      </c>
      <c r="B267" s="16" t="s">
        <v>2557</v>
      </c>
      <c r="C267" s="16"/>
      <c r="D267" s="17" t="s">
        <v>32</v>
      </c>
      <c r="E267" s="16" t="str">
        <f>VLOOKUP(D267,fonds!$A$1:$B$495,2,FALSE())</f>
        <v>AT-HHStA/SeckauCanReg</v>
      </c>
      <c r="F267" s="18">
        <v>2765335</v>
      </c>
      <c r="G267" s="19">
        <v>4726667</v>
      </c>
      <c r="H267" s="19">
        <v>1478333</v>
      </c>
      <c r="I267" s="16" t="s">
        <v>2556</v>
      </c>
      <c r="J267" s="16" t="s">
        <v>2023</v>
      </c>
      <c r="K267" s="16" t="s">
        <v>2024</v>
      </c>
      <c r="L267" s="16"/>
    </row>
    <row r="268" ht="15">
      <c r="A268" s="16" t="s">
        <v>2558</v>
      </c>
      <c r="B268" s="16" t="s">
        <v>2559</v>
      </c>
      <c r="C268" s="16"/>
      <c r="D268" s="17" t="s">
        <v>104</v>
      </c>
      <c r="E268" s="16" t="str">
        <f>VLOOKUP(D268,fonds!$A$1:$B$495,2,FALSE())</f>
        <v>AT-HHStA/SchnalsOCart</v>
      </c>
      <c r="F268" s="18">
        <v>6534789</v>
      </c>
      <c r="G268" s="19">
        <v>4670602</v>
      </c>
      <c r="H268" s="19">
        <v>1090846</v>
      </c>
      <c r="I268" s="16" t="s">
        <v>2560</v>
      </c>
      <c r="J268" s="16" t="s">
        <v>2023</v>
      </c>
      <c r="K268" s="16" t="s">
        <v>2561</v>
      </c>
      <c r="L268" s="16"/>
    </row>
    <row r="269" ht="15">
      <c r="A269" s="16" t="s">
        <v>2562</v>
      </c>
      <c r="B269" s="16" t="s">
        <v>2563</v>
      </c>
      <c r="C269" s="16"/>
      <c r="D269" s="17" t="s">
        <v>1738</v>
      </c>
      <c r="E269" s="16" t="str">
        <f>VLOOKUP(D269,fonds!$A$1:$B$495,2,FALSE())</f>
        <v>IT-ASFi/DNSienaTrafisse</v>
      </c>
      <c r="F269" s="18">
        <v>3166548</v>
      </c>
      <c r="G269" s="19">
        <v>4331822</v>
      </c>
      <c r="H269" s="19">
        <v>1133064</v>
      </c>
      <c r="I269" s="16" t="s">
        <v>2562</v>
      </c>
      <c r="J269" s="16" t="s">
        <v>2063</v>
      </c>
      <c r="K269" s="16" t="s">
        <v>2060</v>
      </c>
      <c r="L269" s="16"/>
    </row>
    <row r="270" ht="15">
      <c r="A270" s="16" t="s">
        <v>2562</v>
      </c>
      <c r="B270" s="16" t="s">
        <v>2564</v>
      </c>
      <c r="C270" s="16"/>
      <c r="D270" s="17" t="s">
        <v>1746</v>
      </c>
      <c r="E270" s="16" t="str">
        <f>VLOOKUP(D270,fonds!$A$1:$B$495,2,FALSE())</f>
        <v>IT-ASFi/DNSienaSVigilio</v>
      </c>
      <c r="F270" s="18">
        <v>3166548</v>
      </c>
      <c r="G270" s="19">
        <v>4331822</v>
      </c>
      <c r="H270" s="19">
        <v>1133064</v>
      </c>
      <c r="I270" s="16" t="s">
        <v>2562</v>
      </c>
      <c r="J270" s="16" t="s">
        <v>2063</v>
      </c>
      <c r="K270" s="16" t="s">
        <v>2060</v>
      </c>
      <c r="L270" s="16"/>
    </row>
    <row r="271" ht="15">
      <c r="A271" s="16" t="s">
        <v>2562</v>
      </c>
      <c r="B271" s="16" t="s">
        <v>2136</v>
      </c>
      <c r="C271" s="16"/>
      <c r="D271" s="17" t="s">
        <v>1806</v>
      </c>
      <c r="E271" s="16" t="str">
        <f>VLOOKUP(D271,fonds!$A$1:$B$495,2,FALSE())</f>
        <v>IT-ASFi/DNSienaSAgostino</v>
      </c>
      <c r="F271" s="18">
        <v>3166548</v>
      </c>
      <c r="G271" s="19">
        <v>4331822</v>
      </c>
      <c r="H271" s="19">
        <v>1133064</v>
      </c>
      <c r="I271" s="16" t="s">
        <v>2562</v>
      </c>
      <c r="J271" s="16" t="s">
        <v>2063</v>
      </c>
      <c r="K271" s="16" t="s">
        <v>2060</v>
      </c>
      <c r="L271" s="16"/>
    </row>
    <row r="272" ht="15">
      <c r="A272" s="16" t="s">
        <v>2565</v>
      </c>
      <c r="B272" s="16" t="s">
        <v>2274</v>
      </c>
      <c r="C272" s="16"/>
      <c r="D272" s="20" t="s">
        <v>152</v>
      </c>
      <c r="E272" s="16" t="str">
        <f>VLOOKUP(D272,fonds!$A$1:$B$495,2,FALSE())</f>
        <v>AT-HHStA/SonnenburgOSB</v>
      </c>
      <c r="F272" s="18">
        <v>3085520</v>
      </c>
      <c r="G272" s="19">
        <v>5256345</v>
      </c>
      <c r="H272" s="19">
        <v>1480526</v>
      </c>
      <c r="I272" s="16" t="s">
        <v>2566</v>
      </c>
      <c r="J272" s="16" t="s">
        <v>2023</v>
      </c>
      <c r="K272" s="16" t="s">
        <v>2567</v>
      </c>
      <c r="L272" s="16"/>
    </row>
    <row r="273" ht="15">
      <c r="A273" s="16" t="s">
        <v>2568</v>
      </c>
      <c r="B273" s="16" t="s">
        <v>2353</v>
      </c>
      <c r="C273" s="16"/>
      <c r="D273" s="17" t="s">
        <v>236</v>
      </c>
      <c r="E273" s="16" t="str">
        <f>VLOOKUP(D273,fonds!$A$1:$B$495,2,FALSE())</f>
        <v>AT-HHStA/SpitalamPyhrnCan</v>
      </c>
      <c r="F273" s="18">
        <v>2764789</v>
      </c>
      <c r="G273" s="19">
        <v>4766487</v>
      </c>
      <c r="H273" s="19">
        <v>1434014</v>
      </c>
      <c r="I273" s="16" t="s">
        <v>2568</v>
      </c>
      <c r="J273" s="16" t="s">
        <v>2050</v>
      </c>
      <c r="K273" s="16" t="s">
        <v>2028</v>
      </c>
      <c r="L273" s="16"/>
    </row>
    <row r="274" ht="15">
      <c r="A274" s="16" t="s">
        <v>2568</v>
      </c>
      <c r="B274" s="16"/>
      <c r="C274" s="16" t="s">
        <v>2569</v>
      </c>
      <c r="D274" s="17" t="s">
        <v>412</v>
      </c>
      <c r="E274" s="16" t="str">
        <f>VLOOKUP(D274,fonds!$A$1:$B$495,2,FALSE())</f>
        <v>AT-OOeLA/SpitalamPyhrnCan</v>
      </c>
      <c r="F274" s="18">
        <v>2764789</v>
      </c>
      <c r="G274" s="19">
        <v>4766487</v>
      </c>
      <c r="H274" s="19">
        <v>1434014</v>
      </c>
      <c r="I274" s="16" t="s">
        <v>2568</v>
      </c>
      <c r="J274" s="16" t="s">
        <v>2050</v>
      </c>
      <c r="K274" s="16" t="s">
        <v>2028</v>
      </c>
      <c r="L274" s="16"/>
    </row>
    <row r="275" ht="15">
      <c r="A275" s="16" t="s">
        <v>2570</v>
      </c>
      <c r="B275" s="16" t="s">
        <v>2353</v>
      </c>
      <c r="C275" s="16"/>
      <c r="D275" s="17" t="s">
        <v>212</v>
      </c>
      <c r="E275" s="16" t="str">
        <f>VLOOKUP(D275,fonds!$A$1:$B$495,2,FALSE())</f>
        <v>AT-HHStA/SpitalamSemmeringCan</v>
      </c>
      <c r="F275" s="18">
        <v>2764788</v>
      </c>
      <c r="G275" s="19">
        <v>4761345</v>
      </c>
      <c r="H275" s="19">
        <v>1575096</v>
      </c>
      <c r="I275" s="16" t="s">
        <v>2570</v>
      </c>
      <c r="J275" s="16" t="s">
        <v>2023</v>
      </c>
      <c r="K275" s="16" t="s">
        <v>2024</v>
      </c>
      <c r="L275" s="16"/>
    </row>
    <row r="276" ht="15">
      <c r="A276" s="16" t="s">
        <v>2571</v>
      </c>
      <c r="B276" s="16"/>
      <c r="C276" s="16" t="s">
        <v>2572</v>
      </c>
      <c r="D276" s="17" t="s">
        <v>1042</v>
      </c>
      <c r="E276" s="16" t="str">
        <f>VLOOKUP(D276,fonds!$A$1:$B$495,2,FALSE())</f>
        <v>DE-BAH/UrkStMi</v>
      </c>
      <c r="F276" s="18">
        <v>2766496</v>
      </c>
      <c r="G276" s="16" t="s">
        <v>2573</v>
      </c>
      <c r="H276" s="19">
        <v>1363333</v>
      </c>
      <c r="I276" s="16" t="s">
        <v>2574</v>
      </c>
      <c r="J276" s="16" t="s">
        <v>2023</v>
      </c>
      <c r="K276" s="16" t="s">
        <v>2376</v>
      </c>
      <c r="L276" s="16"/>
    </row>
    <row r="277" ht="15">
      <c r="A277" s="16" t="s">
        <v>2100</v>
      </c>
      <c r="B277" s="16" t="s">
        <v>2575</v>
      </c>
      <c r="C277" s="16"/>
      <c r="D277" s="17" t="s">
        <v>555</v>
      </c>
      <c r="E277" s="16" t="str">
        <f>VLOOKUP(D277,fonds!$A$1:$B$495,2,FALSE())</f>
        <v>AT-StiASP/Urkunden</v>
      </c>
      <c r="F277" s="18">
        <v>3042287</v>
      </c>
      <c r="G277" s="19">
        <v>4945981</v>
      </c>
      <c r="H277" s="19">
        <v>-253527</v>
      </c>
      <c r="I277" s="16" t="s">
        <v>2576</v>
      </c>
      <c r="J277" s="16" t="s">
        <v>2479</v>
      </c>
      <c r="K277" s="16" t="s">
        <v>2576</v>
      </c>
      <c r="L277" s="16"/>
    </row>
    <row r="278" ht="15">
      <c r="A278" s="16" t="s">
        <v>2577</v>
      </c>
      <c r="B278" s="16" t="s">
        <v>2578</v>
      </c>
      <c r="C278" s="16"/>
      <c r="D278" s="20" t="s">
        <v>328</v>
      </c>
      <c r="E278" s="16" t="str">
        <f>VLOOKUP(D278,fonds!$A$1:$B$495,2,FALSE())</f>
        <v>AT-HHStA/StGeorgenLOSB</v>
      </c>
      <c r="F278" s="18">
        <v>7871646</v>
      </c>
      <c r="G278" s="19">
        <v>4677058</v>
      </c>
      <c r="H278" s="19">
        <v>1445005</v>
      </c>
      <c r="I278" s="16" t="s">
        <v>2577</v>
      </c>
      <c r="J278" s="16" t="s">
        <v>2579</v>
      </c>
      <c r="K278" s="16" t="s">
        <v>2181</v>
      </c>
      <c r="L278" s="16"/>
    </row>
    <row r="279" ht="15">
      <c r="A279" s="16" t="s">
        <v>2580</v>
      </c>
      <c r="B279" s="16" t="s">
        <v>2581</v>
      </c>
      <c r="C279" s="16"/>
      <c r="D279" s="17" t="s">
        <v>136</v>
      </c>
      <c r="E279" s="16" t="str">
        <f>VLOOKUP(D279,fonds!$A$1:$B$495,2,FALSE())</f>
        <v>AT-HHStA/StainachOP</v>
      </c>
      <c r="F279" s="18">
        <v>2764708</v>
      </c>
      <c r="G279" s="19">
        <v>4753343</v>
      </c>
      <c r="H279" s="19">
        <v>1410872</v>
      </c>
      <c r="I279" s="16" t="s">
        <v>2580</v>
      </c>
      <c r="J279" s="16" t="s">
        <v>2023</v>
      </c>
      <c r="K279" s="16" t="s">
        <v>2024</v>
      </c>
      <c r="L279" s="16"/>
    </row>
    <row r="280" ht="15">
      <c r="A280" s="16" t="s">
        <v>2582</v>
      </c>
      <c r="B280" s="16" t="s">
        <v>2274</v>
      </c>
      <c r="C280" s="16"/>
      <c r="D280" s="17" t="s">
        <v>312</v>
      </c>
      <c r="E280" s="16" t="str">
        <f>VLOOKUP(D280,fonds!$A$1:$B$495,2,FALSE())</f>
        <v>AT-HHStA/GoettweigOSB</v>
      </c>
      <c r="F280" s="18">
        <v>2778228</v>
      </c>
      <c r="G280" s="16" t="s">
        <v>2345</v>
      </c>
      <c r="H280" s="19">
        <v>1561667</v>
      </c>
      <c r="I280" s="16" t="s">
        <v>2583</v>
      </c>
      <c r="J280" s="16" t="s">
        <v>2087</v>
      </c>
      <c r="K280" s="16" t="s">
        <v>2037</v>
      </c>
      <c r="L280" s="16"/>
    </row>
    <row r="281" ht="15">
      <c r="A281" s="16" t="s">
        <v>2584</v>
      </c>
      <c r="B281" s="16" t="s">
        <v>2585</v>
      </c>
      <c r="C281" s="16"/>
      <c r="D281" s="17" t="s">
        <v>324</v>
      </c>
      <c r="E281" s="16" t="str">
        <f>VLOOKUP(D281,fonds!$A$1:$B$495,2,FALSE())</f>
        <v>AT-HHStA/ViktringOCist</v>
      </c>
      <c r="F281" s="18">
        <v>11748910</v>
      </c>
      <c r="G281" s="19">
        <v>4658945</v>
      </c>
      <c r="H281" s="19">
        <v>1426964</v>
      </c>
      <c r="I281" s="16" t="s">
        <v>2586</v>
      </c>
      <c r="J281" s="16" t="s">
        <v>2087</v>
      </c>
      <c r="K281" s="16" t="s">
        <v>2181</v>
      </c>
      <c r="L281" s="16"/>
    </row>
    <row r="282" ht="15">
      <c r="A282" s="16" t="s">
        <v>2587</v>
      </c>
      <c r="B282" s="16" t="s">
        <v>2588</v>
      </c>
      <c r="C282" s="16" t="s">
        <v>2589</v>
      </c>
      <c r="D282" s="20" t="s">
        <v>128</v>
      </c>
      <c r="E282" s="16" t="str">
        <f>VLOOKUP(D282,fonds!$A$1:$B$495,2,FALSE())</f>
        <v>AT-HHStA/StudeniceOP</v>
      </c>
      <c r="F282" s="18">
        <v>3189630</v>
      </c>
      <c r="G282" s="19">
        <v>4630278</v>
      </c>
      <c r="H282" s="19">
        <v>1561361</v>
      </c>
      <c r="I282" s="16" t="s">
        <v>2587</v>
      </c>
      <c r="J282" s="16" t="s">
        <v>2050</v>
      </c>
      <c r="K282" s="16" t="s">
        <v>2590</v>
      </c>
      <c r="L282" s="16"/>
    </row>
    <row r="283" ht="15">
      <c r="A283" s="16" t="s">
        <v>2591</v>
      </c>
      <c r="B283" s="16" t="s">
        <v>2592</v>
      </c>
      <c r="C283" s="16"/>
      <c r="D283" s="20" t="s">
        <v>982</v>
      </c>
      <c r="E283" s="16" t="str">
        <f>VLOOKUP(D283,fonds!$A$1:$B$495,2,FALSE())</f>
        <v>CZ-SOAP/TeplaOPraem</v>
      </c>
      <c r="F283" s="18">
        <v>3070820</v>
      </c>
      <c r="G283" s="19">
        <v>4997997</v>
      </c>
      <c r="H283" s="19">
        <v>1286432</v>
      </c>
      <c r="I283" s="16" t="s">
        <v>2591</v>
      </c>
      <c r="J283" s="16" t="s">
        <v>2023</v>
      </c>
      <c r="K283" s="16" t="s">
        <v>2149</v>
      </c>
      <c r="L283" s="16"/>
    </row>
    <row r="284" ht="15">
      <c r="A284" s="16" t="s">
        <v>2593</v>
      </c>
      <c r="B284" s="16" t="s">
        <v>2594</v>
      </c>
      <c r="C284" s="16"/>
      <c r="D284" s="17" t="s">
        <v>60</v>
      </c>
      <c r="E284" s="16" t="str">
        <f>VLOOKUP(D284,fonds!$A$1:$B$495,2,FALSE())</f>
        <v>AT-HHStA/ThalbachOFM</v>
      </c>
      <c r="F284" s="18">
        <v>2763757</v>
      </c>
      <c r="G284" s="19">
        <v>4728333</v>
      </c>
      <c r="H284" s="19">
        <v>1248333</v>
      </c>
      <c r="I284" s="16" t="s">
        <v>2593</v>
      </c>
      <c r="J284" s="16" t="s">
        <v>2050</v>
      </c>
      <c r="K284" s="16" t="s">
        <v>2376</v>
      </c>
      <c r="L284" s="16"/>
    </row>
    <row r="285" ht="15">
      <c r="A285" s="16" t="s">
        <v>2593</v>
      </c>
      <c r="B285" s="16" t="s">
        <v>2030</v>
      </c>
      <c r="C285" s="16"/>
      <c r="D285" s="17" t="s">
        <v>630</v>
      </c>
      <c r="E285" s="16" t="str">
        <f>VLOOKUP(D285,fonds!$A$1:$B$495,2,FALSE())</f>
        <v>AT-VLA/ThalbachKl</v>
      </c>
      <c r="F285" s="18">
        <v>2763757</v>
      </c>
      <c r="G285" s="19">
        <v>4728333</v>
      </c>
      <c r="H285" s="19">
        <v>1248333</v>
      </c>
      <c r="I285" s="16" t="s">
        <v>2593</v>
      </c>
      <c r="J285" s="16" t="s">
        <v>2050</v>
      </c>
      <c r="K285" s="16" t="s">
        <v>2376</v>
      </c>
      <c r="L285" s="16"/>
    </row>
    <row r="286" ht="15">
      <c r="A286" s="16" t="s">
        <v>2593</v>
      </c>
      <c r="B286" s="16" t="s">
        <v>2030</v>
      </c>
      <c r="C286" s="16" t="s">
        <v>2595</v>
      </c>
      <c r="D286" s="17" t="s">
        <v>634</v>
      </c>
      <c r="E286" s="16" t="str">
        <f>VLOOKUP(D286,fonds!$A$1:$B$495,2,FALSE())</f>
        <v>AT-VLA/ThalbachHirschtalKl</v>
      </c>
      <c r="F286" s="18">
        <v>2763757</v>
      </c>
      <c r="G286" s="19">
        <v>4728333</v>
      </c>
      <c r="H286" s="19">
        <v>1248333</v>
      </c>
      <c r="I286" s="16" t="s">
        <v>2593</v>
      </c>
      <c r="J286" s="16" t="s">
        <v>2050</v>
      </c>
      <c r="K286" s="16" t="s">
        <v>2376</v>
      </c>
      <c r="L286" s="16"/>
    </row>
    <row r="287" ht="15">
      <c r="A287" s="16" t="s">
        <v>2596</v>
      </c>
      <c r="B287" s="16" t="s">
        <v>2597</v>
      </c>
      <c r="C287" s="16"/>
      <c r="D287" s="20" t="s">
        <v>1402</v>
      </c>
      <c r="E287" s="16" t="str">
        <f>VLOOKUP(D287,fonds!$A$1:$B$495,2,FALSE())</f>
        <v>HU-PBFL/TihanyOSB</v>
      </c>
      <c r="F287" s="18">
        <v>3043927</v>
      </c>
      <c r="G287" s="19">
        <v>4691369</v>
      </c>
      <c r="H287" s="19">
        <v>1788918</v>
      </c>
      <c r="I287" s="16" t="s">
        <v>2596</v>
      </c>
      <c r="J287" s="16" t="s">
        <v>2050</v>
      </c>
      <c r="K287" s="16" t="s">
        <v>2083</v>
      </c>
      <c r="L287" s="16"/>
    </row>
    <row r="288" ht="15">
      <c r="A288" s="16" t="s">
        <v>2598</v>
      </c>
      <c r="B288" s="16"/>
      <c r="C288" s="16" t="s">
        <v>2599</v>
      </c>
      <c r="D288" s="20" t="s">
        <v>416</v>
      </c>
      <c r="E288" s="16" t="str">
        <f>VLOOKUP(D288,fonds!$A$1:$B$495,2,FALSE())</f>
        <v>AT-OOeLA/TraunkirchenOSB</v>
      </c>
      <c r="F288" s="18">
        <v>2763414</v>
      </c>
      <c r="G288" s="19">
        <v>4784462</v>
      </c>
      <c r="H288" s="19">
        <v>1378939</v>
      </c>
      <c r="I288" s="16" t="s">
        <v>2598</v>
      </c>
      <c r="J288" s="16" t="s">
        <v>2050</v>
      </c>
      <c r="K288" s="16" t="s">
        <v>2028</v>
      </c>
      <c r="L288" s="16"/>
    </row>
    <row r="289" ht="15">
      <c r="A289" s="16" t="s">
        <v>2600</v>
      </c>
      <c r="B289" s="16" t="s">
        <v>2601</v>
      </c>
      <c r="C289" s="16"/>
      <c r="D289" s="17" t="s">
        <v>252</v>
      </c>
      <c r="E289" s="16" t="str">
        <f>VLOOKUP(D289,fonds!$A$1:$B$495,2,FALSE())</f>
        <v>AT-HHStA/TraunseeOSB</v>
      </c>
      <c r="F289" s="18">
        <v>2763413</v>
      </c>
      <c r="G289" s="16" t="s">
        <v>2602</v>
      </c>
      <c r="H289" s="22">
        <v>46247</v>
      </c>
      <c r="I289" s="16" t="s">
        <v>2600</v>
      </c>
      <c r="J289" s="16" t="s">
        <v>2603</v>
      </c>
      <c r="K289" s="16" t="s">
        <v>2028</v>
      </c>
      <c r="L289" s="16"/>
    </row>
    <row r="290" ht="15">
      <c r="A290" s="16" t="s">
        <v>2604</v>
      </c>
      <c r="B290" s="16" t="s">
        <v>2605</v>
      </c>
      <c r="D290" s="20" t="s">
        <v>1174</v>
      </c>
      <c r="E290" s="16" t="str">
        <f>VLOOKUP(D290,fonds!$A$1:$B$495,2,FALSE())</f>
        <v>DE-LHAKO/210</v>
      </c>
      <c r="F290" s="18">
        <v>2821164</v>
      </c>
      <c r="G290" s="19">
        <v>4975565</v>
      </c>
      <c r="H290" s="19">
        <v>663935</v>
      </c>
      <c r="I290" s="16" t="s">
        <v>2604</v>
      </c>
      <c r="J290" s="16" t="s">
        <v>2032</v>
      </c>
      <c r="K290" s="16" t="s">
        <v>2053</v>
      </c>
      <c r="L290" s="16"/>
    </row>
    <row r="291" ht="15">
      <c r="A291" s="16" t="s">
        <v>2606</v>
      </c>
      <c r="B291" s="16" t="s">
        <v>2103</v>
      </c>
      <c r="C291" s="16" t="s">
        <v>2607</v>
      </c>
      <c r="D291" s="17" t="s">
        <v>766</v>
      </c>
      <c r="E291" s="16" t="str">
        <f>VLOOKUP(D291,fonds!$A$1:$B$495,2,FALSE())</f>
        <v>CZ-MZA/E16</v>
      </c>
      <c r="F291" s="18">
        <v>3063736</v>
      </c>
      <c r="G291" s="19">
        <v>4902513</v>
      </c>
      <c r="H291" s="19">
        <v>1764715</v>
      </c>
      <c r="I291" s="16" t="s">
        <v>2606</v>
      </c>
      <c r="J291" s="16" t="s">
        <v>2050</v>
      </c>
      <c r="K291" s="16" t="s">
        <v>2608</v>
      </c>
      <c r="L291" s="16"/>
    </row>
    <row r="292" ht="15">
      <c r="A292" s="16" t="s">
        <v>2609</v>
      </c>
      <c r="B292" s="16" t="s">
        <v>2030</v>
      </c>
      <c r="C292" s="16"/>
      <c r="D292" s="20" t="s">
        <v>642</v>
      </c>
      <c r="E292" s="16" t="str">
        <f>VLOOKUP(D292,fonds!$A$1:$B$495,2,FALSE())</f>
        <v>AT-VLA/ValdunaKl</v>
      </c>
      <c r="F292" s="18">
        <v>2762484</v>
      </c>
      <c r="G292" s="19">
        <v>4726667</v>
      </c>
      <c r="H292" s="16" t="s">
        <v>2610</v>
      </c>
      <c r="I292" s="16" t="s">
        <v>2609</v>
      </c>
      <c r="J292" s="16" t="s">
        <v>2050</v>
      </c>
      <c r="K292" s="16" t="s">
        <v>2101</v>
      </c>
      <c r="L292" s="16"/>
    </row>
    <row r="293" ht="15">
      <c r="A293" s="16" t="s">
        <v>2611</v>
      </c>
      <c r="B293" s="16" t="s">
        <v>2612</v>
      </c>
      <c r="C293" s="16"/>
      <c r="D293" s="20" t="s">
        <v>1510</v>
      </c>
      <c r="E293" s="16" t="str">
        <f>VLOOKUP(D293,fonds!$A$1:$B$495,2,FALSE())</f>
        <v>IT-ASFi/DNVallombrosaSMariaDAcquabella</v>
      </c>
      <c r="F293" s="18">
        <v>3164792</v>
      </c>
      <c r="G293" s="19">
        <v>4373294</v>
      </c>
      <c r="H293" s="19">
        <v>1155645</v>
      </c>
      <c r="I293" s="16" t="s">
        <v>2611</v>
      </c>
      <c r="J293" s="16" t="s">
        <v>2050</v>
      </c>
      <c r="K293" s="16" t="s">
        <v>2060</v>
      </c>
      <c r="L293" s="16"/>
    </row>
    <row r="294" ht="15">
      <c r="A294" s="16" t="s">
        <v>2613</v>
      </c>
      <c r="B294" s="16" t="s">
        <v>2614</v>
      </c>
      <c r="C294" s="16" t="s">
        <v>2615</v>
      </c>
      <c r="D294" s="20" t="s">
        <v>722</v>
      </c>
      <c r="E294" s="16" t="str">
        <f>VLOOKUP(D294,fonds!$A$1:$B$495,2,FALSE())</f>
        <v>CZ-MZA/E07</v>
      </c>
      <c r="F294" s="18">
        <v>3063321</v>
      </c>
      <c r="G294" s="19">
        <v>4910543</v>
      </c>
      <c r="H294" s="19">
        <v>1739426</v>
      </c>
      <c r="I294" s="16" t="s">
        <v>2613</v>
      </c>
      <c r="J294" s="16" t="s">
        <v>2050</v>
      </c>
      <c r="K294" s="16" t="s">
        <v>2608</v>
      </c>
      <c r="L294" s="16"/>
    </row>
    <row r="295" ht="15">
      <c r="A295" s="16" t="s">
        <v>2616</v>
      </c>
      <c r="B295" s="16" t="s">
        <v>2617</v>
      </c>
      <c r="C295" s="16" t="s">
        <v>2618</v>
      </c>
      <c r="D295" s="17" t="s">
        <v>396</v>
      </c>
      <c r="E295" s="16" t="str">
        <f>VLOOKUP(D295,fonds!$A$1:$B$495,2,FALSE())</f>
        <v>AT-HHStA/VelesovoOP</v>
      </c>
      <c r="F295" s="18">
        <v>3188303</v>
      </c>
      <c r="G295" s="19">
        <v>4626891</v>
      </c>
      <c r="H295" s="19">
        <v>1445122</v>
      </c>
      <c r="I295" s="16" t="s">
        <v>2616</v>
      </c>
      <c r="J295" s="16" t="s">
        <v>2050</v>
      </c>
      <c r="K295" s="16" t="s">
        <v>2619</v>
      </c>
      <c r="L295" s="16"/>
    </row>
    <row r="296" ht="15">
      <c r="A296" s="16" t="s">
        <v>2620</v>
      </c>
      <c r="B296" s="16"/>
      <c r="C296" s="16" t="s">
        <v>2621</v>
      </c>
      <c r="D296" s="17" t="s">
        <v>12</v>
      </c>
      <c r="E296" s="16" t="str">
        <f>VLOOKUP(D296,fonds!$A$1:$B$495,2,FALSE())</f>
        <v>AT-AWMK/WienOFMConv</v>
      </c>
      <c r="F296" s="18">
        <v>2761369</v>
      </c>
      <c r="G296" s="19">
        <v>4820849</v>
      </c>
      <c r="H296" s="19">
        <v>1637208</v>
      </c>
      <c r="I296" s="16" t="s">
        <v>2168</v>
      </c>
      <c r="J296" s="16" t="s">
        <v>2479</v>
      </c>
      <c r="K296" s="16" t="s">
        <v>2168</v>
      </c>
      <c r="L296" s="16"/>
    </row>
    <row r="297" ht="15">
      <c r="A297" s="16" t="s">
        <v>2620</v>
      </c>
      <c r="B297" s="16" t="s">
        <v>2622</v>
      </c>
      <c r="C297" s="16"/>
      <c r="D297" s="20" t="s">
        <v>24</v>
      </c>
      <c r="E297" s="16" t="str">
        <f>VLOOKUP(D297,fonds!$A$1:$B$495,2,FALSE())</f>
        <v>AT-HHStA/WienStLaurCanReg</v>
      </c>
      <c r="F297" s="18">
        <v>2761369</v>
      </c>
      <c r="G297" s="19">
        <v>4820849</v>
      </c>
      <c r="H297" s="19">
        <v>1637208</v>
      </c>
      <c r="I297" s="16" t="s">
        <v>2168</v>
      </c>
      <c r="J297" s="16" t="s">
        <v>2479</v>
      </c>
      <c r="K297" s="16" t="s">
        <v>2168</v>
      </c>
      <c r="L297" s="16"/>
    </row>
    <row r="298" ht="15">
      <c r="A298" s="16" t="s">
        <v>2620</v>
      </c>
      <c r="B298" s="16" t="s">
        <v>2623</v>
      </c>
      <c r="C298" s="16"/>
      <c r="D298" s="17" t="s">
        <v>68</v>
      </c>
      <c r="E298" s="16" t="str">
        <f>VLOOKUP(D298,fonds!$A$1:$B$495,2,FALSE())</f>
        <v>AT-HHStA/WienStNiklaskloster</v>
      </c>
      <c r="F298" s="18">
        <v>2761369</v>
      </c>
      <c r="G298" s="19">
        <v>4820849</v>
      </c>
      <c r="H298" s="19">
        <v>1637208</v>
      </c>
      <c r="I298" s="16" t="s">
        <v>2168</v>
      </c>
      <c r="J298" s="16" t="s">
        <v>2479</v>
      </c>
      <c r="K298" s="16" t="s">
        <v>2168</v>
      </c>
      <c r="L298" s="16"/>
    </row>
    <row r="299" ht="15">
      <c r="A299" s="16" t="s">
        <v>2620</v>
      </c>
      <c r="B299" s="16" t="s">
        <v>2624</v>
      </c>
      <c r="C299" s="16"/>
      <c r="D299" s="17" t="s">
        <v>156</v>
      </c>
      <c r="E299" s="16" t="str">
        <f>VLOOKUP(D299,fonds!$A$1:$B$495,2,FALSE())</f>
        <v>AT-HHStA/WienStClaraOSCI</v>
      </c>
      <c r="F299" s="18">
        <v>2761369</v>
      </c>
      <c r="G299" s="19">
        <v>4820849</v>
      </c>
      <c r="H299" s="19">
        <v>1637208</v>
      </c>
      <c r="I299" s="16" t="s">
        <v>2168</v>
      </c>
      <c r="J299" s="16" t="s">
        <v>2479</v>
      </c>
      <c r="K299" s="16" t="s">
        <v>2168</v>
      </c>
      <c r="L299" s="16"/>
    </row>
    <row r="300" ht="15">
      <c r="A300" s="16" t="s">
        <v>2620</v>
      </c>
      <c r="B300" s="16" t="s">
        <v>2625</v>
      </c>
      <c r="C300" s="16"/>
      <c r="D300" s="17" t="s">
        <v>180</v>
      </c>
      <c r="E300" s="16" t="str">
        <f>VLOOKUP(D300,fonds!$A$1:$B$495,2,FALSE())</f>
        <v>AT-HHStA/WienMaMagdCanReg</v>
      </c>
      <c r="F300" s="18">
        <v>2761369</v>
      </c>
      <c r="G300" s="19">
        <v>4820849</v>
      </c>
      <c r="H300" s="19">
        <v>1637208</v>
      </c>
      <c r="I300" s="16" t="s">
        <v>2168</v>
      </c>
      <c r="J300" s="16" t="s">
        <v>2479</v>
      </c>
      <c r="K300" s="16" t="s">
        <v>2168</v>
      </c>
      <c r="L300" s="16"/>
    </row>
    <row r="301" ht="15">
      <c r="A301" s="16" t="s">
        <v>2620</v>
      </c>
      <c r="B301" s="16" t="s">
        <v>2626</v>
      </c>
      <c r="C301" s="16"/>
      <c r="D301" s="20" t="s">
        <v>216</v>
      </c>
      <c r="E301" s="16" t="str">
        <f>VLOOKUP(D301,fonds!$A$1:$B$495,2,FALSE())</f>
        <v>AT-HHStA/WienKoeklOSCI</v>
      </c>
      <c r="F301" s="18">
        <v>2761369</v>
      </c>
      <c r="G301" s="19">
        <v>4820849</v>
      </c>
      <c r="H301" s="19">
        <v>1637208</v>
      </c>
      <c r="I301" s="16" t="s">
        <v>2168</v>
      </c>
      <c r="J301" s="16" t="s">
        <v>2479</v>
      </c>
      <c r="K301" s="16" t="s">
        <v>2168</v>
      </c>
      <c r="L301" s="16"/>
    </row>
    <row r="302" ht="15">
      <c r="A302" s="16" t="s">
        <v>2620</v>
      </c>
      <c r="B302" s="16" t="s">
        <v>2627</v>
      </c>
      <c r="C302" s="16"/>
      <c r="D302" s="17" t="s">
        <v>220</v>
      </c>
      <c r="E302" s="16" t="str">
        <f>VLOOKUP(D302,fonds!$A$1:$B$495,2,FALSE())</f>
        <v>AT-HHStA/WienStJakobCanReg</v>
      </c>
      <c r="F302" s="18">
        <v>2761369</v>
      </c>
      <c r="G302" s="19">
        <v>4820849</v>
      </c>
      <c r="H302" s="19">
        <v>1637208</v>
      </c>
      <c r="I302" s="16" t="s">
        <v>2168</v>
      </c>
      <c r="J302" s="16" t="s">
        <v>2479</v>
      </c>
      <c r="K302" s="16" t="s">
        <v>2168</v>
      </c>
      <c r="L302" s="16"/>
    </row>
    <row r="303" ht="15">
      <c r="A303" s="16" t="s">
        <v>2620</v>
      </c>
      <c r="B303" s="16" t="s">
        <v>2628</v>
      </c>
      <c r="C303" s="16"/>
      <c r="D303" s="17" t="s">
        <v>232</v>
      </c>
      <c r="E303" s="16" t="str">
        <f>VLOOKUP(D303,fonds!$A$1:$B$495,2,FALSE())</f>
        <v>AT-HHStA/WienOCarm</v>
      </c>
      <c r="F303" s="18">
        <v>2761369</v>
      </c>
      <c r="G303" s="19">
        <v>4820849</v>
      </c>
      <c r="H303" s="19">
        <v>1637208</v>
      </c>
      <c r="I303" s="16" t="s">
        <v>2168</v>
      </c>
      <c r="J303" s="16" t="s">
        <v>2479</v>
      </c>
      <c r="K303" s="16" t="s">
        <v>2168</v>
      </c>
      <c r="L303" s="16"/>
    </row>
    <row r="304" ht="15">
      <c r="A304" s="16" t="s">
        <v>2620</v>
      </c>
      <c r="B304" s="16" t="s">
        <v>2629</v>
      </c>
      <c r="C304" s="16"/>
      <c r="D304" s="20" t="s">
        <v>292</v>
      </c>
      <c r="E304" s="16" t="str">
        <f>VLOOKUP(D304,fonds!$A$1:$B$495,2,FALSE())</f>
        <v>AT-HHStA/WienOSA</v>
      </c>
      <c r="F304" s="18">
        <v>2761369</v>
      </c>
      <c r="G304" s="19">
        <v>4820849</v>
      </c>
      <c r="H304" s="19">
        <v>1637208</v>
      </c>
      <c r="I304" s="16" t="s">
        <v>2168</v>
      </c>
      <c r="J304" s="16" t="s">
        <v>2479</v>
      </c>
      <c r="K304" s="16" t="s">
        <v>2168</v>
      </c>
      <c r="L304" s="16"/>
    </row>
    <row r="305" ht="15">
      <c r="A305" s="16" t="s">
        <v>2620</v>
      </c>
      <c r="B305" s="16" t="s">
        <v>2630</v>
      </c>
      <c r="C305" s="16"/>
      <c r="D305" s="17" t="s">
        <v>296</v>
      </c>
      <c r="E305" s="16" t="str">
        <f>VLOOKUP(D305,fonds!$A$1:$B$495,2,FALSE())</f>
        <v>AT-HHStA/WienOFM</v>
      </c>
      <c r="F305" s="18">
        <v>2761369</v>
      </c>
      <c r="G305" s="19">
        <v>4820849</v>
      </c>
      <c r="H305" s="19">
        <v>1637208</v>
      </c>
      <c r="I305" s="16" t="s">
        <v>2168</v>
      </c>
      <c r="J305" s="16" t="s">
        <v>2479</v>
      </c>
      <c r="K305" s="16" t="s">
        <v>2168</v>
      </c>
      <c r="L305" s="16"/>
    </row>
    <row r="306" ht="15">
      <c r="A306" s="16" t="s">
        <v>2620</v>
      </c>
      <c r="B306" s="16" t="s">
        <v>2631</v>
      </c>
      <c r="C306" s="16"/>
      <c r="D306" s="20" t="s">
        <v>308</v>
      </c>
      <c r="E306" s="16" t="str">
        <f>VLOOKUP(D306,fonds!$A$1:$B$495,2,FALSE())</f>
        <v>AT-HHStA/WienOSBCam</v>
      </c>
      <c r="F306" s="18">
        <v>2761369</v>
      </c>
      <c r="G306" s="19">
        <v>4820849</v>
      </c>
      <c r="H306" s="19">
        <v>1637208</v>
      </c>
      <c r="I306" s="16" t="s">
        <v>2168</v>
      </c>
      <c r="J306" s="16" t="s">
        <v>2479</v>
      </c>
      <c r="K306" s="16" t="s">
        <v>2168</v>
      </c>
      <c r="L306" s="16"/>
    </row>
    <row r="307" ht="15">
      <c r="A307" s="16" t="s">
        <v>2620</v>
      </c>
      <c r="B307" s="16" t="s">
        <v>2632</v>
      </c>
      <c r="C307" s="16"/>
      <c r="D307" s="20" t="s">
        <v>340</v>
      </c>
      <c r="E307" s="16" t="str">
        <f>VLOOKUP(D307,fonds!$A$1:$B$495,2,FALSE())</f>
        <v>AT-HHStA/WienStNikolaOSCI</v>
      </c>
      <c r="F307" s="18">
        <v>2761369</v>
      </c>
      <c r="G307" s="19">
        <v>4820849</v>
      </c>
      <c r="H307" s="19">
        <v>1637208</v>
      </c>
      <c r="I307" s="16" t="s">
        <v>2168</v>
      </c>
      <c r="J307" s="16" t="s">
        <v>2479</v>
      </c>
      <c r="K307" s="16" t="s">
        <v>2168</v>
      </c>
      <c r="L307" s="16"/>
    </row>
    <row r="308" ht="15">
      <c r="A308" s="16" t="s">
        <v>2620</v>
      </c>
      <c r="B308" s="16" t="s">
        <v>2633</v>
      </c>
      <c r="C308" s="16"/>
      <c r="D308" s="17" t="s">
        <v>352</v>
      </c>
      <c r="E308" s="16" t="str">
        <f>VLOOKUP(D308,fonds!$A$1:$B$495,2,FALSE())</f>
        <v>AT-HHStA/WienOP</v>
      </c>
      <c r="F308" s="18">
        <v>2761369</v>
      </c>
      <c r="G308" s="19">
        <v>4820849</v>
      </c>
      <c r="H308" s="19">
        <v>1637208</v>
      </c>
      <c r="I308" s="16" t="s">
        <v>2168</v>
      </c>
      <c r="J308" s="16" t="s">
        <v>2479</v>
      </c>
      <c r="K308" s="16" t="s">
        <v>2168</v>
      </c>
      <c r="L308" s="16"/>
    </row>
    <row r="309" ht="15">
      <c r="A309" s="16" t="s">
        <v>2620</v>
      </c>
      <c r="B309" s="16" t="s">
        <v>2634</v>
      </c>
      <c r="C309" s="16"/>
      <c r="D309" s="20" t="s">
        <v>372</v>
      </c>
      <c r="E309" s="16" t="str">
        <f>VLOOKUP(D309,fonds!$A$1:$B$495,2,FALSE())</f>
        <v>AT-HHStA/WienOFMConv</v>
      </c>
      <c r="F309" s="18">
        <v>2761369</v>
      </c>
      <c r="G309" s="19">
        <v>4820849</v>
      </c>
      <c r="H309" s="19">
        <v>1637208</v>
      </c>
      <c r="I309" s="16" t="s">
        <v>2168</v>
      </c>
      <c r="J309" s="16" t="s">
        <v>2479</v>
      </c>
      <c r="K309" s="16" t="s">
        <v>2168</v>
      </c>
      <c r="L309" s="16"/>
    </row>
    <row r="310" ht="15">
      <c r="A310" s="16" t="s">
        <v>2620</v>
      </c>
      <c r="B310" s="16" t="s">
        <v>2635</v>
      </c>
      <c r="C310" s="16"/>
      <c r="D310" s="20" t="s">
        <v>2636</v>
      </c>
      <c r="E310" s="16" t="e">
        <f>VLOOKUP(D310,fonds!$A$1:$B$495,2,FALSE())</f>
        <v>#N/A</v>
      </c>
      <c r="F310" s="18">
        <v>2761369</v>
      </c>
      <c r="G310" s="19">
        <v>4820849</v>
      </c>
      <c r="H310" s="19">
        <v>1637208</v>
      </c>
      <c r="I310" s="16" t="s">
        <v>2168</v>
      </c>
      <c r="J310" s="16" t="s">
        <v>2479</v>
      </c>
      <c r="K310" s="16" t="s">
        <v>2168</v>
      </c>
      <c r="L310" s="16"/>
    </row>
    <row r="311" ht="15">
      <c r="A311" s="16" t="s">
        <v>2637</v>
      </c>
      <c r="B311" s="16" t="s">
        <v>2030</v>
      </c>
      <c r="C311" s="16"/>
      <c r="D311" s="17" t="s">
        <v>646</v>
      </c>
      <c r="E311" s="16" t="str">
        <f>VLOOKUP(D311,fonds!$A$1:$B$495,2,FALSE())</f>
        <v>AT-VLA/ViktorsbergKl</v>
      </c>
      <c r="F311" s="18">
        <v>2762376</v>
      </c>
      <c r="G311" s="19">
        <v>4730092</v>
      </c>
      <c r="H311" s="19">
        <v>967484</v>
      </c>
      <c r="I311" s="16" t="s">
        <v>2637</v>
      </c>
      <c r="J311" s="16" t="s">
        <v>2023</v>
      </c>
      <c r="K311" s="16" t="s">
        <v>2101</v>
      </c>
      <c r="L311" s="16"/>
    </row>
    <row r="312" ht="15">
      <c r="A312" s="16" t="s">
        <v>2638</v>
      </c>
      <c r="B312" s="16" t="s">
        <v>2639</v>
      </c>
      <c r="C312" s="16"/>
      <c r="D312" s="17" t="s">
        <v>1878</v>
      </c>
      <c r="E312" s="16" t="str">
        <f>VLOOKUP(D312,fonds!$A$1:$B$495,2,FALSE())</f>
        <v>IT-ASFi/DNVolterraSAndrea</v>
      </c>
      <c r="F312" s="18">
        <v>3163962</v>
      </c>
      <c r="G312" s="19">
        <v>4340251</v>
      </c>
      <c r="H312" s="19">
        <v>1086152</v>
      </c>
      <c r="I312" s="16" t="s">
        <v>2638</v>
      </c>
      <c r="J312" s="16" t="s">
        <v>2023</v>
      </c>
      <c r="K312" s="16" t="s">
        <v>2060</v>
      </c>
      <c r="L312" s="16"/>
    </row>
    <row r="313" ht="15">
      <c r="A313" s="16" t="s">
        <v>2640</v>
      </c>
      <c r="B313" s="16" t="s">
        <v>2030</v>
      </c>
      <c r="C313" s="16"/>
      <c r="D313" s="20" t="s">
        <v>1182</v>
      </c>
      <c r="E313" s="16" t="str">
        <f>VLOOKUP(D313,fonds!$A$1:$B$495,2,FALSE())</f>
        <v>DE-StAAm/Weissenohe</v>
      </c>
      <c r="F313" s="18">
        <v>2811870</v>
      </c>
      <c r="G313" s="19">
        <v>4963089</v>
      </c>
      <c r="H313" s="19">
        <v>1125369</v>
      </c>
      <c r="I313" s="16" t="s">
        <v>2640</v>
      </c>
      <c r="J313" s="16" t="s">
        <v>2032</v>
      </c>
      <c r="K313" s="16" t="s">
        <v>2033</v>
      </c>
      <c r="L313" s="16"/>
    </row>
    <row r="314" ht="15">
      <c r="A314" s="16" t="s">
        <v>2641</v>
      </c>
      <c r="B314" s="16" t="s">
        <v>2642</v>
      </c>
      <c r="C314" s="16"/>
      <c r="D314" s="17" t="s">
        <v>92</v>
      </c>
      <c r="E314" s="16" t="str">
        <f>VLOOKUP(D314,fonds!$A$1:$B$495,2,FALSE())</f>
        <v>AT-HHStA/WNStPeterSpOP</v>
      </c>
      <c r="F314" s="18">
        <v>2761353</v>
      </c>
      <c r="G314" s="19">
        <v>4780485</v>
      </c>
      <c r="H314" s="19">
        <v>1623196</v>
      </c>
      <c r="I314" s="16" t="s">
        <v>2643</v>
      </c>
      <c r="J314" s="16" t="s">
        <v>2023</v>
      </c>
      <c r="K314" s="16" t="s">
        <v>2037</v>
      </c>
      <c r="L314" s="16"/>
    </row>
    <row r="315" ht="15">
      <c r="A315" s="16" t="s">
        <v>2641</v>
      </c>
      <c r="B315" s="16" t="s">
        <v>2644</v>
      </c>
      <c r="C315" s="16"/>
      <c r="D315" s="17" t="s">
        <v>204</v>
      </c>
      <c r="E315" s="16" t="str">
        <f>VLOOKUP(D315,fonds!$A$1:$B$495,2,FALSE())</f>
        <v>AT-HHStA/WNOSPPE</v>
      </c>
      <c r="F315" s="18">
        <v>2761353</v>
      </c>
      <c r="G315" s="19">
        <v>4780485</v>
      </c>
      <c r="H315" s="19">
        <v>1623196</v>
      </c>
      <c r="I315" s="16" t="s">
        <v>2643</v>
      </c>
      <c r="J315" s="16" t="s">
        <v>2023</v>
      </c>
      <c r="K315" s="16" t="s">
        <v>2037</v>
      </c>
      <c r="L315" s="16"/>
    </row>
    <row r="316" ht="15">
      <c r="A316" s="16" t="s">
        <v>2641</v>
      </c>
      <c r="B316" s="16" t="s">
        <v>2645</v>
      </c>
      <c r="C316" s="16"/>
      <c r="D316" s="20" t="s">
        <v>264</v>
      </c>
      <c r="E316" s="16" t="str">
        <f>VLOOKUP(D316,fonds!$A$1:$B$495,2,FALSE())</f>
        <v>AT-HHStA/WNOFMConv</v>
      </c>
      <c r="F316" s="18">
        <v>2761353</v>
      </c>
      <c r="G316" s="19">
        <v>4780485</v>
      </c>
      <c r="H316" s="19">
        <v>1623196</v>
      </c>
      <c r="I316" s="16" t="s">
        <v>2643</v>
      </c>
      <c r="J316" s="16" t="s">
        <v>2023</v>
      </c>
      <c r="K316" s="16" t="s">
        <v>2037</v>
      </c>
      <c r="L316" s="16"/>
    </row>
    <row r="317" ht="15">
      <c r="A317" s="16" t="s">
        <v>2641</v>
      </c>
      <c r="B317" s="16" t="s">
        <v>2646</v>
      </c>
      <c r="C317" s="16"/>
      <c r="D317" s="20" t="s">
        <v>272</v>
      </c>
      <c r="E317" s="16" t="str">
        <f>VLOOKUP(D317,fonds!$A$1:$B$495,2,FALSE())</f>
        <v>AT-HHStA/WNOCarm</v>
      </c>
      <c r="F317" s="18">
        <v>2761353</v>
      </c>
      <c r="G317" s="19">
        <v>4780485</v>
      </c>
      <c r="H317" s="19">
        <v>1623196</v>
      </c>
      <c r="I317" s="16" t="s">
        <v>2643</v>
      </c>
      <c r="J317" s="16" t="s">
        <v>2023</v>
      </c>
      <c r="K317" s="16" t="s">
        <v>2037</v>
      </c>
      <c r="L317" s="16"/>
    </row>
    <row r="318" ht="15">
      <c r="A318" s="16" t="s">
        <v>2641</v>
      </c>
      <c r="B318" s="16" t="s">
        <v>2647</v>
      </c>
      <c r="C318" s="16"/>
      <c r="D318" s="20" t="s">
        <v>388</v>
      </c>
      <c r="E318" s="16" t="str">
        <f>VLOOKUP(D318,fonds!$A$1:$B$495,2,FALSE())</f>
        <v>AT-HHStA/WNOP</v>
      </c>
      <c r="F318" s="18">
        <v>2761353</v>
      </c>
      <c r="G318" s="19">
        <v>4780485</v>
      </c>
      <c r="H318" s="19">
        <v>1623196</v>
      </c>
      <c r="I318" s="16" t="s">
        <v>2643</v>
      </c>
      <c r="J318" s="16" t="s">
        <v>2023</v>
      </c>
      <c r="K318" s="16" t="s">
        <v>2037</v>
      </c>
      <c r="L318" s="16"/>
    </row>
    <row r="319" ht="15">
      <c r="A319" s="16" t="s">
        <v>2648</v>
      </c>
      <c r="B319" s="16" t="s">
        <v>2649</v>
      </c>
      <c r="C319" s="16"/>
      <c r="D319" s="20" t="s">
        <v>28</v>
      </c>
      <c r="E319" s="16" t="str">
        <f>VLOOKUP(D319,fonds!$A$1:$B$495,2,FALSE())</f>
        <v>AT-HHStA/WiltenOPraem</v>
      </c>
      <c r="F319" s="18">
        <v>11427945</v>
      </c>
      <c r="G319" s="19">
        <v>4725347</v>
      </c>
      <c r="H319" s="19">
        <v>1140072</v>
      </c>
      <c r="I319" s="16" t="s">
        <v>2650</v>
      </c>
      <c r="J319" s="16" t="s">
        <v>2087</v>
      </c>
      <c r="K319" s="16" t="s">
        <v>2651</v>
      </c>
      <c r="L319" s="16"/>
    </row>
    <row r="320" ht="15">
      <c r="A320" s="16" t="s">
        <v>2648</v>
      </c>
      <c r="B320" s="16" t="s">
        <v>2652</v>
      </c>
      <c r="C320" s="16"/>
      <c r="D320" s="17" t="s">
        <v>614</v>
      </c>
      <c r="E320" s="16" t="str">
        <f>VLOOKUP(D320,fonds!$A$1:$B$495,2,FALSE())</f>
        <v>AT-StiAWilten/Urkunden</v>
      </c>
      <c r="F320" s="18">
        <v>11427945</v>
      </c>
      <c r="G320" s="19">
        <v>4725347</v>
      </c>
      <c r="H320" s="19">
        <v>1140072</v>
      </c>
      <c r="I320" s="16" t="s">
        <v>2650</v>
      </c>
      <c r="J320" s="16" t="s">
        <v>2087</v>
      </c>
      <c r="K320" s="16" t="s">
        <v>2651</v>
      </c>
      <c r="L320" s="16"/>
    </row>
    <row r="321" ht="15">
      <c r="A321" s="16" t="s">
        <v>2653</v>
      </c>
      <c r="B321" s="16" t="s">
        <v>2030</v>
      </c>
      <c r="C321" s="16" t="s">
        <v>2654</v>
      </c>
      <c r="D321" s="17" t="s">
        <v>1046</v>
      </c>
      <c r="E321" s="16" t="str">
        <f>VLOOKUP(D321,fonds!$A$1:$B$495,2,FALSE())</f>
        <v>DE-BayHStA/KUWindberg</v>
      </c>
      <c r="F321" s="18">
        <v>2808284</v>
      </c>
      <c r="G321" s="19">
        <v>5117508</v>
      </c>
      <c r="H321" s="19">
        <v>1047614</v>
      </c>
      <c r="I321" s="16" t="s">
        <v>2653</v>
      </c>
      <c r="J321" s="16" t="s">
        <v>2655</v>
      </c>
      <c r="K321" s="16" t="s">
        <v>2656</v>
      </c>
      <c r="L321" s="16"/>
    </row>
    <row r="322" ht="15">
      <c r="A322" s="16" t="s">
        <v>2657</v>
      </c>
      <c r="B322" s="16" t="s">
        <v>2658</v>
      </c>
      <c r="C322" s="16"/>
      <c r="D322" s="20" t="s">
        <v>72</v>
      </c>
      <c r="E322" s="16" t="str">
        <f>VLOOKUP(D322,fonds!$A$1:$B$495,2,FALSE())</f>
        <v>AT-HHStA/YbbsOCist</v>
      </c>
      <c r="F322" s="18"/>
      <c r="G322" s="30">
        <v>4816667</v>
      </c>
      <c r="H322" s="30">
        <v>1508333</v>
      </c>
      <c r="I322" s="16" t="s">
        <v>2657</v>
      </c>
      <c r="J322" s="16"/>
      <c r="K322" s="16" t="s">
        <v>2037</v>
      </c>
      <c r="L322" s="16"/>
    </row>
    <row r="323" ht="15">
      <c r="A323" s="16" t="s">
        <v>2659</v>
      </c>
      <c r="B323" s="16" t="s">
        <v>2660</v>
      </c>
      <c r="C323" s="16" t="s">
        <v>2661</v>
      </c>
      <c r="D323" s="20" t="s">
        <v>380</v>
      </c>
      <c r="E323" s="16" t="str">
        <f>VLOOKUP(D323,fonds!$A$1:$B$495,2,FALSE())</f>
        <v>AT-HHStA/ZatecOFMConv</v>
      </c>
      <c r="F323" s="18">
        <v>3061822</v>
      </c>
      <c r="G323" s="19">
        <v>5032717</v>
      </c>
      <c r="H323" s="19">
        <v>1354577</v>
      </c>
      <c r="I323" s="16" t="s">
        <v>2659</v>
      </c>
      <c r="J323" s="16" t="s">
        <v>2050</v>
      </c>
      <c r="K323" s="16" t="s">
        <v>2662</v>
      </c>
      <c r="L323" s="16"/>
    </row>
    <row r="324" ht="15">
      <c r="A324" s="16" t="s">
        <v>2663</v>
      </c>
      <c r="B324" s="16" t="s">
        <v>2614</v>
      </c>
      <c r="C324" s="16" t="s">
        <v>2664</v>
      </c>
      <c r="D324" s="17" t="s">
        <v>726</v>
      </c>
      <c r="E324" s="16" t="str">
        <f>VLOOKUP(D324,fonds!$A$1:$B$495,2,FALSE())</f>
        <v>CZ-MZA/E08</v>
      </c>
      <c r="F324" s="18">
        <v>3061695</v>
      </c>
      <c r="G324" s="19">
        <v>4956263</v>
      </c>
      <c r="H324" s="19">
        <v>1593924</v>
      </c>
      <c r="I324" s="16" t="s">
        <v>2665</v>
      </c>
      <c r="J324" s="16" t="s">
        <v>2050</v>
      </c>
      <c r="K324" s="16" t="s">
        <v>2666</v>
      </c>
      <c r="L324" s="16"/>
    </row>
    <row r="325" ht="15">
      <c r="A325" s="16" t="s">
        <v>2667</v>
      </c>
      <c r="B325" s="16" t="s">
        <v>2668</v>
      </c>
      <c r="C325" s="16"/>
      <c r="D325" s="20" t="s">
        <v>1314</v>
      </c>
      <c r="E325" s="16" t="str">
        <f>VLOOKUP(D325,fonds!$A$1:$B$495,2,FALSE())</f>
        <v>DE-UAHD/ZellStift</v>
      </c>
      <c r="F325" s="18">
        <v>2760634</v>
      </c>
      <c r="G325" s="19">
        <v>4732306</v>
      </c>
      <c r="H325" s="19">
        <v>1279839</v>
      </c>
      <c r="I325" s="16" t="s">
        <v>2669</v>
      </c>
      <c r="J325" s="16" t="s">
        <v>2023</v>
      </c>
      <c r="K325" s="16" t="s">
        <v>2376</v>
      </c>
      <c r="L325" s="16"/>
    </row>
    <row r="326" ht="15">
      <c r="A326" s="1" t="s">
        <v>2670</v>
      </c>
      <c r="B326" s="16" t="s">
        <v>2671</v>
      </c>
      <c r="C326" s="16" t="s">
        <v>2672</v>
      </c>
      <c r="D326" s="17" t="s">
        <v>384</v>
      </c>
      <c r="E326" s="16" t="str">
        <f>VLOOKUP(D326,fonds!$A$1:$B$495,2,FALSE())</f>
        <v>AT-HHStA/ZiceOCar</v>
      </c>
      <c r="F326" s="18">
        <v>8988381</v>
      </c>
      <c r="G326" s="19">
        <v>4618044</v>
      </c>
      <c r="H326" s="19">
        <v>1464757</v>
      </c>
      <c r="I326" s="16" t="s">
        <v>2670</v>
      </c>
      <c r="J326" s="16" t="s">
        <v>2050</v>
      </c>
      <c r="K326" s="16" t="s">
        <v>2673</v>
      </c>
      <c r="L326" s="16"/>
    </row>
    <row r="327" ht="15">
      <c r="A327" s="16" t="s">
        <v>2674</v>
      </c>
      <c r="B327" s="16"/>
      <c r="C327" s="16" t="s">
        <v>2675</v>
      </c>
      <c r="D327" s="20" t="s">
        <v>8</v>
      </c>
      <c r="E327" s="16" t="str">
        <f>VLOOKUP(D327,fonds!$A$1:$B$495,2,FALSE())</f>
        <v>AT-ATF/TirolOFM</v>
      </c>
      <c r="F327" s="16"/>
      <c r="G327" s="16"/>
      <c r="H327" s="16"/>
      <c r="I327" s="16"/>
      <c r="J327" s="16"/>
      <c r="K327" s="16"/>
      <c r="L327" s="16"/>
    </row>
    <row r="328" ht="15">
      <c r="A328" s="16" t="s">
        <v>2676</v>
      </c>
      <c r="B328" s="16" t="s">
        <v>2274</v>
      </c>
      <c r="C328" s="16"/>
      <c r="D328" s="20" t="s">
        <v>96</v>
      </c>
      <c r="E328" s="16" t="str">
        <f>VLOOKUP(D328,fonds!$A$1:$B$495,2,FALSE())</f>
        <v>AT-HHStA/StrebnitzOSB</v>
      </c>
      <c r="F328" s="16"/>
      <c r="G328" s="16"/>
      <c r="H328" s="16"/>
      <c r="I328" s="16"/>
      <c r="J328" s="16"/>
      <c r="K328" s="16"/>
      <c r="L328" s="16"/>
    </row>
    <row r="329" ht="15">
      <c r="A329" s="16" t="s">
        <v>135</v>
      </c>
      <c r="B329" s="16"/>
      <c r="C329" s="16"/>
      <c r="D329" s="20" t="s">
        <v>132</v>
      </c>
      <c r="E329" s="16" t="str">
        <f>VLOOKUP(D329,fonds!$A$1:$B$495,2,FALSE())</f>
        <v>AT-HHStA/PolaStMichaelDeMonta</v>
      </c>
      <c r="F329" s="16"/>
      <c r="G329" s="16"/>
      <c r="H329" s="16"/>
      <c r="I329" s="16"/>
      <c r="J329" s="16"/>
      <c r="K329" s="16"/>
      <c r="L329" s="16"/>
    </row>
    <row r="330" ht="15">
      <c r="A330" s="16" t="s">
        <v>2677</v>
      </c>
      <c r="B330" s="16" t="s">
        <v>2678</v>
      </c>
      <c r="C330" s="16" t="s">
        <v>2679</v>
      </c>
      <c r="D330" s="20" t="s">
        <v>148</v>
      </c>
      <c r="E330" s="16" t="str">
        <f>VLOOKUP(D330,fonds!$A$1:$B$495,2,FALSE())</f>
        <v>AT-HHStA/PletrjeOCart</v>
      </c>
      <c r="F330" s="16"/>
      <c r="G330" s="16"/>
      <c r="H330" s="16"/>
      <c r="I330" s="16"/>
      <c r="J330" s="16"/>
      <c r="K330" s="16"/>
      <c r="L330" s="16"/>
    </row>
    <row r="331" ht="15">
      <c r="A331" s="16" t="s">
        <v>167</v>
      </c>
      <c r="B331" s="16"/>
      <c r="C331" s="16"/>
      <c r="D331" s="20" t="s">
        <v>164</v>
      </c>
      <c r="E331" s="16" t="str">
        <f>VLOOKUP(D331,fonds!$A$1:$B$495,2,FALSE())</f>
        <v>AT-HHStA/StMichaelzuTschernaKonvent</v>
      </c>
      <c r="F331" s="16"/>
      <c r="G331" s="16"/>
      <c r="H331" s="16"/>
      <c r="I331" s="16"/>
      <c r="J331" s="16"/>
      <c r="K331" s="16"/>
      <c r="L331" s="16"/>
    </row>
    <row r="332" ht="15">
      <c r="A332" s="16" t="s">
        <v>2680</v>
      </c>
      <c r="B332" s="16"/>
      <c r="C332" s="16"/>
      <c r="D332" s="20" t="s">
        <v>172</v>
      </c>
      <c r="E332" s="16" t="str">
        <f>VLOOKUP(D332,fonds!$A$1:$B$495,2,FALSE())</f>
        <v>AT-HHStA/SbgFrauenklosterStPeter</v>
      </c>
      <c r="F332" s="16"/>
      <c r="G332" s="16"/>
      <c r="H332" s="16"/>
      <c r="I332" s="16"/>
      <c r="J332" s="16"/>
      <c r="K332" s="16"/>
      <c r="L332" s="16"/>
    </row>
    <row r="333" ht="15">
      <c r="A333" s="16" t="s">
        <v>2681</v>
      </c>
      <c r="B333" s="16" t="s">
        <v>2682</v>
      </c>
      <c r="C333" s="16" t="s">
        <v>2683</v>
      </c>
      <c r="D333" s="17" t="s">
        <v>176</v>
      </c>
      <c r="E333" s="16" t="str">
        <f>VLOOKUP(D333,fonds!$A$1:$B$495,2,FALSE())</f>
        <v>AT-HHStA/SmichowOCart</v>
      </c>
      <c r="F333" s="16"/>
      <c r="G333" s="16"/>
      <c r="H333" s="16"/>
      <c r="I333" s="16"/>
      <c r="J333" s="16"/>
      <c r="K333" s="16"/>
      <c r="L333" s="16"/>
    </row>
    <row r="334" ht="15">
      <c r="A334" s="16" t="s">
        <v>2684</v>
      </c>
      <c r="B334" s="16" t="s">
        <v>2559</v>
      </c>
      <c r="C334" s="16"/>
      <c r="D334" s="17" t="s">
        <v>192</v>
      </c>
      <c r="E334" s="16" t="str">
        <f>VLOOKUP(D334,fonds!$A$1:$B$495,2,FALSE())</f>
        <v>AT-HHStA/FreudnitzOCart</v>
      </c>
      <c r="F334" s="16"/>
      <c r="G334" s="16"/>
      <c r="H334" s="16"/>
      <c r="I334" s="16"/>
      <c r="J334" s="16"/>
      <c r="K334" s="16"/>
      <c r="L334" s="16"/>
    </row>
    <row r="335" ht="15">
      <c r="A335" s="16" t="s">
        <v>2685</v>
      </c>
      <c r="B335" s="16" t="s">
        <v>2686</v>
      </c>
      <c r="C335" s="16"/>
      <c r="D335" s="20" t="s">
        <v>244</v>
      </c>
      <c r="E335" s="16" t="str">
        <f>VLOOKUP(D335,fonds!$A$1:$B$495,2,FALSE())</f>
        <v>AT-HHStA/FuldeppOP</v>
      </c>
      <c r="F335" s="16"/>
      <c r="G335" s="16"/>
      <c r="H335" s="16"/>
      <c r="I335" s="16"/>
      <c r="J335" s="16"/>
      <c r="K335" s="16"/>
      <c r="L335" s="16"/>
    </row>
    <row r="336" ht="15">
      <c r="A336" s="16" t="s">
        <v>2687</v>
      </c>
      <c r="B336" s="16" t="s">
        <v>2688</v>
      </c>
      <c r="C336" s="16"/>
      <c r="D336" s="20" t="s">
        <v>248</v>
      </c>
      <c r="E336" s="16" t="str">
        <f>VLOOKUP(D336,fonds!$A$1:$B$495,2,FALSE())</f>
        <v>AT-HHStA/StPeterSchwwOSB</v>
      </c>
      <c r="F336" s="16"/>
      <c r="G336" s="16"/>
      <c r="H336" s="16"/>
      <c r="I336" s="16"/>
      <c r="J336" s="16"/>
      <c r="K336" s="16"/>
      <c r="L336" s="16"/>
    </row>
    <row r="337" ht="15">
      <c r="A337" s="16" t="s">
        <v>2689</v>
      </c>
      <c r="B337" s="16" t="s">
        <v>2035</v>
      </c>
      <c r="C337" s="16"/>
      <c r="D337" s="20" t="s">
        <v>280</v>
      </c>
      <c r="E337" s="16" t="str">
        <f>VLOOKUP(D337,fonds!$A$1:$B$495,2,FALSE())</f>
        <v>AT-HHStA/SticnaOCist</v>
      </c>
      <c r="F337" s="16"/>
      <c r="G337" s="16"/>
      <c r="H337" s="16"/>
      <c r="I337" s="16"/>
      <c r="J337" s="16"/>
      <c r="K337" s="16"/>
      <c r="L337" s="16"/>
    </row>
    <row r="338" ht="15">
      <c r="A338" s="16" t="s">
        <v>363</v>
      </c>
      <c r="B338" s="16"/>
      <c r="C338" s="16"/>
      <c r="D338" s="20" t="s">
        <v>360</v>
      </c>
      <c r="E338" s="16" t="str">
        <f>VLOOKUP(D338,fonds!$A$1:$B$495,2,FALSE())</f>
        <v>AT-HHStA/ChiemseeUnsereLiebeFrau</v>
      </c>
      <c r="F338" s="16"/>
      <c r="G338" s="16"/>
      <c r="H338" s="16"/>
      <c r="I338" s="16"/>
      <c r="J338" s="16"/>
      <c r="K338" s="16"/>
      <c r="L338" s="16"/>
    </row>
    <row r="339" ht="15">
      <c r="A339" s="16" t="s">
        <v>2690</v>
      </c>
      <c r="B339" s="16"/>
      <c r="C339" s="16" t="s">
        <v>2691</v>
      </c>
      <c r="D339" s="17" t="s">
        <v>2692</v>
      </c>
      <c r="E339" s="16" t="e">
        <f>VLOOKUP(D339,fonds!$A$1:$B$495,2,FALSE())</f>
        <v>#N/A</v>
      </c>
      <c r="F339" s="16"/>
      <c r="G339" s="16"/>
      <c r="H339" s="16"/>
      <c r="I339" s="16"/>
      <c r="J339" s="16"/>
      <c r="K339" s="16"/>
      <c r="L339" s="16"/>
    </row>
    <row r="340" ht="15">
      <c r="A340" s="16" t="s">
        <v>2693</v>
      </c>
      <c r="B340" s="16" t="s">
        <v>2694</v>
      </c>
      <c r="C340" s="16"/>
      <c r="D340" s="20" t="s">
        <v>463</v>
      </c>
      <c r="E340" s="16" t="str">
        <f>VLOOKUP(D340,fonds!$A$1:$B$495,2,FALSE())</f>
        <v>AT-StiAH/WienOCist</v>
      </c>
      <c r="F340" s="16"/>
      <c r="G340" s="16"/>
      <c r="H340" s="16"/>
      <c r="I340" s="16"/>
      <c r="J340" s="16"/>
      <c r="K340" s="16"/>
      <c r="L340" s="16"/>
    </row>
    <row r="341" ht="15">
      <c r="A341" s="16" t="s">
        <v>2695</v>
      </c>
      <c r="B341" s="16" t="s">
        <v>2089</v>
      </c>
      <c r="C341" s="16"/>
      <c r="D341" s="17" t="s">
        <v>594</v>
      </c>
      <c r="E341" s="16" t="str">
        <f>VLOOKUP(D341,fonds!$A$1:$B$495,2,FALSE())</f>
        <v>AT-StiAStP/BlUKWilhelmiterOrden</v>
      </c>
      <c r="F341" s="16"/>
      <c r="G341" s="16"/>
      <c r="H341" s="16"/>
      <c r="I341" s="16"/>
      <c r="J341" s="16"/>
      <c r="K341" s="16"/>
      <c r="L341" s="16"/>
    </row>
    <row r="342" ht="15">
      <c r="A342" s="16" t="s">
        <v>2696</v>
      </c>
      <c r="B342" s="16" t="s">
        <v>2030</v>
      </c>
      <c r="C342" s="16"/>
      <c r="D342" s="17" t="s">
        <v>638</v>
      </c>
      <c r="E342" s="16" t="str">
        <f>VLOOKUP(D342,fonds!$A$1:$B$495,2,FALSE())</f>
        <v>AT-VLA/StJohanniThurtalKl</v>
      </c>
      <c r="F342" s="16"/>
      <c r="G342" s="16"/>
      <c r="H342" s="16"/>
      <c r="I342" s="16"/>
      <c r="J342" s="16"/>
      <c r="K342" s="16"/>
      <c r="L342" s="16"/>
    </row>
    <row r="343" ht="15">
      <c r="A343" s="16" t="s">
        <v>2697</v>
      </c>
      <c r="B343" s="16"/>
      <c r="C343" s="16" t="s">
        <v>2698</v>
      </c>
      <c r="D343" s="20" t="s">
        <v>678</v>
      </c>
      <c r="E343" s="16" t="str">
        <f>VLOOKUP(D343,fonds!$A$1:$B$495,2,FALSE())</f>
        <v>CZ-MZA/E10</v>
      </c>
      <c r="F343" s="16"/>
      <c r="G343" s="16"/>
      <c r="H343" s="16"/>
      <c r="I343" s="16"/>
      <c r="J343" s="16"/>
      <c r="K343" s="16"/>
      <c r="L343" s="16"/>
    </row>
    <row r="344" ht="15">
      <c r="A344" s="16" t="s">
        <v>2699</v>
      </c>
      <c r="B344" s="16"/>
      <c r="C344" s="16" t="s">
        <v>2700</v>
      </c>
      <c r="D344" s="17" t="s">
        <v>682</v>
      </c>
      <c r="E344" s="16" t="str">
        <f>VLOOKUP(D344,fonds!$A$1:$B$495,2,FALSE())</f>
        <v>CZ-MZA/E51</v>
      </c>
      <c r="F344" s="16"/>
      <c r="G344" s="16"/>
      <c r="H344" s="16"/>
      <c r="I344" s="16"/>
      <c r="J344" s="16"/>
      <c r="K344" s="16"/>
      <c r="L344" s="16"/>
    </row>
    <row r="345" ht="15">
      <c r="A345" s="16" t="s">
        <v>2701</v>
      </c>
      <c r="B345" s="16"/>
      <c r="C345" s="16" t="s">
        <v>2702</v>
      </c>
      <c r="D345" s="20" t="s">
        <v>686</v>
      </c>
      <c r="E345" s="16" t="str">
        <f>VLOOKUP(D345,fonds!$A$1:$B$495,2,FALSE())</f>
        <v>CZ-MZA/E03</v>
      </c>
      <c r="F345" s="16"/>
      <c r="G345" s="16"/>
      <c r="H345" s="16"/>
      <c r="I345" s="16"/>
      <c r="J345" s="16"/>
      <c r="K345" s="16"/>
      <c r="L345" s="16"/>
    </row>
    <row r="346" ht="15">
      <c r="A346" s="16" t="s">
        <v>2703</v>
      </c>
      <c r="B346" s="16" t="s">
        <v>2103</v>
      </c>
      <c r="C346" s="16" t="s">
        <v>2704</v>
      </c>
      <c r="D346" s="17" t="s">
        <v>690</v>
      </c>
      <c r="E346" s="16" t="str">
        <f>VLOOKUP(D346,fonds!$A$1:$B$495,2,FALSE())</f>
        <v>CZ-MZA/E17</v>
      </c>
      <c r="F346" s="16"/>
      <c r="G346" s="16"/>
      <c r="H346" s="16"/>
      <c r="I346" s="16"/>
      <c r="J346" s="16"/>
      <c r="K346" s="16"/>
      <c r="L346" s="16"/>
    </row>
    <row r="347" ht="15">
      <c r="A347" s="16" t="s">
        <v>2705</v>
      </c>
      <c r="B347" s="16"/>
      <c r="C347" s="16" t="s">
        <v>2706</v>
      </c>
      <c r="D347" s="17" t="s">
        <v>698</v>
      </c>
      <c r="E347" s="16" t="str">
        <f>VLOOKUP(D347,fonds!$A$1:$B$495,2,FALSE())</f>
        <v>CZ-MZA/E04</v>
      </c>
      <c r="F347" s="16"/>
      <c r="G347" s="16"/>
      <c r="H347" s="16"/>
      <c r="I347" s="16"/>
      <c r="J347" s="16"/>
      <c r="K347" s="16"/>
      <c r="L347" s="16"/>
    </row>
    <row r="348" ht="15">
      <c r="A348" s="16" t="s">
        <v>2707</v>
      </c>
      <c r="B348" s="16" t="s">
        <v>2708</v>
      </c>
      <c r="C348" s="16" t="s">
        <v>2709</v>
      </c>
      <c r="D348" s="20" t="s">
        <v>702</v>
      </c>
      <c r="E348" s="16" t="str">
        <f>VLOOKUP(D348,fonds!$A$1:$B$495,2,FALSE())</f>
        <v>CZ-MZA/E40</v>
      </c>
      <c r="F348" s="16"/>
      <c r="G348" s="16"/>
      <c r="H348" s="16"/>
      <c r="I348" s="16"/>
      <c r="J348" s="16"/>
      <c r="K348" s="16"/>
      <c r="L348" s="16"/>
    </row>
    <row r="349" ht="15">
      <c r="A349" s="16" t="s">
        <v>2710</v>
      </c>
      <c r="B349" s="16" t="s">
        <v>2103</v>
      </c>
      <c r="C349" s="16" t="s">
        <v>2711</v>
      </c>
      <c r="D349" s="17" t="s">
        <v>706</v>
      </c>
      <c r="E349" s="16" t="str">
        <f>VLOOKUP(D349,fonds!$A$1:$B$495,2,FALSE())</f>
        <v>CZ-MZA/E19</v>
      </c>
      <c r="F349" s="16"/>
      <c r="G349" s="16"/>
      <c r="H349" s="16"/>
      <c r="I349" s="16"/>
      <c r="J349" s="16"/>
      <c r="K349" s="16"/>
      <c r="L349" s="16"/>
    </row>
    <row r="350" ht="15">
      <c r="A350" s="16" t="s">
        <v>2712</v>
      </c>
      <c r="B350" s="16" t="s">
        <v>2713</v>
      </c>
      <c r="C350" s="16" t="s">
        <v>2714</v>
      </c>
      <c r="D350" s="20" t="s">
        <v>710</v>
      </c>
      <c r="E350" s="16" t="str">
        <f>VLOOKUP(D350,fonds!$A$1:$B$495,2,FALSE())</f>
        <v>CZ-MZA/E59</v>
      </c>
      <c r="F350" s="16"/>
      <c r="G350" s="16"/>
      <c r="H350" s="16"/>
      <c r="I350" s="16"/>
      <c r="J350" s="16"/>
      <c r="K350" s="16"/>
      <c r="L350" s="16"/>
    </row>
    <row r="351" ht="15">
      <c r="A351" s="16" t="s">
        <v>2715</v>
      </c>
      <c r="B351" s="16" t="s">
        <v>2103</v>
      </c>
      <c r="C351" s="16" t="s">
        <v>2716</v>
      </c>
      <c r="D351" s="20" t="s">
        <v>718</v>
      </c>
      <c r="E351" s="16" t="str">
        <f>VLOOKUP(D351,fonds!$A$1:$B$495,2,FALSE())</f>
        <v>CZ-MZA/E15</v>
      </c>
      <c r="F351" s="16"/>
      <c r="G351" s="16"/>
      <c r="H351" s="16"/>
      <c r="I351" s="16"/>
      <c r="J351" s="16"/>
      <c r="K351" s="16"/>
      <c r="L351" s="16"/>
    </row>
    <row r="352" ht="15">
      <c r="A352" s="16" t="s">
        <v>2717</v>
      </c>
      <c r="B352" s="16" t="s">
        <v>2713</v>
      </c>
      <c r="C352" s="16" t="s">
        <v>2718</v>
      </c>
      <c r="D352" s="20" t="s">
        <v>730</v>
      </c>
      <c r="E352" s="16" t="str">
        <f>VLOOKUP(D352,fonds!$A$1:$B$495,2,FALSE())</f>
        <v>CZ-MZA/E56</v>
      </c>
      <c r="F352" s="16"/>
      <c r="G352" s="16"/>
      <c r="H352" s="16"/>
      <c r="I352" s="16"/>
      <c r="J352" s="16"/>
      <c r="K352" s="16"/>
      <c r="L352" s="16"/>
    </row>
    <row r="353" ht="15">
      <c r="A353" s="16" t="s">
        <v>2719</v>
      </c>
      <c r="B353" s="16" t="s">
        <v>2103</v>
      </c>
      <c r="C353" s="16" t="s">
        <v>2720</v>
      </c>
      <c r="D353" s="17" t="s">
        <v>734</v>
      </c>
      <c r="E353" s="16" t="str">
        <f>VLOOKUP(D353,fonds!$A$1:$B$495,2,FALSE())</f>
        <v>CZ-MZA/E18</v>
      </c>
      <c r="F353" s="16"/>
      <c r="G353" s="16"/>
      <c r="H353" s="16"/>
      <c r="I353" s="16"/>
      <c r="J353" s="16"/>
      <c r="K353" s="16"/>
      <c r="L353" s="16"/>
    </row>
    <row r="354" ht="15">
      <c r="A354" s="16" t="s">
        <v>2721</v>
      </c>
      <c r="B354" s="16"/>
      <c r="C354" s="16" t="s">
        <v>2722</v>
      </c>
      <c r="D354" s="17" t="s">
        <v>738</v>
      </c>
      <c r="E354" s="16" t="str">
        <f>VLOOKUP(D354,fonds!$A$1:$B$495,2,FALSE())</f>
        <v>CZ-MZA/E43</v>
      </c>
      <c r="F354" s="16"/>
      <c r="G354" s="16"/>
      <c r="H354" s="16"/>
      <c r="I354" s="16"/>
      <c r="J354" s="16"/>
      <c r="K354" s="16"/>
      <c r="L354" s="16"/>
    </row>
    <row r="355" ht="15">
      <c r="A355" s="16" t="s">
        <v>2723</v>
      </c>
      <c r="B355" s="16"/>
      <c r="C355" s="16" t="s">
        <v>2724</v>
      </c>
      <c r="D355" s="20" t="s">
        <v>742</v>
      </c>
      <c r="E355" s="16" t="str">
        <f>VLOOKUP(D355,fonds!$A$1:$B$495,2,FALSE())</f>
        <v>CZ-MZA/E41</v>
      </c>
      <c r="F355" s="16"/>
      <c r="G355" s="16"/>
      <c r="H355" s="16"/>
      <c r="I355" s="16"/>
      <c r="J355" s="16"/>
      <c r="K355" s="16"/>
      <c r="L355" s="16"/>
    </row>
    <row r="356" ht="15">
      <c r="A356" s="16" t="s">
        <v>2725</v>
      </c>
      <c r="B356" s="16"/>
      <c r="C356" s="16" t="s">
        <v>2726</v>
      </c>
      <c r="D356" s="20" t="s">
        <v>746</v>
      </c>
      <c r="E356" s="16" t="str">
        <f>VLOOKUP(D356,fonds!$A$1:$B$495,2,FALSE())</f>
        <v>CZ-MZA/E06</v>
      </c>
      <c r="F356" s="16"/>
      <c r="G356" s="16"/>
      <c r="H356" s="16"/>
      <c r="I356" s="16"/>
      <c r="J356" s="16"/>
      <c r="K356" s="16"/>
      <c r="L356" s="16"/>
    </row>
    <row r="357" ht="15">
      <c r="A357" s="16" t="s">
        <v>2727</v>
      </c>
      <c r="B357" s="16"/>
      <c r="C357" s="16" t="s">
        <v>2728</v>
      </c>
      <c r="D357" s="17" t="s">
        <v>750</v>
      </c>
      <c r="E357" s="16" t="str">
        <f>VLOOKUP(D357,fonds!$A$1:$B$495,2,FALSE())</f>
        <v>CZ-MZA/E05</v>
      </c>
      <c r="F357" s="16"/>
      <c r="G357" s="16"/>
      <c r="H357" s="16"/>
      <c r="I357" s="16"/>
      <c r="J357" s="16"/>
      <c r="K357" s="16"/>
      <c r="L357" s="16"/>
    </row>
    <row r="358" ht="15">
      <c r="A358" s="16" t="s">
        <v>2729</v>
      </c>
      <c r="B358" s="16" t="s">
        <v>2713</v>
      </c>
      <c r="C358" s="16" t="s">
        <v>2730</v>
      </c>
      <c r="D358" s="20" t="s">
        <v>754</v>
      </c>
      <c r="E358" s="16" t="str">
        <f>VLOOKUP(D358,fonds!$A$1:$B$495,2,FALSE())</f>
        <v>CZ-MZA/E55</v>
      </c>
      <c r="F358" s="16"/>
      <c r="G358" s="16"/>
      <c r="H358" s="16"/>
      <c r="I358" s="16"/>
      <c r="J358" s="16"/>
      <c r="K358" s="16"/>
      <c r="L358" s="16"/>
    </row>
    <row r="359" ht="15">
      <c r="A359" s="16" t="s">
        <v>2731</v>
      </c>
      <c r="B359" s="16" t="s">
        <v>2713</v>
      </c>
      <c r="C359" s="16" t="s">
        <v>2569</v>
      </c>
      <c r="D359" s="17" t="s">
        <v>758</v>
      </c>
      <c r="E359" s="16" t="str">
        <f>VLOOKUP(D359,fonds!$A$1:$B$495,2,FALSE())</f>
        <v>CZ-MZA/E57</v>
      </c>
      <c r="F359" s="16"/>
      <c r="G359" s="16"/>
      <c r="H359" s="16"/>
      <c r="I359" s="16"/>
      <c r="J359" s="16"/>
      <c r="K359" s="16"/>
      <c r="L359" s="16"/>
    </row>
    <row r="360" ht="15">
      <c r="A360" s="16" t="s">
        <v>2732</v>
      </c>
      <c r="B360" s="16"/>
      <c r="C360" s="16" t="s">
        <v>2733</v>
      </c>
      <c r="D360" s="20" t="s">
        <v>762</v>
      </c>
      <c r="E360" s="16" t="str">
        <f>VLOOKUP(D360,fonds!$A$1:$B$495,2,FALSE())</f>
        <v>CZ-MZA/E49</v>
      </c>
      <c r="F360" s="16"/>
      <c r="G360" s="16"/>
      <c r="H360" s="16"/>
      <c r="I360" s="16"/>
      <c r="J360" s="16"/>
      <c r="K360" s="16"/>
      <c r="L360" s="16"/>
    </row>
    <row r="361" ht="15">
      <c r="A361" s="16" t="s">
        <v>2734</v>
      </c>
      <c r="B361" s="16"/>
      <c r="C361" s="18">
        <v>-1684</v>
      </c>
      <c r="D361" s="17" t="s">
        <v>770</v>
      </c>
      <c r="E361" s="16" t="str">
        <f>VLOOKUP(D361,fonds!$A$1:$B$495,2,FALSE())</f>
        <v>CZ-MZA/E71</v>
      </c>
      <c r="F361" s="16"/>
      <c r="G361" s="16"/>
      <c r="H361" s="16"/>
      <c r="I361" s="16"/>
      <c r="J361" s="16"/>
      <c r="K361" s="16"/>
      <c r="L361" s="16"/>
    </row>
    <row r="362" ht="15">
      <c r="A362" s="16" t="s">
        <v>2735</v>
      </c>
      <c r="B362" s="16" t="s">
        <v>2713</v>
      </c>
      <c r="C362" s="16" t="s">
        <v>2736</v>
      </c>
      <c r="D362" s="20" t="s">
        <v>774</v>
      </c>
      <c r="E362" s="16" t="str">
        <f>VLOOKUP(D362,fonds!$A$1:$B$495,2,FALSE())</f>
        <v>CZ-MZA/E58</v>
      </c>
      <c r="F362" s="16"/>
      <c r="G362" s="16"/>
      <c r="H362" s="16"/>
      <c r="I362" s="16"/>
      <c r="J362" s="16"/>
      <c r="K362" s="16"/>
      <c r="L362" s="16"/>
    </row>
    <row r="363" ht="15">
      <c r="A363" s="16" t="s">
        <v>2737</v>
      </c>
      <c r="B363" s="16" t="s">
        <v>2708</v>
      </c>
      <c r="C363" s="16" t="s">
        <v>2738</v>
      </c>
      <c r="D363" s="20" t="s">
        <v>778</v>
      </c>
      <c r="E363" s="16" t="str">
        <f>VLOOKUP(D363,fonds!$A$1:$B$495,2,FALSE())</f>
        <v>CZ-MZA/E39</v>
      </c>
      <c r="F363" s="16"/>
      <c r="G363" s="16"/>
      <c r="H363" s="16"/>
      <c r="I363" s="16"/>
      <c r="J363" s="16"/>
      <c r="K363" s="16"/>
      <c r="L363" s="16"/>
    </row>
    <row r="364" ht="15">
      <c r="A364" s="16" t="s">
        <v>2739</v>
      </c>
      <c r="B364" s="16"/>
      <c r="C364" s="16" t="s">
        <v>2740</v>
      </c>
      <c r="D364" s="20" t="s">
        <v>782</v>
      </c>
      <c r="E364" s="16" t="str">
        <f>VLOOKUP(D364,fonds!$A$1:$B$495,2,FALSE())</f>
        <v>CZ-MZA/E52</v>
      </c>
      <c r="F364" s="16"/>
      <c r="G364" s="16"/>
      <c r="H364" s="16"/>
      <c r="I364" s="16"/>
      <c r="J364" s="16"/>
      <c r="K364" s="16"/>
      <c r="L364" s="16"/>
    </row>
    <row r="365" ht="15">
      <c r="A365" s="16" t="s">
        <v>2741</v>
      </c>
      <c r="B365" s="16"/>
      <c r="C365" s="16" t="s">
        <v>2742</v>
      </c>
      <c r="D365" s="20" t="s">
        <v>786</v>
      </c>
      <c r="E365" s="16" t="str">
        <f>VLOOKUP(D365,fonds!$A$1:$B$495,2,FALSE())</f>
        <v>CZ-MZA/E63</v>
      </c>
      <c r="F365" s="16"/>
      <c r="G365" s="16"/>
      <c r="H365" s="16"/>
      <c r="I365" s="16"/>
      <c r="J365" s="16"/>
      <c r="K365" s="16"/>
      <c r="L365" s="16"/>
    </row>
    <row r="366" ht="15">
      <c r="A366" s="16" t="s">
        <v>2743</v>
      </c>
      <c r="B366" s="16"/>
      <c r="C366" s="16" t="s">
        <v>2744</v>
      </c>
      <c r="D366" s="17" t="s">
        <v>790</v>
      </c>
      <c r="E366" s="16" t="str">
        <f>VLOOKUP(D366,fonds!$A$1:$B$495,2,FALSE())</f>
        <v>CZ-MZA/E02</v>
      </c>
      <c r="F366" s="16"/>
      <c r="G366" s="16"/>
      <c r="H366" s="16"/>
      <c r="I366" s="16"/>
      <c r="J366" s="16"/>
      <c r="K366" s="16"/>
      <c r="L366" s="16"/>
    </row>
    <row r="367" ht="15">
      <c r="A367" s="16" t="s">
        <v>2745</v>
      </c>
      <c r="B367" s="16"/>
      <c r="C367" s="16" t="s">
        <v>2746</v>
      </c>
      <c r="D367" s="20" t="s">
        <v>794</v>
      </c>
      <c r="E367" s="16" t="str">
        <f>VLOOKUP(D367,fonds!$A$1:$B$495,2,FALSE())</f>
        <v>CZ-MZA/E50</v>
      </c>
      <c r="F367" s="16"/>
      <c r="G367" s="16"/>
      <c r="H367" s="16"/>
      <c r="I367" s="16"/>
      <c r="J367" s="16"/>
      <c r="K367" s="16"/>
      <c r="L367" s="16"/>
    </row>
    <row r="368" ht="15">
      <c r="A368" s="16" t="s">
        <v>2747</v>
      </c>
      <c r="B368" s="16"/>
      <c r="C368" s="16" t="s">
        <v>2748</v>
      </c>
      <c r="D368" s="17" t="s">
        <v>798</v>
      </c>
      <c r="E368" s="16" t="str">
        <f>VLOOKUP(D368,fonds!$A$1:$B$495,2,FALSE())</f>
        <v>CZ-MZA/E09</v>
      </c>
      <c r="F368" s="16"/>
      <c r="G368" s="16"/>
      <c r="H368" s="16"/>
      <c r="I368" s="16"/>
      <c r="J368" s="16"/>
      <c r="K368" s="16"/>
      <c r="L368" s="16"/>
    </row>
    <row r="369" ht="15">
      <c r="A369" s="16" t="s">
        <v>2749</v>
      </c>
      <c r="B369" s="16" t="s">
        <v>2750</v>
      </c>
      <c r="C369" s="16"/>
      <c r="D369" s="17" t="s">
        <v>802</v>
      </c>
      <c r="E369" s="16" t="str">
        <f>VLOOKUP(D369,fonds!$A$1:$B$495,2,FALSE())</f>
        <v>CZ-NA/RK</v>
      </c>
      <c r="F369" s="16"/>
      <c r="G369" s="16"/>
      <c r="H369" s="16"/>
      <c r="I369" s="16"/>
      <c r="J369" s="16"/>
      <c r="K369" s="16"/>
      <c r="L369" s="16"/>
    </row>
    <row r="370" ht="15">
      <c r="A370" s="16" t="s">
        <v>2751</v>
      </c>
      <c r="B370" s="20" t="s">
        <v>2174</v>
      </c>
      <c r="C370" s="16" t="s">
        <v>2175</v>
      </c>
      <c r="D370" s="16" t="s">
        <v>806</v>
      </c>
      <c r="E370" s="16" t="str">
        <f>VLOOKUP(D370,fonds!$A$1:$B$495,2,FALSE())</f>
        <v>CZ-NA/AZK%7CVaclav</v>
      </c>
      <c r="F370" s="16"/>
      <c r="G370" s="16"/>
      <c r="H370" s="16"/>
      <c r="I370" s="16"/>
      <c r="J370" s="16"/>
      <c r="K370" s="16"/>
      <c r="L370" s="16"/>
    </row>
    <row r="371" ht="15">
      <c r="A371" s="16" t="s">
        <v>2752</v>
      </c>
      <c r="B371" s="17" t="s">
        <v>2174</v>
      </c>
      <c r="C371" s="16" t="s">
        <v>2175</v>
      </c>
      <c r="D371" s="16" t="s">
        <v>810</v>
      </c>
      <c r="E371" s="16" t="str">
        <f>VLOOKUP(D371,fonds!$A$1:$B$495,2,FALSE())</f>
        <v>CZ-NA/AZK%7CZatec</v>
      </c>
      <c r="F371" s="16"/>
      <c r="G371" s="16"/>
      <c r="H371" s="16"/>
      <c r="I371" s="16"/>
      <c r="J371" s="16"/>
      <c r="K371" s="16"/>
      <c r="L371" s="16"/>
    </row>
    <row r="372" ht="15">
      <c r="A372" s="16" t="s">
        <v>2753</v>
      </c>
      <c r="B372" s="16" t="s">
        <v>2754</v>
      </c>
      <c r="C372" s="16"/>
      <c r="D372" s="20" t="s">
        <v>814</v>
      </c>
      <c r="E372" s="16" t="str">
        <f>VLOOKUP(D372,fonds!$A$1:$B$495,2,FALSE())</f>
        <v>CZ-NA/RKr</v>
      </c>
      <c r="F372" s="16"/>
      <c r="G372" s="16"/>
      <c r="H372" s="16"/>
      <c r="I372" s="16"/>
      <c r="J372" s="16"/>
      <c r="K372" s="16"/>
      <c r="L372" s="16"/>
    </row>
    <row r="373" ht="15">
      <c r="A373" s="16" t="s">
        <v>2755</v>
      </c>
      <c r="B373" s="17" t="s">
        <v>2174</v>
      </c>
      <c r="C373" s="16" t="s">
        <v>2175</v>
      </c>
      <c r="D373" s="16" t="s">
        <v>818</v>
      </c>
      <c r="E373" s="16" t="str">
        <f>VLOOKUP(D373,fonds!$A$1:$B$495,2,FALSE())</f>
        <v>CZ-NA/AZK%7CStribro</v>
      </c>
      <c r="F373" s="16"/>
      <c r="G373" s="16"/>
      <c r="H373" s="16"/>
      <c r="I373" s="16"/>
      <c r="J373" s="16"/>
      <c r="K373" s="16"/>
      <c r="L373" s="16"/>
    </row>
    <row r="374" ht="15">
      <c r="A374" s="16" t="s">
        <v>2756</v>
      </c>
      <c r="B374" s="16" t="s">
        <v>2757</v>
      </c>
      <c r="C374" s="16"/>
      <c r="D374" s="17" t="s">
        <v>822</v>
      </c>
      <c r="E374" s="16" t="str">
        <f>VLOOKUP(D374,fonds!$A$1:$B$495,2,FALSE())</f>
        <v>CZ-NA/RBE</v>
      </c>
      <c r="F374" s="16"/>
      <c r="G374" s="16"/>
      <c r="H374" s="16"/>
      <c r="I374" s="16"/>
      <c r="J374" s="16"/>
      <c r="K374" s="16"/>
      <c r="L374" s="16"/>
    </row>
    <row r="375" ht="15">
      <c r="A375" s="16" t="s">
        <v>2758</v>
      </c>
      <c r="B375" s="20" t="s">
        <v>2174</v>
      </c>
      <c r="C375" s="16" t="s">
        <v>2175</v>
      </c>
      <c r="D375" s="16" t="s">
        <v>826</v>
      </c>
      <c r="E375" s="16" t="str">
        <f>VLOOKUP(D375,fonds!$A$1:$B$495,2,FALSE())</f>
        <v>CZ-NA/AZK%7CLitomysl</v>
      </c>
      <c r="F375" s="16"/>
      <c r="G375" s="16"/>
      <c r="H375" s="16"/>
      <c r="I375" s="16"/>
      <c r="J375" s="16"/>
      <c r="K375" s="16"/>
      <c r="L375" s="16"/>
    </row>
    <row r="376" ht="15">
      <c r="A376" s="16" t="s">
        <v>2759</v>
      </c>
      <c r="B376" s="17" t="s">
        <v>2174</v>
      </c>
      <c r="C376" s="16" t="s">
        <v>2175</v>
      </c>
      <c r="D376" s="16" t="s">
        <v>830</v>
      </c>
      <c r="E376" s="16" t="str">
        <f>VLOOKUP(D376,fonds!$A$1:$B$495,2,FALSE())</f>
        <v>CZ-NA/AZK%7CKladruby</v>
      </c>
      <c r="F376" s="16"/>
      <c r="G376" s="16"/>
      <c r="H376" s="16"/>
      <c r="I376" s="16"/>
      <c r="J376" s="16"/>
      <c r="K376" s="16"/>
      <c r="L376" s="16"/>
    </row>
    <row r="377" ht="15">
      <c r="A377" s="16" t="s">
        <v>2760</v>
      </c>
      <c r="B377" s="16" t="s">
        <v>2761</v>
      </c>
      <c r="C377" s="16"/>
      <c r="D377" s="20" t="s">
        <v>834</v>
      </c>
      <c r="E377" s="16" t="str">
        <f>VLOOKUP(D377,fonds!$A$1:$B$495,2,FALSE())</f>
        <v>CZ-NA/RV</v>
      </c>
      <c r="F377" s="16"/>
      <c r="G377" s="16"/>
      <c r="H377" s="16"/>
      <c r="I377" s="16"/>
      <c r="J377" s="16"/>
      <c r="K377" s="16"/>
      <c r="L377" s="16"/>
    </row>
    <row r="378" ht="15">
      <c r="A378" s="16" t="s">
        <v>2762</v>
      </c>
      <c r="B378" s="16" t="s">
        <v>2763</v>
      </c>
      <c r="C378" s="16"/>
      <c r="D378" s="20" t="s">
        <v>842</v>
      </c>
      <c r="E378" s="16" t="str">
        <f>VLOOKUP(D378,fonds!$A$1:$B$495,2,FALSE())</f>
        <v>CZ-NA/RA</v>
      </c>
      <c r="F378" s="16"/>
      <c r="G378" s="16"/>
      <c r="H378" s="16"/>
      <c r="I378" s="16"/>
      <c r="J378" s="16"/>
      <c r="K378" s="16"/>
      <c r="L378" s="16"/>
    </row>
    <row r="379" ht="15">
      <c r="A379" s="16" t="s">
        <v>2764</v>
      </c>
      <c r="B379" s="20" t="s">
        <v>2174</v>
      </c>
      <c r="C379" s="16" t="s">
        <v>2175</v>
      </c>
      <c r="D379" s="16" t="s">
        <v>846</v>
      </c>
      <c r="E379" s="16" t="str">
        <f>VLOOKUP(D379,fonds!$A$1:$B$495,2,FALSE())</f>
        <v>CZ-NA/AZK%7CPisek</v>
      </c>
      <c r="F379" s="16"/>
      <c r="G379" s="16"/>
      <c r="H379" s="16"/>
      <c r="I379" s="16"/>
      <c r="J379" s="16"/>
      <c r="K379" s="16"/>
      <c r="L379" s="16"/>
    </row>
    <row r="380" ht="15">
      <c r="A380" s="16" t="s">
        <v>2765</v>
      </c>
      <c r="B380" s="20" t="s">
        <v>2174</v>
      </c>
      <c r="C380" s="16" t="s">
        <v>2175</v>
      </c>
      <c r="D380" s="16" t="s">
        <v>854</v>
      </c>
      <c r="E380" s="16" t="str">
        <f>VLOOKUP(D380,fonds!$A$1:$B$495,2,FALSE())</f>
        <v>CZ-NA/AZK%7CAmbroz</v>
      </c>
      <c r="F380" s="16"/>
      <c r="G380" s="16"/>
      <c r="H380" s="16"/>
      <c r="I380" s="16"/>
      <c r="J380" s="16"/>
      <c r="K380" s="16"/>
      <c r="L380" s="16"/>
    </row>
    <row r="381" ht="15">
      <c r="A381" s="16" t="s">
        <v>2766</v>
      </c>
      <c r="B381" s="17" t="s">
        <v>2174</v>
      </c>
      <c r="C381" s="16" t="s">
        <v>2175</v>
      </c>
      <c r="D381" s="16" t="s">
        <v>858</v>
      </c>
      <c r="E381" s="16" t="str">
        <f>VLOOKUP(D381,fonds!$A$1:$B$495,2,FALSE())</f>
        <v>CZ-NA/AZK%7CKoruna</v>
      </c>
      <c r="F381" s="16"/>
      <c r="G381" s="16"/>
      <c r="H381" s="16"/>
      <c r="I381" s="16"/>
      <c r="J381" s="16"/>
      <c r="K381" s="16"/>
      <c r="L381" s="16"/>
    </row>
    <row r="382" ht="15">
      <c r="A382" s="16" t="s">
        <v>2767</v>
      </c>
      <c r="B382" s="20" t="s">
        <v>2174</v>
      </c>
      <c r="C382" s="16" t="s">
        <v>2175</v>
      </c>
      <c r="D382" s="16" t="s">
        <v>862</v>
      </c>
      <c r="E382" s="16" t="str">
        <f>VLOOKUP(D382,fonds!$A$1:$B$495,2,FALSE())</f>
        <v>CZ-NA/AZK%7CZbraslav</v>
      </c>
      <c r="F382" s="16"/>
      <c r="G382" s="16"/>
      <c r="H382" s="16"/>
      <c r="I382" s="16"/>
      <c r="J382" s="16"/>
      <c r="K382" s="16"/>
      <c r="L382" s="16"/>
    </row>
    <row r="383" ht="15">
      <c r="A383" s="16" t="s">
        <v>2768</v>
      </c>
      <c r="B383" s="17" t="s">
        <v>2174</v>
      </c>
      <c r="C383" s="16" t="s">
        <v>2175</v>
      </c>
      <c r="D383" s="16" t="s">
        <v>866</v>
      </c>
      <c r="E383" s="16" t="str">
        <f>VLOOKUP(D383,fonds!$A$1:$B$495,2,FALSE())</f>
        <v>CZ-NA/AZK%7CBystrice</v>
      </c>
      <c r="F383" s="16"/>
      <c r="G383" s="16"/>
      <c r="H383" s="16"/>
      <c r="I383" s="16"/>
      <c r="J383" s="16"/>
      <c r="K383" s="16"/>
      <c r="L383" s="16"/>
    </row>
    <row r="384" ht="15">
      <c r="A384" s="16" t="s">
        <v>2769</v>
      </c>
      <c r="B384" s="20" t="s">
        <v>2174</v>
      </c>
      <c r="C384" s="16" t="s">
        <v>2175</v>
      </c>
      <c r="D384" s="16" t="s">
        <v>870</v>
      </c>
      <c r="E384" s="16" t="str">
        <f>VLOOKUP(D384,fonds!$A$1:$B$495,2,FALSE())</f>
        <v>CZ-NA/AZK%7CJiri</v>
      </c>
      <c r="F384" s="16"/>
      <c r="G384" s="16"/>
      <c r="H384" s="16"/>
      <c r="I384" s="16"/>
      <c r="J384" s="16"/>
      <c r="K384" s="16"/>
      <c r="L384" s="16"/>
    </row>
    <row r="385" ht="15">
      <c r="A385" s="16" t="s">
        <v>2174</v>
      </c>
      <c r="B385" s="16"/>
      <c r="C385" s="16" t="s">
        <v>2770</v>
      </c>
      <c r="D385" s="20" t="s">
        <v>874</v>
      </c>
      <c r="E385" s="16" t="str">
        <f>VLOOKUP(D385,fonds!$A$1:$B$495,2,FALSE())</f>
        <v>CZ-NA/AZK%7CDodatky</v>
      </c>
      <c r="F385" s="16"/>
      <c r="G385" s="16"/>
      <c r="H385" s="16"/>
      <c r="I385" s="16"/>
      <c r="J385" s="16"/>
      <c r="K385" s="16"/>
      <c r="L385" s="16"/>
    </row>
    <row r="386" ht="15">
      <c r="A386" s="16" t="s">
        <v>2771</v>
      </c>
      <c r="B386" s="16" t="s">
        <v>2772</v>
      </c>
      <c r="C386" s="16"/>
      <c r="D386" s="20" t="s">
        <v>878</v>
      </c>
      <c r="E386" s="16" t="str">
        <f>VLOOKUP(D386,fonds!$A$1:$B$495,2,FALSE())</f>
        <v>CZ-NA/RBB</v>
      </c>
      <c r="F386" s="16"/>
      <c r="G386" s="16"/>
      <c r="H386" s="16"/>
      <c r="I386" s="16"/>
      <c r="J386" s="16"/>
      <c r="K386" s="16"/>
      <c r="L386" s="16"/>
    </row>
    <row r="387" ht="15">
      <c r="A387" s="16" t="s">
        <v>2773</v>
      </c>
      <c r="B387" s="17" t="s">
        <v>2174</v>
      </c>
      <c r="C387" s="16" t="s">
        <v>2175</v>
      </c>
      <c r="D387" s="16" t="s">
        <v>882</v>
      </c>
      <c r="E387" s="16" t="str">
        <f>VLOOKUP(D387,fonds!$A$1:$B$495,2,FALSE())</f>
        <v>CZ-NA/AZK%7CZderaz</v>
      </c>
      <c r="F387" s="16"/>
      <c r="G387" s="16"/>
      <c r="H387" s="16"/>
      <c r="I387" s="16"/>
      <c r="J387" s="16"/>
      <c r="K387" s="16"/>
      <c r="L387" s="16"/>
    </row>
    <row r="388" ht="15">
      <c r="A388" s="16" t="s">
        <v>2774</v>
      </c>
      <c r="B388" s="20" t="s">
        <v>2174</v>
      </c>
      <c r="C388" s="16" t="s">
        <v>2175</v>
      </c>
      <c r="D388" s="16" t="s">
        <v>886</v>
      </c>
      <c r="E388" s="16" t="str">
        <f>VLOOKUP(D388,fonds!$A$1:$B$495,2,FALSE())</f>
        <v>CZ-NA/AZK%7CBorovany</v>
      </c>
      <c r="F388" s="16"/>
      <c r="G388" s="16"/>
      <c r="H388" s="16"/>
      <c r="I388" s="16"/>
      <c r="J388" s="16"/>
      <c r="K388" s="16"/>
      <c r="L388" s="16"/>
    </row>
    <row r="389" ht="15">
      <c r="A389" s="16" t="s">
        <v>2775</v>
      </c>
      <c r="B389" s="17" t="s">
        <v>2174</v>
      </c>
      <c r="C389" s="16" t="s">
        <v>2175</v>
      </c>
      <c r="D389" s="16" t="s">
        <v>890</v>
      </c>
      <c r="E389" s="16" t="str">
        <f>VLOOKUP(D389,fonds!$A$1:$B$495,2,FALSE())</f>
        <v>CZ-NA/AZK%7CKrumlov</v>
      </c>
      <c r="F389" s="16"/>
      <c r="G389" s="16"/>
      <c r="H389" s="16"/>
      <c r="I389" s="16"/>
      <c r="J389" s="16"/>
      <c r="K389" s="16"/>
      <c r="L389" s="16"/>
    </row>
    <row r="390" ht="15">
      <c r="A390" s="16" t="s">
        <v>2776</v>
      </c>
      <c r="B390" s="20" t="s">
        <v>2174</v>
      </c>
      <c r="C390" s="16" t="s">
        <v>2175</v>
      </c>
      <c r="D390" s="16" t="s">
        <v>894</v>
      </c>
      <c r="E390" s="16" t="str">
        <f>VLOOKUP(D390,fonds!$A$1:$B$495,2,FALSE())</f>
        <v>CZ-NA/AZK%7CAnna</v>
      </c>
      <c r="F390" s="16"/>
      <c r="G390" s="16"/>
      <c r="H390" s="16"/>
      <c r="I390" s="16"/>
      <c r="J390" s="16"/>
      <c r="K390" s="16"/>
      <c r="L390" s="16"/>
    </row>
    <row r="391" ht="15">
      <c r="A391" s="16" t="s">
        <v>2777</v>
      </c>
      <c r="B391" s="17" t="s">
        <v>2174</v>
      </c>
      <c r="C391" s="16" t="s">
        <v>2175</v>
      </c>
      <c r="D391" s="16" t="s">
        <v>898</v>
      </c>
      <c r="E391" s="16" t="str">
        <f>VLOOKUP(D391,fonds!$A$1:$B$495,2,FALSE())</f>
        <v>CZ-NA/AZK%7CTrebon</v>
      </c>
      <c r="F391" s="16"/>
      <c r="G391" s="16"/>
      <c r="H391" s="16"/>
      <c r="I391" s="16"/>
      <c r="J391" s="16"/>
      <c r="K391" s="16"/>
      <c r="L391" s="16"/>
    </row>
    <row r="392" ht="15">
      <c r="A392" s="16" t="s">
        <v>2778</v>
      </c>
      <c r="B392" s="20" t="s">
        <v>2174</v>
      </c>
      <c r="C392" s="16" t="s">
        <v>2175</v>
      </c>
      <c r="D392" s="16" t="s">
        <v>902</v>
      </c>
      <c r="E392" s="16" t="str">
        <f>VLOOKUP(D392,fonds!$A$1:$B$495,2,FALSE())</f>
        <v>CZ-NA/AZK%7CHavel</v>
      </c>
      <c r="F392" s="16"/>
      <c r="G392" s="16"/>
      <c r="H392" s="16"/>
      <c r="I392" s="16"/>
      <c r="J392" s="16"/>
      <c r="K392" s="16"/>
      <c r="L392" s="16"/>
    </row>
    <row r="393" ht="15">
      <c r="A393" s="16" t="s">
        <v>2779</v>
      </c>
      <c r="B393" s="17" t="s">
        <v>2174</v>
      </c>
      <c r="C393" s="16" t="s">
        <v>2175</v>
      </c>
      <c r="D393" s="16" t="s">
        <v>906</v>
      </c>
      <c r="E393" s="16" t="str">
        <f>VLOOKUP(D393,fonds!$A$1:$B$495,2,FALSE())</f>
        <v>CZ-NA/AZK%7CSmichov</v>
      </c>
      <c r="F393" s="16"/>
      <c r="G393" s="16"/>
      <c r="H393" s="16"/>
      <c r="I393" s="16"/>
      <c r="J393" s="16"/>
      <c r="K393" s="16"/>
      <c r="L393" s="16"/>
    </row>
    <row r="394" ht="15">
      <c r="A394" s="16" t="s">
        <v>2780</v>
      </c>
      <c r="B394" s="20" t="s">
        <v>2174</v>
      </c>
      <c r="C394" s="16" t="s">
        <v>2175</v>
      </c>
      <c r="D394" s="16" t="s">
        <v>910</v>
      </c>
      <c r="E394" s="16" t="str">
        <f>VLOOKUP(D394,fonds!$A$1:$B$495,2,FALSE())</f>
        <v>CZ-NA/AZK%7CChotesov</v>
      </c>
      <c r="F394" s="16"/>
      <c r="G394" s="16"/>
      <c r="H394" s="16"/>
      <c r="I394" s="16"/>
      <c r="J394" s="16"/>
      <c r="K394" s="16"/>
      <c r="L394" s="16"/>
    </row>
    <row r="395" ht="15">
      <c r="A395" s="16" t="s">
        <v>2781</v>
      </c>
      <c r="B395" s="17" t="s">
        <v>2174</v>
      </c>
      <c r="C395" s="16" t="s">
        <v>2175</v>
      </c>
      <c r="D395" s="16" t="s">
        <v>914</v>
      </c>
      <c r="E395" s="16" t="str">
        <f>VLOOKUP(D395,fonds!$A$1:$B$495,2,FALSE())</f>
        <v>CZ-NA/AZK%7CPlasy</v>
      </c>
      <c r="F395" s="16"/>
      <c r="G395" s="16"/>
      <c r="H395" s="16"/>
      <c r="I395" s="16"/>
      <c r="J395" s="16"/>
      <c r="K395" s="16"/>
      <c r="L395" s="16"/>
    </row>
    <row r="396" ht="15">
      <c r="A396" s="16" t="s">
        <v>2782</v>
      </c>
      <c r="B396" s="20" t="s">
        <v>2174</v>
      </c>
      <c r="C396" s="16" t="s">
        <v>2175</v>
      </c>
      <c r="D396" s="16" t="s">
        <v>918</v>
      </c>
      <c r="E396" s="16" t="str">
        <f>VLOOKUP(D396,fonds!$A$1:$B$495,2,FALSE())</f>
        <v>CZ-NA/AZK%7CPohled</v>
      </c>
      <c r="F396" s="16"/>
      <c r="G396" s="16"/>
      <c r="H396" s="16"/>
      <c r="I396" s="16"/>
      <c r="J396" s="16"/>
      <c r="K396" s="16"/>
      <c r="L396" s="16"/>
    </row>
    <row r="397" ht="15">
      <c r="A397" s="16" t="s">
        <v>2174</v>
      </c>
      <c r="B397" s="16"/>
      <c r="C397" s="16" t="s">
        <v>2175</v>
      </c>
      <c r="D397" s="17" t="s">
        <v>922</v>
      </c>
      <c r="E397" s="16" t="str">
        <f>VLOOKUP(D397,fonds!$A$1:$B$495,2,FALSE())</f>
        <v>CZ-NA/AZK</v>
      </c>
      <c r="F397" s="16"/>
      <c r="G397" s="16"/>
      <c r="H397" s="16"/>
      <c r="I397" s="16"/>
      <c r="J397" s="16"/>
      <c r="K397" s="16"/>
      <c r="L397" s="16"/>
    </row>
    <row r="398" ht="15">
      <c r="A398" s="16" t="s">
        <v>2783</v>
      </c>
      <c r="B398" s="20" t="s">
        <v>2174</v>
      </c>
      <c r="C398" s="16" t="s">
        <v>2175</v>
      </c>
      <c r="D398" s="16" t="s">
        <v>930</v>
      </c>
      <c r="E398" s="16" t="str">
        <f>VLOOKUP(D398,fonds!$A$1:$B$495,2,FALSE())</f>
        <v>CZ-NA/AZK%7CSazava</v>
      </c>
      <c r="F398" s="16"/>
      <c r="G398" s="16"/>
      <c r="H398" s="16"/>
      <c r="I398" s="16"/>
      <c r="J398" s="16"/>
      <c r="K398" s="16"/>
      <c r="L398" s="16"/>
    </row>
    <row r="399" ht="15">
      <c r="A399" s="16" t="s">
        <v>2784</v>
      </c>
      <c r="B399" s="20" t="s">
        <v>2174</v>
      </c>
      <c r="C399" s="16" t="s">
        <v>2175</v>
      </c>
      <c r="D399" s="16" t="s">
        <v>938</v>
      </c>
      <c r="E399" s="16" t="str">
        <f>VLOOKUP(D399,fonds!$A$1:$B$495,2,FALSE())</f>
        <v>CZ-NA/AZK%7CAnezka</v>
      </c>
      <c r="F399" s="16"/>
      <c r="G399" s="16"/>
      <c r="H399" s="16"/>
      <c r="I399" s="16"/>
      <c r="J399" s="16"/>
      <c r="K399" s="16"/>
      <c r="L399" s="16"/>
    </row>
    <row r="400" ht="15">
      <c r="A400" s="16" t="s">
        <v>2785</v>
      </c>
      <c r="B400" s="17" t="s">
        <v>2174</v>
      </c>
      <c r="C400" s="16" t="s">
        <v>2175</v>
      </c>
      <c r="D400" s="16" t="s">
        <v>942</v>
      </c>
      <c r="E400" s="16" t="str">
        <f>VLOOKUP(D400,fonds!$A$1:$B$495,2,FALSE())</f>
        <v>CZ-NA/AZK%7CKaterina</v>
      </c>
      <c r="F400" s="16"/>
      <c r="G400" s="16"/>
      <c r="H400" s="16"/>
      <c r="I400" s="16"/>
      <c r="J400" s="16"/>
      <c r="K400" s="16"/>
      <c r="L400" s="16"/>
    </row>
    <row r="401" ht="15">
      <c r="A401" s="16" t="s">
        <v>2786</v>
      </c>
      <c r="B401" s="20" t="s">
        <v>2174</v>
      </c>
      <c r="C401" s="16" t="s">
        <v>2175</v>
      </c>
      <c r="D401" s="16" t="s">
        <v>946</v>
      </c>
      <c r="E401" s="16" t="str">
        <f>VLOOKUP(D401,fonds!$A$1:$B$495,2,FALSE())</f>
        <v>CZ-NA/AZK%7CCheb</v>
      </c>
      <c r="F401" s="16"/>
      <c r="G401" s="16"/>
      <c r="H401" s="16"/>
      <c r="I401" s="16"/>
      <c r="J401" s="16"/>
      <c r="K401" s="16"/>
      <c r="L401" s="16"/>
    </row>
    <row r="402" ht="15">
      <c r="A402" s="16" t="s">
        <v>2787</v>
      </c>
      <c r="B402" s="17" t="s">
        <v>2174</v>
      </c>
      <c r="C402" s="16" t="s">
        <v>2175</v>
      </c>
      <c r="D402" s="16" t="s">
        <v>958</v>
      </c>
      <c r="E402" s="16" t="str">
        <f>VLOOKUP(D402,fonds!$A$1:$B$495,2,FALSE())</f>
        <v>CZ-NA/AZK%7CDoksany</v>
      </c>
      <c r="F402" s="16"/>
      <c r="G402" s="16"/>
      <c r="H402" s="16"/>
      <c r="I402" s="16"/>
      <c r="J402" s="16"/>
      <c r="K402" s="16"/>
      <c r="L402" s="16"/>
    </row>
    <row r="403" ht="15">
      <c r="A403" s="16" t="s">
        <v>2788</v>
      </c>
      <c r="B403" s="16"/>
      <c r="C403" s="16" t="s">
        <v>2789</v>
      </c>
      <c r="D403" s="20" t="s">
        <v>962</v>
      </c>
      <c r="E403" s="16" t="str">
        <f>VLOOKUP(D403,fonds!$A$1:$B$495,2,FALSE())</f>
        <v>CZ-NA/RP</v>
      </c>
      <c r="F403" s="16"/>
      <c r="G403" s="16"/>
      <c r="H403" s="16"/>
      <c r="I403" s="16"/>
      <c r="J403" s="16"/>
      <c r="K403" s="16"/>
      <c r="L403" s="16"/>
    </row>
    <row r="404" ht="15">
      <c r="A404" s="16" t="s">
        <v>2790</v>
      </c>
      <c r="B404" s="20" t="s">
        <v>2174</v>
      </c>
      <c r="C404" s="16" t="s">
        <v>2175</v>
      </c>
      <c r="D404" s="16" t="s">
        <v>974</v>
      </c>
      <c r="E404" s="16" t="str">
        <f>VLOOKUP(D404,fonds!$A$1:$B$495,2,FALSE())</f>
        <v>CZ-NA/AZK%7CMikulas</v>
      </c>
      <c r="F404" s="16"/>
      <c r="G404" s="16"/>
      <c r="H404" s="16"/>
      <c r="I404" s="16"/>
      <c r="J404" s="16"/>
      <c r="K404" s="16"/>
      <c r="L404" s="16"/>
    </row>
    <row r="405" ht="15">
      <c r="A405" s="16" t="s">
        <v>989</v>
      </c>
      <c r="B405" s="16"/>
      <c r="C405" s="16"/>
      <c r="D405" s="17" t="s">
        <v>986</v>
      </c>
      <c r="E405" s="16" t="str">
        <f>VLOOKUP(D405,fonds!$A$1:$B$495,2,FALSE())</f>
        <v>CZ-SOAPraha/BALysa</v>
      </c>
      <c r="F405" s="16"/>
      <c r="G405" s="16"/>
      <c r="H405" s="16"/>
      <c r="I405" s="16"/>
      <c r="J405" s="16"/>
      <c r="K405" s="16"/>
      <c r="L405" s="16"/>
    </row>
    <row r="406" ht="15">
      <c r="A406" s="16" t="s">
        <v>993</v>
      </c>
      <c r="B406" s="16"/>
      <c r="C406" s="16"/>
      <c r="D406" s="20" t="s">
        <v>990</v>
      </c>
      <c r="E406" s="16" t="str">
        <f>VLOOKUP(D406,fonds!$A$1:$B$495,2,FALSE())</f>
        <v>CZ-SOAPraha/Vorsilky-KH</v>
      </c>
      <c r="F406" s="16"/>
      <c r="G406" s="16"/>
      <c r="H406" s="16"/>
      <c r="I406" s="16"/>
      <c r="J406" s="16"/>
      <c r="K406" s="16"/>
      <c r="L406" s="16"/>
    </row>
    <row r="407" ht="15">
      <c r="A407" s="16" t="s">
        <v>2791</v>
      </c>
      <c r="B407" s="16" t="s">
        <v>2713</v>
      </c>
      <c r="C407" s="16" t="s">
        <v>2792</v>
      </c>
      <c r="D407" s="17" t="s">
        <v>994</v>
      </c>
      <c r="E407" s="16" t="str">
        <f>VLOOKUP(D407,fonds!$A$1:$B$495,2,FALSE())</f>
        <v>CZ-SOAT/PremonstratiZeliv</v>
      </c>
      <c r="F407" s="16"/>
      <c r="G407" s="16"/>
      <c r="H407" s="16"/>
      <c r="I407" s="16"/>
      <c r="J407" s="16"/>
      <c r="K407" s="16"/>
      <c r="L407" s="16"/>
    </row>
    <row r="408" ht="15">
      <c r="A408" s="16" t="s">
        <v>2793</v>
      </c>
      <c r="B408" s="16"/>
      <c r="C408" s="16" t="s">
        <v>2794</v>
      </c>
      <c r="D408" s="20" t="s">
        <v>1002</v>
      </c>
      <c r="E408" s="16" t="str">
        <f>VLOOKUP(D408,fonds!$A$1:$B$495,2,FALSE())</f>
        <v>CZ-ZAO/RA-FULNEK</v>
      </c>
      <c r="F408" s="16"/>
      <c r="G408" s="16"/>
      <c r="H408" s="16"/>
      <c r="I408" s="16"/>
      <c r="J408" s="16"/>
      <c r="K408" s="16"/>
      <c r="L408" s="16"/>
    </row>
    <row r="409" ht="15">
      <c r="A409" s="16" t="s">
        <v>2795</v>
      </c>
      <c r="B409" s="16"/>
      <c r="C409" s="16" t="s">
        <v>2796</v>
      </c>
      <c r="D409" s="20" t="s">
        <v>2797</v>
      </c>
      <c r="E409" s="16" t="e">
        <f>VLOOKUP(D409,fonds!$A$1:$B$495,2,FALSE())</f>
        <v>#N/A</v>
      </c>
      <c r="F409" s="16"/>
      <c r="G409" s="16"/>
      <c r="H409" s="16"/>
      <c r="I409" s="16"/>
      <c r="J409" s="16"/>
      <c r="K409" s="16"/>
      <c r="L409" s="16"/>
    </row>
    <row r="410" ht="15">
      <c r="A410" s="16" t="s">
        <v>2798</v>
      </c>
      <c r="B410" s="16"/>
      <c r="C410" s="16" t="s">
        <v>2799</v>
      </c>
      <c r="D410" s="20" t="s">
        <v>1010</v>
      </c>
      <c r="E410" s="16" t="str">
        <f>VLOOKUP(D410,fonds!$A$1:$B$495,2,FALSE())</f>
        <v>CZ-ZAO/RM-KRNOV</v>
      </c>
      <c r="F410" s="16"/>
      <c r="G410" s="16"/>
      <c r="H410" s="16"/>
      <c r="I410" s="16"/>
      <c r="J410" s="16"/>
      <c r="K410" s="16"/>
      <c r="L410" s="16"/>
    </row>
    <row r="411" ht="15">
      <c r="A411" s="16" t="s">
        <v>2800</v>
      </c>
      <c r="B411" s="16"/>
      <c r="C411" s="16" t="s">
        <v>2801</v>
      </c>
      <c r="D411" s="17" t="s">
        <v>1014</v>
      </c>
      <c r="E411" s="16" t="str">
        <f>VLOOKUP(D411,fonds!$A$1:$B$495,2,FALSE())</f>
        <v>CZ-ZAO/RKL-OPAVA</v>
      </c>
      <c r="F411" s="16"/>
      <c r="G411" s="16"/>
      <c r="H411" s="16"/>
      <c r="I411" s="16"/>
      <c r="J411" s="16"/>
      <c r="K411" s="16"/>
      <c r="L411" s="16"/>
    </row>
    <row r="412" ht="15">
      <c r="A412" s="16" t="s">
        <v>2802</v>
      </c>
      <c r="B412" s="16"/>
      <c r="C412" s="16" t="s">
        <v>2803</v>
      </c>
      <c r="D412" s="20" t="s">
        <v>1018</v>
      </c>
      <c r="E412" s="16" t="str">
        <f>VLOOKUP(D412,fonds!$A$1:$B$495,2,FALSE())</f>
        <v>CZ-ZAO/RM-OPAVA</v>
      </c>
      <c r="F412" s="16"/>
      <c r="G412" s="16"/>
      <c r="H412" s="16"/>
      <c r="I412" s="16"/>
      <c r="J412" s="16"/>
      <c r="K412" s="16"/>
      <c r="L412" s="16"/>
    </row>
    <row r="413" ht="15">
      <c r="A413" s="16" t="s">
        <v>2804</v>
      </c>
      <c r="B413" s="16"/>
      <c r="C413" s="16" t="s">
        <v>2805</v>
      </c>
      <c r="D413" s="20" t="s">
        <v>1022</v>
      </c>
      <c r="E413" s="16" t="str">
        <f>VLOOKUP(D413,fonds!$A$1:$B$495,2,FALSE())</f>
        <v>CZ-ZAO/RK-FULNEK</v>
      </c>
      <c r="F413" s="16"/>
      <c r="G413" s="16"/>
      <c r="H413" s="16"/>
      <c r="I413" s="16"/>
      <c r="J413" s="16"/>
      <c r="K413" s="16"/>
      <c r="L413" s="16"/>
    </row>
    <row r="414" ht="15">
      <c r="A414" s="16" t="s">
        <v>1029</v>
      </c>
      <c r="B414" s="16"/>
      <c r="C414" s="16"/>
      <c r="D414" s="17" t="s">
        <v>1026</v>
      </c>
      <c r="E414" s="16" t="str">
        <f>VLOOKUP(D414,fonds!$A$1:$B$495,2,FALSE())</f>
        <v>DE-AEK/MiK</v>
      </c>
      <c r="F414" s="16"/>
      <c r="G414" s="16"/>
      <c r="H414" s="16"/>
      <c r="I414" s="16"/>
      <c r="J414" s="16"/>
      <c r="K414" s="16"/>
      <c r="L414" s="16"/>
    </row>
    <row r="415" ht="15">
      <c r="A415" s="16" t="s">
        <v>2806</v>
      </c>
      <c r="B415" s="16"/>
      <c r="C415" s="16"/>
      <c r="D415" s="20" t="s">
        <v>1030</v>
      </c>
      <c r="E415" s="16" t="str">
        <f>VLOOKUP(D415,fonds!$A$1:$B$495,2,FALSE())</f>
        <v>DE-BAH/StPauliundDominikaner</v>
      </c>
      <c r="F415" s="16"/>
      <c r="G415" s="16"/>
      <c r="H415" s="16"/>
      <c r="I415" s="16"/>
      <c r="J415" s="16"/>
      <c r="K415" s="16"/>
      <c r="L415" s="16"/>
    </row>
    <row r="416" ht="15">
      <c r="A416" s="16" t="s">
        <v>2807</v>
      </c>
      <c r="B416" s="16"/>
      <c r="C416" s="16"/>
      <c r="D416" s="20" t="s">
        <v>1038</v>
      </c>
      <c r="E416" s="16" t="str">
        <f>VLOOKUP(D416,fonds!$A$1:$B$495,2,FALSE())</f>
        <v>DE-BAH/KSSchuesselkorb</v>
      </c>
      <c r="F416" s="16"/>
      <c r="G416" s="16"/>
      <c r="H416" s="16"/>
      <c r="I416" s="16"/>
      <c r="J416" s="16"/>
      <c r="K416" s="16"/>
      <c r="L416" s="16"/>
    </row>
    <row r="417" ht="15">
      <c r="A417" s="16" t="s">
        <v>2808</v>
      </c>
      <c r="B417" s="16"/>
      <c r="C417" s="16" t="s">
        <v>2809</v>
      </c>
      <c r="D417" s="20" t="s">
        <v>1050</v>
      </c>
      <c r="E417" s="16" t="str">
        <f>VLOOKUP(D417,fonds!$A$1:$B$495,2,FALSE())</f>
        <v>DE-BayHStA/KUMuenchenAngerkloster</v>
      </c>
      <c r="F417" s="16"/>
      <c r="G417" s="16"/>
      <c r="H417" s="16"/>
      <c r="I417" s="16"/>
      <c r="J417" s="16"/>
      <c r="K417" s="16"/>
      <c r="L417" s="16"/>
    </row>
    <row r="418" ht="15">
      <c r="A418" s="16" t="s">
        <v>2810</v>
      </c>
      <c r="B418" s="16"/>
      <c r="C418" s="16" t="s">
        <v>2811</v>
      </c>
      <c r="D418" s="20" t="s">
        <v>1062</v>
      </c>
      <c r="E418" s="16" t="str">
        <f>VLOOKUP(D418,fonds!$A$1:$B$495,2,FALSE())</f>
        <v>DE-BayHStA/KUVilshofen</v>
      </c>
      <c r="F418" s="16"/>
      <c r="G418" s="16"/>
      <c r="H418" s="16"/>
      <c r="I418" s="16"/>
      <c r="J418" s="16"/>
      <c r="K418" s="16"/>
      <c r="L418" s="16"/>
    </row>
    <row r="419" ht="15">
      <c r="A419" s="16" t="s">
        <v>2812</v>
      </c>
      <c r="B419" s="16" t="s">
        <v>2030</v>
      </c>
      <c r="C419" s="16" t="s">
        <v>2813</v>
      </c>
      <c r="D419" s="20" t="s">
        <v>1066</v>
      </c>
      <c r="E419" s="16" t="str">
        <f>VLOOKUP(D419,fonds!$A$1:$B$495,2,FALSE())</f>
        <v>DE-BayHStA/KUFormbach</v>
      </c>
      <c r="F419" s="16"/>
      <c r="G419" s="16"/>
      <c r="H419" s="16"/>
      <c r="I419" s="16"/>
      <c r="J419" s="16"/>
      <c r="K419" s="16"/>
      <c r="L419" s="16"/>
    </row>
    <row r="420" ht="15">
      <c r="A420" s="16" t="s">
        <v>2814</v>
      </c>
      <c r="B420" s="16" t="s">
        <v>2030</v>
      </c>
      <c r="C420" s="16" t="s">
        <v>2815</v>
      </c>
      <c r="D420" s="17" t="s">
        <v>1078</v>
      </c>
      <c r="E420" s="16" t="str">
        <f>VLOOKUP(D420,fonds!$A$1:$B$495,2,FALSE())</f>
        <v>DE-BayHStA/KUPassauStNikola</v>
      </c>
      <c r="F420" s="16"/>
      <c r="G420" s="16"/>
      <c r="H420" s="16"/>
      <c r="I420" s="16"/>
      <c r="J420" s="16"/>
      <c r="K420" s="16"/>
      <c r="L420" s="16"/>
    </row>
    <row r="421" ht="15">
      <c r="A421" s="16" t="s">
        <v>2816</v>
      </c>
      <c r="B421" s="16" t="s">
        <v>2817</v>
      </c>
      <c r="C421" s="16" t="s">
        <v>2818</v>
      </c>
      <c r="D421" s="17" t="s">
        <v>1086</v>
      </c>
      <c r="E421" s="16" t="str">
        <f>VLOOKUP(D421,fonds!$A$1:$B$495,2,FALSE())</f>
        <v>DE-BayHStA/KUAltoettingChorstift</v>
      </c>
      <c r="F421" s="16"/>
      <c r="G421" s="16"/>
      <c r="H421" s="16"/>
      <c r="I421" s="16"/>
      <c r="J421" s="16"/>
      <c r="K421" s="16"/>
      <c r="L421" s="16"/>
    </row>
    <row r="422" ht="15">
      <c r="A422" s="16" t="s">
        <v>2819</v>
      </c>
      <c r="B422" s="16" t="s">
        <v>2820</v>
      </c>
      <c r="C422" s="16" t="s">
        <v>2821</v>
      </c>
      <c r="D422" s="20" t="s">
        <v>1118</v>
      </c>
      <c r="E422" s="16" t="str">
        <f>VLOOKUP(D422,fonds!$A$1:$B$495,2,FALSE())</f>
        <v>DE-BayHStA/KUNeuburgDonau</v>
      </c>
      <c r="F422" s="16"/>
      <c r="G422" s="16"/>
      <c r="H422" s="16"/>
      <c r="I422" s="16"/>
      <c r="J422" s="16"/>
      <c r="K422" s="16"/>
      <c r="L422" s="16"/>
    </row>
    <row r="423" ht="15">
      <c r="A423" s="16" t="s">
        <v>2822</v>
      </c>
      <c r="B423" s="16" t="s">
        <v>2030</v>
      </c>
      <c r="C423" s="16" t="s">
        <v>2823</v>
      </c>
      <c r="D423" s="17" t="s">
        <v>1134</v>
      </c>
      <c r="E423" s="16" t="str">
        <f>VLOOKUP(D423,fonds!$A$1:$B$495,2,FALSE())</f>
        <v>DE-BayHStA/KUPassauNiedernburg</v>
      </c>
      <c r="F423" s="16"/>
      <c r="G423" s="16"/>
      <c r="H423" s="16"/>
      <c r="I423" s="16"/>
      <c r="J423" s="16"/>
      <c r="K423" s="16"/>
      <c r="L423" s="16"/>
    </row>
    <row r="424" ht="15">
      <c r="A424" s="16" t="s">
        <v>2824</v>
      </c>
      <c r="B424" s="16" t="s">
        <v>2030</v>
      </c>
      <c r="C424" s="16" t="s">
        <v>2825</v>
      </c>
      <c r="D424" s="20" t="s">
        <v>1138</v>
      </c>
      <c r="E424" s="16" t="str">
        <f>VLOOKUP(D424,fonds!$A$1:$B$495,2,FALSE())</f>
        <v>DE-BayHStA/KUMuenchen-Puetrichhaus</v>
      </c>
      <c r="F424" s="16"/>
      <c r="G424" s="16"/>
      <c r="H424" s="16"/>
      <c r="I424" s="16"/>
      <c r="J424" s="16"/>
      <c r="K424" s="16"/>
      <c r="L424" s="16"/>
    </row>
    <row r="425" ht="15">
      <c r="A425" s="16" t="s">
        <v>2826</v>
      </c>
      <c r="B425" s="16" t="s">
        <v>2827</v>
      </c>
      <c r="D425" s="20" t="s">
        <v>1158</v>
      </c>
      <c r="E425" s="16" t="str">
        <f>VLOOKUP(D425,fonds!$A$1:$B$495,2,FALSE())</f>
        <v>DE-LHAKO/164</v>
      </c>
      <c r="F425" s="16"/>
      <c r="G425" s="16"/>
      <c r="H425" s="16"/>
      <c r="I425" s="16"/>
      <c r="J425" s="16"/>
      <c r="K425" s="16"/>
      <c r="L425" s="16"/>
    </row>
    <row r="426" ht="15">
      <c r="A426" s="16" t="s">
        <v>2828</v>
      </c>
      <c r="B426" s="16" t="s">
        <v>2829</v>
      </c>
      <c r="C426" s="16"/>
      <c r="D426" s="20" t="s">
        <v>1254</v>
      </c>
      <c r="E426" s="16" t="str">
        <f>VLOOKUP(D426,fonds!$A$1:$B$495,2,FALSE())</f>
        <v>DE-StALB/DOMergentheim2</v>
      </c>
      <c r="F426" s="16"/>
      <c r="G426" s="16"/>
      <c r="H426" s="16"/>
      <c r="I426" s="16"/>
      <c r="J426" s="16"/>
      <c r="K426" s="16"/>
      <c r="L426" s="16"/>
    </row>
    <row r="427" ht="15">
      <c r="A427" s="16" t="s">
        <v>2830</v>
      </c>
      <c r="B427" s="16" t="s">
        <v>2831</v>
      </c>
      <c r="C427" s="16"/>
      <c r="D427" s="20" t="s">
        <v>1286</v>
      </c>
      <c r="E427" s="16" t="str">
        <f>VLOOKUP(D427,fonds!$A$1:$B$495,2,FALSE())</f>
        <v>DE-StAW/StAlbanCan</v>
      </c>
      <c r="F427" s="16"/>
      <c r="G427" s="16"/>
      <c r="H427" s="16"/>
      <c r="I427" s="16"/>
      <c r="J427" s="16"/>
      <c r="K427" s="16"/>
      <c r="L427" s="16"/>
    </row>
    <row r="428" ht="15">
      <c r="A428" s="16" t="s">
        <v>2832</v>
      </c>
      <c r="B428" s="16" t="s">
        <v>2030</v>
      </c>
      <c r="C428" s="16"/>
      <c r="D428" s="17" t="s">
        <v>1306</v>
      </c>
      <c r="E428" s="16" t="str">
        <f>VLOOKUP(D428,fonds!$A$1:$B$495,2,FALSE())</f>
        <v>DE-UAHD/WeidasKloster</v>
      </c>
      <c r="F428" s="16"/>
      <c r="G428" s="16"/>
      <c r="H428" s="16"/>
      <c r="I428" s="16"/>
      <c r="J428" s="16"/>
      <c r="K428" s="16"/>
      <c r="L428" s="16"/>
    </row>
    <row r="429" ht="15">
      <c r="A429" s="16" t="s">
        <v>2833</v>
      </c>
      <c r="B429" s="16" t="s">
        <v>2066</v>
      </c>
      <c r="C429" s="16"/>
      <c r="D429" s="20" t="s">
        <v>1322</v>
      </c>
      <c r="E429" s="16" t="str">
        <f>VLOOKUP(D429,fonds!$A$1:$B$495,2,FALSE())</f>
        <v>ES-AHN/MonasterioSanSalvadordeLerez</v>
      </c>
      <c r="F429" s="16"/>
      <c r="G429" s="16"/>
      <c r="H429" s="16"/>
      <c r="I429" s="16"/>
      <c r="J429" s="16"/>
      <c r="K429" s="16"/>
      <c r="L429" s="16"/>
    </row>
    <row r="430" ht="15">
      <c r="A430" s="16" t="s">
        <v>2834</v>
      </c>
      <c r="B430" s="16" t="s">
        <v>2066</v>
      </c>
      <c r="C430" s="16" t="s">
        <v>2835</v>
      </c>
      <c r="D430" s="17" t="s">
        <v>1326</v>
      </c>
      <c r="E430" s="16" t="str">
        <f>VLOOKUP(D430,fonds!$A$1:$B$495,2,FALSE())</f>
        <v>ES-AHN/MonasterioSanSalvadorDeSobrado</v>
      </c>
      <c r="F430" s="16"/>
      <c r="G430" s="16"/>
      <c r="H430" s="16"/>
      <c r="I430" s="16"/>
      <c r="J430" s="16"/>
      <c r="K430" s="16"/>
      <c r="L430" s="16"/>
    </row>
    <row r="431" ht="15">
      <c r="A431" s="16" t="s">
        <v>2836</v>
      </c>
      <c r="B431" s="16" t="s">
        <v>2066</v>
      </c>
      <c r="C431" s="16"/>
      <c r="D431" s="20" t="s">
        <v>1330</v>
      </c>
      <c r="E431" s="16" t="str">
        <f>VLOOKUP(D431,fonds!$A$1:$B$495,2,FALSE())</f>
        <v>ES-AHN/MonasterioSantaMariadeXunqueira</v>
      </c>
      <c r="F431" s="16"/>
      <c r="G431" s="16"/>
      <c r="H431" s="16"/>
      <c r="I431" s="16"/>
      <c r="J431" s="16"/>
      <c r="K431" s="16"/>
      <c r="L431" s="16"/>
    </row>
    <row r="432" ht="15">
      <c r="A432" s="16" t="s">
        <v>2837</v>
      </c>
      <c r="B432" s="16" t="s">
        <v>2066</v>
      </c>
      <c r="C432" s="16"/>
      <c r="D432" s="17" t="s">
        <v>1334</v>
      </c>
      <c r="E432" s="16" t="str">
        <f>VLOOKUP(D432,fonds!$A$1:$B$495,2,FALSE())</f>
        <v>ES-AHN/MonasterioSanPedrodeVilanovadeDozon</v>
      </c>
      <c r="F432" s="16"/>
      <c r="G432" s="16"/>
      <c r="H432" s="16"/>
      <c r="I432" s="16"/>
      <c r="J432" s="16"/>
      <c r="K432" s="16"/>
      <c r="L432" s="16"/>
    </row>
    <row r="433" ht="15">
      <c r="A433" s="16" t="s">
        <v>2838</v>
      </c>
      <c r="B433" s="16" t="s">
        <v>2066</v>
      </c>
      <c r="C433" s="16"/>
      <c r="D433" s="20" t="s">
        <v>1338</v>
      </c>
      <c r="E433" s="16" t="str">
        <f>VLOOKUP(D433,fonds!$A$1:$B$495,2,FALSE())</f>
        <v>ES-AHN/MonasterioSantaMariadeOseira</v>
      </c>
      <c r="F433" s="16"/>
      <c r="G433" s="16"/>
      <c r="H433" s="16"/>
      <c r="I433" s="16"/>
      <c r="J433" s="16"/>
      <c r="K433" s="16"/>
      <c r="L433" s="16"/>
    </row>
    <row r="434" ht="15">
      <c r="A434" s="16" t="s">
        <v>2839</v>
      </c>
      <c r="B434" s="16" t="s">
        <v>2066</v>
      </c>
      <c r="C434" s="16"/>
      <c r="D434" s="17" t="s">
        <v>1342</v>
      </c>
      <c r="E434" s="16" t="str">
        <f>VLOOKUP(D434,fonds!$A$1:$B$495,2,FALSE())</f>
        <v>ES-AHN/MonasterioSantaMariaMelon</v>
      </c>
      <c r="F434" s="16"/>
      <c r="G434" s="16"/>
      <c r="H434" s="16"/>
      <c r="I434" s="16"/>
      <c r="J434" s="16"/>
      <c r="K434" s="16"/>
      <c r="L434" s="16"/>
    </row>
    <row r="435" ht="15">
      <c r="A435" s="16" t="s">
        <v>2840</v>
      </c>
      <c r="B435" s="16" t="s">
        <v>2066</v>
      </c>
      <c r="C435" s="16" t="s">
        <v>2841</v>
      </c>
      <c r="D435" s="20" t="s">
        <v>1346</v>
      </c>
      <c r="E435" s="16" t="str">
        <f>VLOOKUP(D435,fonds!$A$1:$B$495,2,FALSE())</f>
        <v>ES-AHN/SantaCombadeNaves</v>
      </c>
      <c r="F435" s="16"/>
      <c r="G435" s="16"/>
      <c r="H435" s="16"/>
      <c r="I435" s="16"/>
      <c r="J435" s="16"/>
      <c r="K435" s="16"/>
      <c r="L435" s="16"/>
    </row>
    <row r="436" ht="15">
      <c r="A436" s="16" t="s">
        <v>2842</v>
      </c>
      <c r="B436" s="16" t="s">
        <v>2066</v>
      </c>
      <c r="C436" s="16"/>
      <c r="D436" s="17" t="s">
        <v>1350</v>
      </c>
      <c r="E436" s="16" t="str">
        <f>VLOOKUP(D436,fonds!$A$1:$B$495,2,FALSE())</f>
        <v>ES-AHN/MonasterioSantoEstevo</v>
      </c>
      <c r="F436" s="16"/>
      <c r="G436" s="16"/>
      <c r="H436" s="16"/>
      <c r="I436" s="16"/>
      <c r="J436" s="16"/>
      <c r="K436" s="16"/>
      <c r="L436" s="16"/>
    </row>
    <row r="437" ht="15">
      <c r="A437" s="16" t="s">
        <v>2843</v>
      </c>
      <c r="B437" s="16" t="s">
        <v>2066</v>
      </c>
      <c r="C437" s="16"/>
      <c r="D437" s="20" t="s">
        <v>1354</v>
      </c>
      <c r="E437" s="16" t="str">
        <f>VLOOKUP(D437,fonds!$A$1:$B$495,2,FALSE())</f>
        <v>ES-AHN/MonasterioSantaMariaRibeira</v>
      </c>
      <c r="F437" s="16"/>
      <c r="G437" s="16"/>
      <c r="H437" s="16"/>
      <c r="I437" s="16"/>
      <c r="J437" s="16"/>
      <c r="K437" s="16"/>
      <c r="L437" s="16"/>
    </row>
    <row r="438" ht="15">
      <c r="A438" s="16" t="s">
        <v>2844</v>
      </c>
      <c r="B438" s="16" t="s">
        <v>2066</v>
      </c>
      <c r="C438" s="16"/>
      <c r="D438" s="17" t="s">
        <v>1358</v>
      </c>
      <c r="E438" s="16" t="str">
        <f>VLOOKUP(D438,fonds!$A$1:$B$495,2,FALSE())</f>
        <v>ES-AHN/MonasterioSantaMariaSanClodio</v>
      </c>
      <c r="F438" s="16"/>
      <c r="G438" s="16"/>
      <c r="H438" s="16"/>
      <c r="I438" s="16"/>
      <c r="J438" s="16"/>
      <c r="K438" s="16"/>
      <c r="L438" s="16"/>
    </row>
    <row r="439" ht="15">
      <c r="A439" s="16" t="s">
        <v>2845</v>
      </c>
      <c r="B439" s="16" t="s">
        <v>2066</v>
      </c>
      <c r="C439" s="16"/>
      <c r="D439" s="20" t="s">
        <v>1362</v>
      </c>
      <c r="E439" s="16" t="str">
        <f>VLOOKUP(D439,fonds!$A$1:$B$495,2,FALSE())</f>
        <v>ES-AHN/MonasterioSanPedroRocas</v>
      </c>
      <c r="F439" s="16"/>
      <c r="G439" s="16"/>
      <c r="H439" s="16"/>
      <c r="I439" s="16"/>
      <c r="J439" s="16"/>
      <c r="K439" s="16"/>
      <c r="L439" s="16"/>
    </row>
    <row r="440" ht="15">
      <c r="A440" s="16" t="s">
        <v>2846</v>
      </c>
      <c r="B440" s="16" t="s">
        <v>2066</v>
      </c>
      <c r="C440" s="16"/>
      <c r="D440" s="17" t="s">
        <v>1366</v>
      </c>
      <c r="E440" s="16" t="str">
        <f>VLOOKUP(D440,fonds!$A$1:$B$495,2,FALSE())</f>
        <v>ES-AHN/MonasterioSantaMariaMontederramo</v>
      </c>
      <c r="F440" s="16"/>
      <c r="G440" s="16"/>
      <c r="H440" s="16"/>
      <c r="I440" s="16"/>
      <c r="J440" s="16"/>
      <c r="K440" s="16"/>
      <c r="L440" s="16"/>
    </row>
    <row r="441" ht="15">
      <c r="A441" s="16" t="s">
        <v>2847</v>
      </c>
      <c r="B441" s="16" t="s">
        <v>2066</v>
      </c>
      <c r="C441" s="16"/>
      <c r="D441" s="20" t="s">
        <v>1370</v>
      </c>
      <c r="E441" s="16" t="str">
        <f>VLOOKUP(D441,fonds!$A$1:$B$495,2,FALSE())</f>
        <v>ES-AHN/MonasterioSanLorenzodeCarboeiro</v>
      </c>
      <c r="F441" s="16"/>
      <c r="G441" s="16"/>
      <c r="H441" s="16"/>
      <c r="I441" s="16"/>
      <c r="J441" s="16"/>
      <c r="K441" s="16"/>
      <c r="L441" s="16"/>
    </row>
    <row r="442" ht="15">
      <c r="A442" s="16" t="s">
        <v>2848</v>
      </c>
      <c r="B442" s="16" t="s">
        <v>2066</v>
      </c>
      <c r="C442" s="16"/>
      <c r="D442" s="17" t="s">
        <v>1374</v>
      </c>
      <c r="E442" s="16" t="str">
        <f>VLOOKUP(D442,fonds!$A$1:$B$495,2,FALSE())</f>
        <v>ES-AHN/MonasterioSanSalvadordeCelanova</v>
      </c>
      <c r="F442" s="16"/>
      <c r="G442" s="16"/>
      <c r="H442" s="16"/>
      <c r="I442" s="16"/>
      <c r="J442" s="16"/>
      <c r="K442" s="16"/>
      <c r="L442" s="16"/>
    </row>
    <row r="443" ht="15">
      <c r="A443" s="16" t="s">
        <v>1381</v>
      </c>
      <c r="B443" s="16"/>
      <c r="C443" s="16"/>
      <c r="D443" s="17" t="s">
        <v>1378</v>
      </c>
      <c r="E443" s="16" t="str">
        <f>VLOOKUP(D443,fonds!$A$1:$B$495,2,FALSE())</f>
        <v>HR-DAZD/336</v>
      </c>
      <c r="F443" s="16"/>
      <c r="G443" s="16"/>
      <c r="H443" s="16"/>
      <c r="I443" s="16"/>
      <c r="J443" s="16"/>
      <c r="K443" s="16"/>
      <c r="L443" s="16"/>
    </row>
    <row r="444" ht="15">
      <c r="A444" s="16" t="s">
        <v>1385</v>
      </c>
      <c r="B444" s="16"/>
      <c r="C444" s="16"/>
      <c r="D444" s="20" t="s">
        <v>1382</v>
      </c>
      <c r="E444" s="16" t="str">
        <f>VLOOKUP(D444,fonds!$A$1:$B$495,2,FALSE())</f>
        <v>HR-HDA/644</v>
      </c>
      <c r="F444" s="16"/>
      <c r="G444" s="16"/>
      <c r="H444" s="16"/>
      <c r="I444" s="16"/>
      <c r="J444" s="16"/>
      <c r="K444" s="16"/>
      <c r="L444" s="16"/>
    </row>
    <row r="445" ht="15">
      <c r="A445" s="16" t="s">
        <v>1389</v>
      </c>
      <c r="B445" s="16"/>
      <c r="C445" s="16"/>
      <c r="D445" s="20" t="s">
        <v>1386</v>
      </c>
      <c r="E445" s="16" t="str">
        <f>VLOOKUP(D445,fonds!$A$1:$B$495,2,FALSE())</f>
        <v>HR-HDA/654</v>
      </c>
      <c r="F445" s="16"/>
      <c r="G445" s="16"/>
      <c r="H445" s="16"/>
      <c r="I445" s="16"/>
      <c r="J445" s="16"/>
      <c r="K445" s="16"/>
      <c r="L445" s="16"/>
    </row>
    <row r="446" ht="15">
      <c r="A446" s="16" t="s">
        <v>2849</v>
      </c>
      <c r="B446" s="16"/>
      <c r="C446" s="16" t="s">
        <v>2850</v>
      </c>
      <c r="D446" s="20" t="s">
        <v>2851</v>
      </c>
      <c r="E446" s="16" t="e">
        <f>VLOOKUP(D446,fonds!$A$1:$B$495,2,FALSE())</f>
        <v>#N/A</v>
      </c>
      <c r="F446" s="16"/>
      <c r="G446" s="16"/>
      <c r="H446" s="16"/>
      <c r="I446" s="16"/>
      <c r="J446" s="16"/>
      <c r="K446" s="16"/>
      <c r="L446" s="16"/>
    </row>
    <row r="447" ht="15">
      <c r="A447" s="16" t="s">
        <v>2852</v>
      </c>
      <c r="B447" s="16"/>
      <c r="C447" s="16" t="s">
        <v>2853</v>
      </c>
      <c r="D447" s="17" t="s">
        <v>1390</v>
      </c>
      <c r="E447" s="16" t="str">
        <f>VLOOKUP(D447,fonds!$A$1:$B$495,2,FALSE())</f>
        <v>HU-MNL-DLINTI/SZEKKQ398</v>
      </c>
      <c r="F447" s="16"/>
      <c r="G447" s="16"/>
      <c r="H447" s="16"/>
      <c r="I447" s="16"/>
      <c r="J447" s="16"/>
      <c r="K447" s="16"/>
      <c r="L447" s="16"/>
    </row>
    <row r="448" ht="15">
      <c r="A448" s="16" t="s">
        <v>2854</v>
      </c>
      <c r="B448" s="16"/>
      <c r="C448" s="16" t="s">
        <v>2855</v>
      </c>
      <c r="D448" s="20" t="s">
        <v>1394</v>
      </c>
      <c r="E448" s="16" t="str">
        <f>VLOOKUP(D448,fonds!$A$1:$B$495,2,FALSE())</f>
        <v>HU-MNL-DLINTI/FERRQ5</v>
      </c>
      <c r="F448" s="16"/>
      <c r="G448" s="16"/>
      <c r="H448" s="16"/>
      <c r="I448" s="16"/>
      <c r="J448" s="16"/>
      <c r="K448" s="16"/>
      <c r="L448" s="16"/>
    </row>
    <row r="449" ht="15">
      <c r="A449" s="16" t="s">
        <v>2856</v>
      </c>
      <c r="B449" s="16" t="s">
        <v>2857</v>
      </c>
      <c r="C449" s="16"/>
      <c r="D449" s="17" t="s">
        <v>1422</v>
      </c>
      <c r="E449" s="16" t="str">
        <f>VLOOKUP(D449,fonds!$A$1:$B$495,2,FALSE())</f>
        <v>IT-ASBa/ASBa_SGiac-dipl</v>
      </c>
      <c r="F449" s="16"/>
      <c r="G449" s="16"/>
      <c r="H449" s="16"/>
      <c r="I449" s="16"/>
      <c r="J449" s="16"/>
      <c r="K449" s="16"/>
      <c r="L449" s="16"/>
    </row>
    <row r="450" ht="15">
      <c r="A450" s="16" t="s">
        <v>2858</v>
      </c>
      <c r="B450" s="16" t="s">
        <v>2859</v>
      </c>
      <c r="C450" s="16"/>
      <c r="D450" s="17" t="s">
        <v>1426</v>
      </c>
      <c r="E450" s="16" t="str">
        <f>VLOOKUP(D450,fonds!$A$1:$B$495,2,FALSE())</f>
        <v>IT-ASBa/ASBa_SGiac-strum</v>
      </c>
      <c r="F450" s="16"/>
      <c r="G450" s="16"/>
      <c r="H450" s="16"/>
      <c r="I450" s="16"/>
      <c r="J450" s="16"/>
      <c r="K450" s="16"/>
      <c r="L450" s="16"/>
    </row>
    <row r="451" ht="15">
      <c r="A451" s="16" t="s">
        <v>2860</v>
      </c>
      <c r="B451" s="16" t="s">
        <v>2131</v>
      </c>
      <c r="C451" s="16"/>
      <c r="D451" s="20" t="s">
        <v>1434</v>
      </c>
      <c r="E451" s="16" t="str">
        <f>VLOOKUP(D451,fonds!$A$1:$B$495,2,FALSE())</f>
        <v>IT-ASFi/DNBorgoSanSepolcroSanFrancesco</v>
      </c>
      <c r="F451" s="16"/>
      <c r="G451" s="16"/>
      <c r="H451" s="16"/>
      <c r="I451" s="16"/>
      <c r="J451" s="16"/>
      <c r="K451" s="16"/>
      <c r="L451" s="16"/>
    </row>
    <row r="452" ht="15">
      <c r="A452" s="16" t="s">
        <v>2861</v>
      </c>
      <c r="B452" s="16" t="s">
        <v>2862</v>
      </c>
      <c r="C452" s="16"/>
      <c r="D452" s="17" t="s">
        <v>1506</v>
      </c>
      <c r="E452" s="16" t="str">
        <f>VLOOKUP(D452,fonds!$A$1:$B$495,2,FALSE())</f>
        <v>IT-ASFi/DNSantaCroceValdarnoSCristiana</v>
      </c>
      <c r="F452" s="16"/>
      <c r="G452" s="16"/>
      <c r="H452" s="16"/>
      <c r="I452" s="16"/>
      <c r="J452" s="16"/>
      <c r="K452" s="16"/>
      <c r="L452" s="16"/>
    </row>
    <row r="453" ht="15">
      <c r="A453" s="16" t="s">
        <v>2863</v>
      </c>
      <c r="B453" s="16" t="s">
        <v>2864</v>
      </c>
      <c r="C453" s="16"/>
      <c r="D453" s="20" t="s">
        <v>1530</v>
      </c>
      <c r="E453" s="16" t="str">
        <f>VLOOKUP(D453,fonds!$A$1:$B$495,2,FALSE())</f>
        <v>IT-ASFi/DNGangalandiSMariaDelleSelve</v>
      </c>
      <c r="F453" s="16"/>
      <c r="G453" s="16"/>
      <c r="H453" s="16"/>
      <c r="I453" s="16"/>
      <c r="J453" s="16"/>
      <c r="K453" s="16"/>
      <c r="L453" s="16"/>
    </row>
    <row r="454" ht="15">
      <c r="A454" s="16" t="s">
        <v>2865</v>
      </c>
      <c r="B454" s="16" t="s">
        <v>2866</v>
      </c>
      <c r="C454" s="16"/>
      <c r="D454" s="20" t="s">
        <v>1642</v>
      </c>
      <c r="E454" s="16" t="str">
        <f>VLOOKUP(D454,fonds!$A$1:$B$495,2,FALSE())</f>
        <v>IT-ASFi/DNPianCastagnaioSBartolomeo</v>
      </c>
      <c r="F454" s="16"/>
      <c r="G454" s="16"/>
      <c r="H454" s="16"/>
      <c r="I454" s="16"/>
      <c r="J454" s="16"/>
      <c r="K454" s="16"/>
      <c r="L454" s="16"/>
    </row>
    <row r="455" ht="15">
      <c r="A455" s="16" t="s">
        <v>2867</v>
      </c>
      <c r="B455" s="16" t="s">
        <v>2868</v>
      </c>
      <c r="C455" s="16"/>
      <c r="D455" s="17" t="s">
        <v>1650</v>
      </c>
      <c r="E455" s="16" t="str">
        <f>VLOOKUP(D455,fonds!$A$1:$B$495,2,FALSE())</f>
        <v>IT-ASFi/DNCigoliPropositura</v>
      </c>
      <c r="F455" s="16"/>
      <c r="G455" s="16"/>
      <c r="H455" s="16"/>
      <c r="I455" s="16"/>
      <c r="J455" s="16"/>
      <c r="K455" s="16"/>
      <c r="L455" s="16"/>
    </row>
    <row r="456" ht="15">
      <c r="A456" s="16" t="s">
        <v>2869</v>
      </c>
      <c r="B456" s="16" t="s">
        <v>2870</v>
      </c>
      <c r="C456" s="16"/>
      <c r="D456" s="17" t="s">
        <v>1670</v>
      </c>
      <c r="E456" s="16" t="str">
        <f>VLOOKUP(D456,fonds!$A$1:$B$495,2,FALSE())</f>
        <v>IT-ASFi/DNMontughiSMarta</v>
      </c>
      <c r="F456" s="16"/>
      <c r="G456" s="16"/>
      <c r="H456" s="16"/>
      <c r="I456" s="16"/>
      <c r="J456" s="16"/>
      <c r="K456" s="16"/>
      <c r="L456" s="16"/>
    </row>
    <row r="457" ht="15">
      <c r="A457" s="16" t="s">
        <v>2871</v>
      </c>
      <c r="B457" s="16" t="s">
        <v>2872</v>
      </c>
      <c r="C457" s="16"/>
      <c r="D457" s="17" t="s">
        <v>1786</v>
      </c>
      <c r="E457" s="16" t="str">
        <f>VLOOKUP(D457,fonds!$A$1:$B$495,2,FALSE())</f>
        <v>IT-ASFi/DNMonteVarchiSLudovico</v>
      </c>
      <c r="F457" s="16"/>
      <c r="G457" s="16"/>
      <c r="H457" s="16"/>
      <c r="I457" s="16"/>
      <c r="J457" s="16"/>
      <c r="K457" s="16"/>
      <c r="L457" s="16"/>
    </row>
    <row r="458" ht="15">
      <c r="A458" s="16" t="s">
        <v>2873</v>
      </c>
      <c r="B458" s="16" t="s">
        <v>2874</v>
      </c>
      <c r="C458" s="16"/>
      <c r="D458" s="20" t="s">
        <v>1906</v>
      </c>
      <c r="E458" s="16" t="str">
        <f>VLOOKUP(D458,fonds!$A$1:$B$495,2,FALSE())</f>
        <v>IT-ASFi/DNBadiaArdenghesca</v>
      </c>
      <c r="F458" s="16"/>
      <c r="G458" s="16"/>
      <c r="H458" s="16"/>
      <c r="I458" s="16"/>
      <c r="J458" s="16"/>
      <c r="K458" s="16"/>
      <c r="L458" s="16"/>
    </row>
    <row r="459" ht="15">
      <c r="A459" s="16" t="s">
        <v>2875</v>
      </c>
      <c r="B459" s="16"/>
      <c r="C459" s="16" t="s">
        <v>2876</v>
      </c>
      <c r="D459" s="20" t="s">
        <v>1926</v>
      </c>
      <c r="E459" s="16" t="str">
        <f>VLOOKUP(D459,fonds!$A$1:$B$495,2,FALSE())</f>
        <v>IT-ASNA/SGA</v>
      </c>
      <c r="F459" s="16"/>
      <c r="G459" s="16"/>
      <c r="H459" s="16"/>
      <c r="I459" s="16"/>
      <c r="J459" s="16"/>
      <c r="K459" s="16"/>
      <c r="L459" s="16"/>
    </row>
    <row r="460" ht="15">
      <c r="A460" s="16" t="s">
        <v>2877</v>
      </c>
      <c r="B460" s="16"/>
      <c r="C460" s="16" t="s">
        <v>2878</v>
      </c>
      <c r="D460" s="17" t="s">
        <v>1930</v>
      </c>
      <c r="E460" s="16" t="str">
        <f>VLOOKUP(D460,fonds!$A$1:$B$495,2,FALSE())</f>
        <v>IT-ASNA/ASAg</v>
      </c>
      <c r="F460" s="16"/>
      <c r="G460" s="16"/>
      <c r="H460" s="16"/>
      <c r="I460" s="16"/>
      <c r="J460" s="16"/>
      <c r="K460" s="16"/>
      <c r="L460" s="16"/>
    </row>
    <row r="461" ht="15">
      <c r="A461" s="16" t="s">
        <v>2879</v>
      </c>
      <c r="B461" s="16"/>
      <c r="C461" s="16"/>
      <c r="D461" s="20" t="s">
        <v>1934</v>
      </c>
      <c r="E461" s="16" t="str">
        <f>VLOOKUP(D461,fonds!$A$1:$B$495,2,FALSE())</f>
        <v>IT-ASPz/APMM_PSFS</v>
      </c>
      <c r="F461" s="16"/>
      <c r="G461" s="16"/>
      <c r="H461" s="16"/>
      <c r="I461" s="16"/>
      <c r="J461" s="16"/>
      <c r="K461" s="16"/>
      <c r="L461" s="16"/>
    </row>
    <row r="462" ht="15">
      <c r="A462" s="16" t="s">
        <v>2880</v>
      </c>
      <c r="B462" s="16"/>
      <c r="C462" s="16"/>
      <c r="D462" s="17" t="s">
        <v>1938</v>
      </c>
      <c r="E462" s="16" t="str">
        <f>VLOOKUP(D462,fonds!$A$1:$B$495,2,FALSE())</f>
        <v>IT-ASPz/APMM_PSFB</v>
      </c>
      <c r="F462" s="16"/>
      <c r="G462" s="16"/>
      <c r="H462" s="16"/>
      <c r="I462" s="16"/>
      <c r="J462" s="16"/>
      <c r="K462" s="16"/>
      <c r="L462" s="16"/>
    </row>
    <row r="463" ht="15">
      <c r="A463" s="16" t="s">
        <v>2881</v>
      </c>
      <c r="B463" s="16"/>
      <c r="C463" s="16"/>
      <c r="D463" s="20" t="s">
        <v>1942</v>
      </c>
      <c r="E463" s="16" t="str">
        <f>VLOOKUP(D463,fonds!$A$1:$B$495,2,FALSE())</f>
        <v>IT-ASPz/APMM_PSMS</v>
      </c>
      <c r="F463" s="16"/>
      <c r="G463" s="16"/>
      <c r="H463" s="16"/>
      <c r="I463" s="16"/>
      <c r="J463" s="16"/>
      <c r="K463" s="16"/>
      <c r="L463" s="16"/>
    </row>
    <row r="464" ht="15">
      <c r="A464" s="16" t="s">
        <v>2882</v>
      </c>
      <c r="B464" s="16"/>
      <c r="C464" s="16" t="s">
        <v>2883</v>
      </c>
      <c r="D464" s="17" t="s">
        <v>1950</v>
      </c>
      <c r="E464" s="16" t="str">
        <f>VLOOKUP(D464,fonds!$A$1:$B$495,2,FALSE())</f>
        <v>IT-BSNSP/10-Napoli_Chiese_e_monasteri_diversi</v>
      </c>
      <c r="F464" s="16"/>
      <c r="G464" s="16"/>
      <c r="H464" s="16"/>
      <c r="I464" s="16"/>
      <c r="J464" s="16"/>
      <c r="K464" s="16"/>
      <c r="L464" s="16"/>
    </row>
    <row r="465" ht="15">
      <c r="A465" s="16" t="s">
        <v>2884</v>
      </c>
      <c r="B465" s="16" t="s">
        <v>2885</v>
      </c>
      <c r="C465" s="16"/>
      <c r="D465" s="17" t="s">
        <v>1958</v>
      </c>
      <c r="E465" s="16" t="str">
        <f>VLOOKUP(D465,fonds!$A$1:$B$495,2,FALSE())</f>
        <v>IT-BSNSP/16-Napoli_monasteri_di_S_Gregorio_S_Arcangelo_a_Baiano_e_S_Martino</v>
      </c>
      <c r="F465" s="16"/>
      <c r="G465" s="16"/>
      <c r="H465" s="16"/>
      <c r="I465" s="16"/>
      <c r="J465" s="16"/>
      <c r="K465" s="16"/>
      <c r="L465" s="16"/>
    </row>
    <row r="466" ht="15">
      <c r="A466" s="16" t="s">
        <v>2886</v>
      </c>
      <c r="B466" s="16"/>
      <c r="C466" s="16" t="s">
        <v>2887</v>
      </c>
      <c r="D466" s="17" t="s">
        <v>1962</v>
      </c>
      <c r="E466" s="16" t="str">
        <f>VLOOKUP(D466,fonds!$A$1:$B$495,2,FALSE())</f>
        <v>IT-BSNSP/12-Monasteri_diversi</v>
      </c>
      <c r="F466" s="16"/>
      <c r="G466" s="16"/>
      <c r="H466" s="16"/>
      <c r="I466" s="16"/>
      <c r="J466" s="16"/>
      <c r="K466" s="16"/>
      <c r="L466" s="16"/>
    </row>
    <row r="467" ht="15">
      <c r="A467" s="16" t="s">
        <v>1973</v>
      </c>
      <c r="B467" s="16"/>
      <c r="C467" s="16"/>
      <c r="D467" s="20" t="s">
        <v>1970</v>
      </c>
      <c r="E467" s="16" t="str">
        <f>VLOOKUP(D467,fonds!$A$1:$B$495,2,FALSE())</f>
        <v>SK-AMB/437</v>
      </c>
      <c r="F467" s="16"/>
      <c r="G467" s="16"/>
      <c r="H467" s="16"/>
      <c r="I467" s="16"/>
      <c r="J467" s="16"/>
      <c r="K467" s="16"/>
      <c r="L467" s="16"/>
    </row>
    <row r="468" ht="15">
      <c r="A468" s="16" t="s">
        <v>1977</v>
      </c>
      <c r="B468" s="16"/>
      <c r="C468" s="16"/>
      <c r="D468" s="20" t="s">
        <v>1974</v>
      </c>
      <c r="E468" s="16" t="str">
        <f>VLOOKUP(D468,fonds!$A$1:$B$495,2,FALSE())</f>
        <v>SK-SNA/4153-KonventPremonstratovVJasove</v>
      </c>
      <c r="F468" s="16"/>
      <c r="G468" s="16"/>
      <c r="H468" s="16"/>
      <c r="I468" s="16"/>
      <c r="J468" s="16"/>
      <c r="K468" s="16"/>
      <c r="L468" s="16"/>
    </row>
    <row r="469" ht="15">
      <c r="A469" s="16" t="s">
        <v>1981</v>
      </c>
      <c r="B469" s="16"/>
      <c r="C469" s="16"/>
      <c r="D469" s="17" t="s">
        <v>1978</v>
      </c>
      <c r="E469" s="16" t="str">
        <f>VLOOKUP(D469,fonds!$A$1:$B$495,2,FALSE())</f>
        <v>SK-SNA/4155-KonventPremonstratovVoVelKomVaradine</v>
      </c>
      <c r="F469" s="16"/>
      <c r="G469" s="16"/>
      <c r="H469" s="16"/>
      <c r="I469" s="16"/>
      <c r="J469" s="16"/>
      <c r="K469" s="16"/>
      <c r="L469" s="16"/>
    </row>
  </sheetData>
  <autoFilter ref="A1:L469">
    <sortState ref="A2:L469">
      <sortCondition ref="A2:A469"/>
    </sortState>
  </autoFilter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4.4296875" defaultRowHeight="15" customHeight="1"/>
  <sheetData/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1" ySplit="1" topLeftCell="B2" activePane="bottomRight" state="frozen"/>
      <selection activeCell="B2" activeCellId="0" sqref="B2"/>
    </sheetView>
  </sheetViews>
  <sheetFormatPr defaultColWidth="14.4296875" defaultRowHeight="15" customHeight="1"/>
  <cols>
    <col customWidth="1" min="1" max="1" style="1" width="54.289999999999999"/>
    <col customWidth="1" min="2" max="2" style="1" width="19"/>
    <col customWidth="1" min="3" max="3" style="1" width="5.1399999999999997"/>
    <col customWidth="1" min="4" max="33" style="1" width="6.29"/>
    <col customWidth="1" min="34" max="43" style="1" width="7.5700000000000003"/>
    <col customWidth="1" min="44" max="44" style="1" width="7.4299999999999997"/>
    <col customWidth="1" min="45" max="45" style="1" width="7.29"/>
    <col customWidth="1" min="46" max="53" style="1" width="7.4299999999999997"/>
    <col customWidth="1" min="54" max="136" style="1" width="7.5700000000000003"/>
    <col customWidth="1" min="137" max="137" style="1" width="8.7100000000000009"/>
    <col customWidth="1" min="138" max="142" style="1" width="5.8600000000000003"/>
  </cols>
  <sheetData>
    <row r="1" ht="15">
      <c r="A1" s="31" t="s">
        <v>1</v>
      </c>
      <c r="B1" s="32" t="s">
        <v>2888</v>
      </c>
      <c r="C1" s="33">
        <v>0</v>
      </c>
      <c r="D1" s="33">
        <v>16</v>
      </c>
      <c r="E1" s="10">
        <v>18</v>
      </c>
      <c r="F1" s="33">
        <v>47</v>
      </c>
      <c r="G1" s="10">
        <v>50</v>
      </c>
      <c r="H1" s="10">
        <v>64</v>
      </c>
      <c r="I1" s="33">
        <v>75</v>
      </c>
      <c r="J1" s="33">
        <v>76</v>
      </c>
      <c r="K1" s="33">
        <v>77</v>
      </c>
      <c r="L1" s="33">
        <v>78</v>
      </c>
      <c r="M1" s="33">
        <v>79</v>
      </c>
      <c r="N1" s="33">
        <v>80</v>
      </c>
      <c r="O1" s="33">
        <v>81</v>
      </c>
      <c r="P1" s="33">
        <v>82</v>
      </c>
      <c r="Q1" s="33">
        <v>83</v>
      </c>
      <c r="R1" s="33">
        <v>84</v>
      </c>
      <c r="S1" s="33">
        <v>85</v>
      </c>
      <c r="T1" s="33">
        <v>86</v>
      </c>
      <c r="U1" s="33">
        <v>87</v>
      </c>
      <c r="V1" s="33">
        <v>88</v>
      </c>
      <c r="W1" s="33">
        <v>89</v>
      </c>
      <c r="X1" s="33">
        <v>90</v>
      </c>
      <c r="Y1" s="33">
        <v>91</v>
      </c>
      <c r="Z1" s="33">
        <v>92</v>
      </c>
      <c r="AA1" s="33">
        <v>93</v>
      </c>
      <c r="AB1" s="33">
        <v>94</v>
      </c>
      <c r="AC1" s="33">
        <v>95</v>
      </c>
      <c r="AD1" s="33">
        <v>96</v>
      </c>
      <c r="AE1" s="33">
        <v>97</v>
      </c>
      <c r="AF1" s="33">
        <v>98</v>
      </c>
      <c r="AG1" s="33">
        <v>99</v>
      </c>
      <c r="AH1" s="33">
        <v>100</v>
      </c>
      <c r="AI1" s="33">
        <v>101</v>
      </c>
      <c r="AJ1" s="33">
        <v>102</v>
      </c>
      <c r="AK1" s="33">
        <v>103</v>
      </c>
      <c r="AL1" s="33">
        <v>104</v>
      </c>
      <c r="AM1" s="33">
        <v>105</v>
      </c>
      <c r="AN1" s="33">
        <v>106</v>
      </c>
      <c r="AO1" s="33">
        <v>107</v>
      </c>
      <c r="AP1" s="33">
        <v>108</v>
      </c>
      <c r="AQ1" s="33">
        <v>109</v>
      </c>
      <c r="AR1" s="33">
        <v>110</v>
      </c>
      <c r="AS1" s="33">
        <v>111</v>
      </c>
      <c r="AT1" s="33">
        <v>112</v>
      </c>
      <c r="AU1" s="33">
        <v>113</v>
      </c>
      <c r="AV1" s="33">
        <v>114</v>
      </c>
      <c r="AW1" s="33">
        <v>115</v>
      </c>
      <c r="AX1" s="33">
        <v>116</v>
      </c>
      <c r="AY1" s="33">
        <v>117</v>
      </c>
      <c r="AZ1" s="33">
        <v>118</v>
      </c>
      <c r="BA1" s="33">
        <v>119</v>
      </c>
      <c r="BB1" s="33">
        <v>120</v>
      </c>
      <c r="BC1" s="33">
        <v>121</v>
      </c>
      <c r="BD1" s="33">
        <v>122</v>
      </c>
      <c r="BE1" s="33">
        <v>123</v>
      </c>
      <c r="BF1" s="33">
        <v>124</v>
      </c>
      <c r="BG1" s="33">
        <v>125</v>
      </c>
      <c r="BH1" s="33">
        <v>126</v>
      </c>
      <c r="BI1" s="33">
        <v>127</v>
      </c>
      <c r="BJ1" s="33">
        <v>128</v>
      </c>
      <c r="BK1" s="33">
        <v>129</v>
      </c>
      <c r="BL1" s="33">
        <v>130</v>
      </c>
      <c r="BM1" s="33">
        <v>131</v>
      </c>
      <c r="BN1" s="33">
        <v>132</v>
      </c>
      <c r="BO1" s="33">
        <v>133</v>
      </c>
      <c r="BP1" s="33">
        <v>134</v>
      </c>
      <c r="BQ1" s="33">
        <v>135</v>
      </c>
      <c r="BR1" s="33">
        <v>136</v>
      </c>
      <c r="BS1" s="33">
        <v>137</v>
      </c>
      <c r="BT1" s="33">
        <v>138</v>
      </c>
      <c r="BU1" s="33">
        <v>139</v>
      </c>
      <c r="BV1" s="33">
        <v>140</v>
      </c>
      <c r="BW1" s="33">
        <v>141</v>
      </c>
      <c r="BX1" s="33">
        <v>142</v>
      </c>
      <c r="BY1" s="33">
        <v>143</v>
      </c>
      <c r="BZ1" s="33">
        <v>144</v>
      </c>
      <c r="CA1" s="33">
        <v>145</v>
      </c>
      <c r="CB1" s="33">
        <v>146</v>
      </c>
      <c r="CC1" s="33">
        <v>147</v>
      </c>
      <c r="CD1" s="33">
        <v>148</v>
      </c>
      <c r="CE1" s="33">
        <v>149</v>
      </c>
      <c r="CF1" s="33">
        <v>150</v>
      </c>
      <c r="CG1" s="33">
        <v>151</v>
      </c>
      <c r="CH1" s="33">
        <v>152</v>
      </c>
      <c r="CI1" s="33">
        <v>153</v>
      </c>
      <c r="CJ1" s="33">
        <v>154</v>
      </c>
      <c r="CK1" s="33">
        <v>155</v>
      </c>
      <c r="CL1" s="33">
        <v>156</v>
      </c>
      <c r="CM1" s="33">
        <v>157</v>
      </c>
      <c r="CN1" s="33">
        <v>158</v>
      </c>
      <c r="CO1" s="33">
        <v>159</v>
      </c>
      <c r="CP1" s="33">
        <v>160</v>
      </c>
      <c r="CQ1" s="33">
        <v>161</v>
      </c>
      <c r="CR1" s="33">
        <v>162</v>
      </c>
      <c r="CS1" s="33">
        <v>163</v>
      </c>
      <c r="CT1" s="33">
        <v>164</v>
      </c>
      <c r="CU1" s="33">
        <v>165</v>
      </c>
      <c r="CV1" s="33">
        <v>166</v>
      </c>
      <c r="CW1" s="33">
        <v>167</v>
      </c>
      <c r="CX1" s="33">
        <v>168</v>
      </c>
      <c r="CY1" s="33">
        <v>169</v>
      </c>
      <c r="CZ1" s="33">
        <v>170</v>
      </c>
      <c r="DA1" s="33">
        <v>171</v>
      </c>
      <c r="DB1" s="33">
        <v>172</v>
      </c>
      <c r="DC1" s="33">
        <v>173</v>
      </c>
      <c r="DD1" s="33">
        <v>174</v>
      </c>
      <c r="DE1" s="33">
        <v>175</v>
      </c>
      <c r="DF1" s="33">
        <v>176</v>
      </c>
      <c r="DG1" s="33">
        <v>177</v>
      </c>
      <c r="DH1" s="33">
        <v>178</v>
      </c>
      <c r="DI1" s="33">
        <v>179</v>
      </c>
      <c r="DJ1" s="33">
        <v>180</v>
      </c>
      <c r="DK1" s="33">
        <v>181</v>
      </c>
      <c r="DL1" s="33">
        <v>182</v>
      </c>
      <c r="DM1" s="33">
        <v>183</v>
      </c>
      <c r="DN1" s="33">
        <v>184</v>
      </c>
      <c r="DO1" s="33">
        <v>185</v>
      </c>
      <c r="DP1" s="33">
        <v>186</v>
      </c>
      <c r="DQ1" s="33">
        <v>187</v>
      </c>
      <c r="DR1" s="33">
        <v>188</v>
      </c>
      <c r="DS1" s="33">
        <v>189</v>
      </c>
      <c r="DT1" s="33">
        <v>190</v>
      </c>
      <c r="DU1" s="33">
        <v>191</v>
      </c>
      <c r="DV1" s="33">
        <v>192</v>
      </c>
      <c r="DW1" s="33">
        <v>193</v>
      </c>
      <c r="DX1" s="33">
        <v>194</v>
      </c>
      <c r="DY1" s="33">
        <v>195</v>
      </c>
      <c r="DZ1" s="33">
        <v>196</v>
      </c>
      <c r="EA1" s="33">
        <v>197</v>
      </c>
      <c r="EB1" s="33">
        <v>198</v>
      </c>
      <c r="EC1" s="33">
        <v>199</v>
      </c>
      <c r="ED1" s="10">
        <v>200</v>
      </c>
      <c r="EE1" s="10">
        <v>201</v>
      </c>
      <c r="EF1" s="33">
        <v>241</v>
      </c>
      <c r="EG1" s="33">
        <v>1000</v>
      </c>
      <c r="EH1" s="33"/>
      <c r="EI1" s="33"/>
      <c r="EJ1" s="33"/>
      <c r="EK1" s="33"/>
      <c r="EL1" s="33"/>
    </row>
    <row r="2" ht="15">
      <c r="A2" s="6" t="s">
        <v>9</v>
      </c>
      <c r="B2" s="6">
        <f t="shared" ref="B2:B9" si="65">SUM(C2:CF2)</f>
        <v>108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10">
        <v>1</v>
      </c>
      <c r="BF2" s="10">
        <v>4</v>
      </c>
      <c r="BG2" s="10">
        <v>7</v>
      </c>
      <c r="BH2" s="10">
        <v>7</v>
      </c>
      <c r="BI2" s="10">
        <v>3</v>
      </c>
      <c r="BJ2" s="10">
        <v>3</v>
      </c>
      <c r="BK2" s="10">
        <v>3</v>
      </c>
      <c r="BL2" s="10">
        <v>3</v>
      </c>
      <c r="BM2" s="10">
        <v>2</v>
      </c>
      <c r="BN2" s="10">
        <v>5</v>
      </c>
      <c r="BO2" s="6"/>
      <c r="BP2" s="10">
        <v>1</v>
      </c>
      <c r="BQ2" s="10">
        <v>1</v>
      </c>
      <c r="BR2" s="10">
        <v>3</v>
      </c>
      <c r="BS2" s="10">
        <v>2</v>
      </c>
      <c r="BT2" s="10">
        <v>5</v>
      </c>
      <c r="BU2" s="10">
        <v>3</v>
      </c>
      <c r="BV2" s="10">
        <v>2</v>
      </c>
      <c r="BW2" s="10">
        <v>6</v>
      </c>
      <c r="BX2" s="10">
        <v>1</v>
      </c>
      <c r="BY2" s="10">
        <v>1</v>
      </c>
      <c r="BZ2" s="10">
        <v>6</v>
      </c>
      <c r="CA2" s="10">
        <v>6</v>
      </c>
      <c r="CB2" s="10">
        <v>6</v>
      </c>
      <c r="CC2" s="10">
        <v>10</v>
      </c>
      <c r="CD2" s="10">
        <v>7</v>
      </c>
      <c r="CE2" s="10">
        <v>3</v>
      </c>
      <c r="CF2" s="10">
        <v>7</v>
      </c>
      <c r="CG2" s="10">
        <v>12</v>
      </c>
      <c r="CH2" s="10">
        <v>14</v>
      </c>
      <c r="CI2" s="10">
        <v>6</v>
      </c>
      <c r="CJ2" s="10">
        <v>4</v>
      </c>
      <c r="CK2" s="6"/>
      <c r="CL2" s="10">
        <v>1</v>
      </c>
      <c r="CM2" s="10">
        <v>3</v>
      </c>
      <c r="CN2" s="10">
        <v>12</v>
      </c>
      <c r="CO2" s="10">
        <v>2</v>
      </c>
      <c r="CP2" s="10">
        <v>2</v>
      </c>
      <c r="CQ2" s="10">
        <v>9</v>
      </c>
      <c r="CR2" s="10">
        <v>13</v>
      </c>
      <c r="CS2" s="10">
        <v>25</v>
      </c>
      <c r="CT2" s="10">
        <v>25</v>
      </c>
      <c r="CU2" s="10">
        <v>8</v>
      </c>
      <c r="CV2" s="10">
        <v>5</v>
      </c>
      <c r="CW2" s="10">
        <v>5</v>
      </c>
      <c r="CX2" s="10">
        <v>7</v>
      </c>
      <c r="CY2" s="10">
        <v>23</v>
      </c>
      <c r="CZ2" s="10">
        <v>39</v>
      </c>
      <c r="DA2" s="10">
        <v>16</v>
      </c>
      <c r="DB2" s="10">
        <v>16</v>
      </c>
      <c r="DC2" s="10">
        <v>24</v>
      </c>
      <c r="DD2" s="10">
        <v>20</v>
      </c>
      <c r="DE2" s="10">
        <v>14</v>
      </c>
      <c r="DF2" s="10">
        <v>6</v>
      </c>
      <c r="DG2" s="10">
        <v>6</v>
      </c>
      <c r="DH2" s="10">
        <v>1</v>
      </c>
      <c r="DI2" s="10">
        <v>3</v>
      </c>
      <c r="DJ2" s="10">
        <v>5</v>
      </c>
      <c r="DK2" s="10">
        <v>2</v>
      </c>
      <c r="DL2" s="10">
        <v>4</v>
      </c>
      <c r="DM2" s="10">
        <v>2</v>
      </c>
      <c r="DN2" s="10">
        <v>2</v>
      </c>
      <c r="DO2" s="6"/>
      <c r="DP2" s="6"/>
      <c r="DQ2" s="10">
        <v>1</v>
      </c>
      <c r="DR2" s="10">
        <v>1</v>
      </c>
      <c r="DS2" s="6"/>
      <c r="DT2" s="10">
        <v>5</v>
      </c>
      <c r="DU2" s="6"/>
      <c r="DV2" s="6"/>
      <c r="DW2" s="6"/>
      <c r="DX2" s="10">
        <v>1</v>
      </c>
      <c r="DY2" s="10">
        <v>1</v>
      </c>
      <c r="DZ2" s="10">
        <v>1</v>
      </c>
      <c r="EA2" s="10">
        <v>1</v>
      </c>
      <c r="EB2" s="6"/>
      <c r="EC2" s="6"/>
      <c r="ED2" s="6"/>
      <c r="EE2" s="6"/>
      <c r="EF2" s="6"/>
      <c r="EG2" s="10">
        <v>6</v>
      </c>
      <c r="EH2" s="10"/>
      <c r="EI2" s="10"/>
      <c r="EJ2" s="10"/>
      <c r="EK2" s="10"/>
      <c r="EL2" s="10"/>
    </row>
    <row r="3" ht="15">
      <c r="A3" s="6" t="s">
        <v>13</v>
      </c>
      <c r="B3" s="6">
        <f t="shared" si="65"/>
        <v>70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10">
        <v>2</v>
      </c>
      <c r="BG3" s="10">
        <v>5</v>
      </c>
      <c r="BH3" s="10">
        <v>15</v>
      </c>
      <c r="BI3" s="10">
        <v>1</v>
      </c>
      <c r="BJ3" s="10">
        <v>17</v>
      </c>
      <c r="BK3" s="10">
        <v>1</v>
      </c>
      <c r="BL3" s="10">
        <v>2</v>
      </c>
      <c r="BM3" s="6"/>
      <c r="BN3" s="10">
        <v>3</v>
      </c>
      <c r="BO3" s="10">
        <v>3</v>
      </c>
      <c r="BP3" s="10">
        <v>3</v>
      </c>
      <c r="BQ3" s="10">
        <v>3</v>
      </c>
      <c r="BR3" s="6"/>
      <c r="BS3" s="10">
        <v>1</v>
      </c>
      <c r="BT3" s="10">
        <v>3</v>
      </c>
      <c r="BU3" s="10">
        <v>1</v>
      </c>
      <c r="BV3" s="10">
        <v>1</v>
      </c>
      <c r="BW3" s="10">
        <v>1</v>
      </c>
      <c r="BX3" s="10">
        <v>1</v>
      </c>
      <c r="BY3" s="10">
        <v>1</v>
      </c>
      <c r="BZ3" s="10">
        <v>1</v>
      </c>
      <c r="CA3" s="10">
        <v>2</v>
      </c>
      <c r="CB3" s="6"/>
      <c r="CC3" s="6"/>
      <c r="CD3" s="10">
        <v>1</v>
      </c>
      <c r="CE3" s="6"/>
      <c r="CF3" s="10">
        <v>2</v>
      </c>
      <c r="CG3" s="10">
        <v>3</v>
      </c>
      <c r="CH3" s="10">
        <v>4</v>
      </c>
      <c r="CI3" s="10">
        <v>2</v>
      </c>
      <c r="CJ3" s="10">
        <v>3</v>
      </c>
      <c r="CK3" s="10">
        <v>2</v>
      </c>
      <c r="CL3" s="6"/>
      <c r="CM3" s="10">
        <v>4</v>
      </c>
      <c r="CN3" s="10">
        <v>1</v>
      </c>
      <c r="CO3" s="10">
        <v>1</v>
      </c>
      <c r="CP3" s="10">
        <v>1</v>
      </c>
      <c r="CQ3" s="10">
        <v>6</v>
      </c>
      <c r="CR3" s="10">
        <v>4</v>
      </c>
      <c r="CS3" s="10">
        <v>1</v>
      </c>
      <c r="CT3" s="10">
        <v>5</v>
      </c>
      <c r="CU3" s="10">
        <v>6</v>
      </c>
      <c r="CV3" s="10">
        <v>3</v>
      </c>
      <c r="CW3" s="10">
        <v>8</v>
      </c>
      <c r="CX3" s="6"/>
      <c r="CY3" s="10">
        <v>3</v>
      </c>
      <c r="CZ3" s="10">
        <v>3</v>
      </c>
      <c r="DA3" s="10">
        <v>14</v>
      </c>
      <c r="DB3" s="10">
        <v>26</v>
      </c>
      <c r="DC3" s="10">
        <v>20</v>
      </c>
      <c r="DD3" s="10">
        <v>10</v>
      </c>
      <c r="DE3" s="10">
        <v>6</v>
      </c>
      <c r="DF3" s="10">
        <v>8</v>
      </c>
      <c r="DG3" s="10">
        <v>1</v>
      </c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</row>
    <row r="4" ht="15">
      <c r="A4" s="6" t="s">
        <v>17</v>
      </c>
      <c r="B4" s="6">
        <f t="shared" si="65"/>
        <v>22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0">
        <v>2</v>
      </c>
      <c r="BT4" s="6"/>
      <c r="BU4" s="10">
        <v>1</v>
      </c>
      <c r="BV4" s="10">
        <v>1</v>
      </c>
      <c r="BW4" s="10">
        <v>1</v>
      </c>
      <c r="BX4" s="10">
        <v>1</v>
      </c>
      <c r="BY4" s="10">
        <v>2</v>
      </c>
      <c r="BZ4" s="10">
        <v>1</v>
      </c>
      <c r="CA4" s="10">
        <v>3</v>
      </c>
      <c r="CB4" s="10">
        <v>2</v>
      </c>
      <c r="CC4" s="6"/>
      <c r="CD4" s="10">
        <v>2</v>
      </c>
      <c r="CE4" s="10">
        <v>1</v>
      </c>
      <c r="CF4" s="10">
        <v>5</v>
      </c>
      <c r="CG4" s="10">
        <v>3</v>
      </c>
      <c r="CH4" s="10">
        <v>9</v>
      </c>
      <c r="CI4" s="6"/>
      <c r="CJ4" s="6"/>
      <c r="CK4" s="10">
        <v>2</v>
      </c>
      <c r="CL4" s="6"/>
      <c r="CM4" s="10">
        <v>2</v>
      </c>
      <c r="CN4" s="10">
        <v>1</v>
      </c>
      <c r="CO4" s="10">
        <v>1</v>
      </c>
      <c r="CP4" s="10">
        <v>1</v>
      </c>
      <c r="CQ4" s="6"/>
      <c r="CR4" s="10">
        <v>1</v>
      </c>
      <c r="CS4" s="10">
        <v>2</v>
      </c>
      <c r="CT4" s="6"/>
      <c r="CU4" s="6"/>
      <c r="CV4" s="6"/>
      <c r="CW4" s="6"/>
      <c r="CX4" s="6"/>
      <c r="CY4" s="10">
        <v>1</v>
      </c>
      <c r="CZ4" s="6"/>
      <c r="DA4" s="10">
        <v>1</v>
      </c>
      <c r="DB4" s="6"/>
      <c r="DC4" s="10">
        <v>7</v>
      </c>
      <c r="DD4" s="6"/>
      <c r="DE4" s="6"/>
      <c r="DF4" s="10">
        <v>1</v>
      </c>
      <c r="DG4" s="6"/>
      <c r="DH4" s="6"/>
      <c r="DI4" s="10">
        <v>1</v>
      </c>
      <c r="DJ4" s="6"/>
      <c r="DK4" s="6"/>
      <c r="DL4" s="6"/>
      <c r="DM4" s="10">
        <v>1</v>
      </c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</row>
    <row r="5" ht="15">
      <c r="A5" s="6" t="s">
        <v>21</v>
      </c>
      <c r="B5" s="6">
        <f t="shared" si="65"/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10">
        <v>1</v>
      </c>
      <c r="CD5" s="6"/>
      <c r="CE5" s="6"/>
      <c r="CF5" s="10">
        <v>1</v>
      </c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10">
        <v>4</v>
      </c>
      <c r="CT5" s="10">
        <v>1</v>
      </c>
      <c r="CU5" s="10">
        <v>1</v>
      </c>
      <c r="CV5" s="6"/>
      <c r="CW5" s="6"/>
      <c r="CX5" s="6"/>
      <c r="CY5" s="10">
        <v>2</v>
      </c>
      <c r="CZ5" s="10">
        <v>2</v>
      </c>
      <c r="DA5" s="10">
        <v>3</v>
      </c>
      <c r="DB5" s="10">
        <v>7</v>
      </c>
      <c r="DC5" s="10">
        <v>7</v>
      </c>
      <c r="DD5" s="10">
        <v>4</v>
      </c>
      <c r="DE5" s="10">
        <v>6</v>
      </c>
      <c r="DF5" s="10">
        <v>8</v>
      </c>
      <c r="DG5" s="10">
        <v>1</v>
      </c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</row>
    <row r="6" ht="15">
      <c r="A6" s="6" t="s">
        <v>25</v>
      </c>
      <c r="B6" s="6">
        <f t="shared" si="65"/>
        <v>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10">
        <v>1</v>
      </c>
      <c r="BO6" s="6"/>
      <c r="BP6" s="6"/>
      <c r="BQ6" s="6"/>
      <c r="BR6" s="10">
        <v>1</v>
      </c>
      <c r="BS6" s="10">
        <v>5</v>
      </c>
      <c r="BT6" s="6"/>
      <c r="BU6" s="10">
        <v>1</v>
      </c>
      <c r="BV6" s="6"/>
      <c r="BW6" s="10">
        <v>8</v>
      </c>
      <c r="BX6" s="10">
        <v>1</v>
      </c>
      <c r="BY6" s="10">
        <v>2</v>
      </c>
      <c r="BZ6" s="10">
        <v>2</v>
      </c>
      <c r="CA6" s="10">
        <v>16</v>
      </c>
      <c r="CB6" s="10">
        <v>11</v>
      </c>
      <c r="CC6" s="10">
        <v>7</v>
      </c>
      <c r="CD6" s="10">
        <v>2</v>
      </c>
      <c r="CE6" s="6"/>
      <c r="CF6" s="10">
        <v>5</v>
      </c>
      <c r="CG6" s="10">
        <v>2</v>
      </c>
      <c r="CH6" s="10">
        <v>1</v>
      </c>
      <c r="CI6" s="10">
        <v>2</v>
      </c>
      <c r="CJ6" s="6"/>
      <c r="CK6" s="10">
        <v>2</v>
      </c>
      <c r="CL6" s="10">
        <v>3</v>
      </c>
      <c r="CM6" s="10">
        <v>3</v>
      </c>
      <c r="CN6" s="10">
        <v>1</v>
      </c>
      <c r="CO6" s="10">
        <v>2</v>
      </c>
      <c r="CP6" s="6"/>
      <c r="CQ6" s="6"/>
      <c r="CR6" s="10">
        <v>1</v>
      </c>
      <c r="CS6" s="10">
        <v>1</v>
      </c>
      <c r="CT6" s="10">
        <v>2</v>
      </c>
      <c r="CU6" s="6"/>
      <c r="CV6" s="10">
        <v>1</v>
      </c>
      <c r="CW6" s="10">
        <v>1</v>
      </c>
      <c r="CX6" s="10">
        <v>3</v>
      </c>
      <c r="CY6" s="10">
        <v>2</v>
      </c>
      <c r="CZ6" s="10">
        <v>3</v>
      </c>
      <c r="DA6" s="6"/>
      <c r="DB6" s="10">
        <v>1</v>
      </c>
      <c r="DC6" s="6"/>
      <c r="DD6" s="10">
        <v>4</v>
      </c>
      <c r="DE6" s="10">
        <v>3</v>
      </c>
      <c r="DF6" s="10">
        <v>2</v>
      </c>
      <c r="DG6" s="10">
        <v>3</v>
      </c>
      <c r="DH6" s="10">
        <v>1</v>
      </c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</row>
    <row r="7" ht="15">
      <c r="A7" s="6" t="s">
        <v>29</v>
      </c>
      <c r="B7" s="6">
        <f t="shared" si="65"/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10">
        <v>1</v>
      </c>
      <c r="BB7" s="6"/>
      <c r="BC7" s="6"/>
      <c r="BD7" s="6"/>
      <c r="BE7" s="6"/>
      <c r="BF7" s="6"/>
      <c r="BG7" s="10">
        <v>1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10">
        <v>1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</row>
    <row r="8" ht="15">
      <c r="A8" s="6" t="s">
        <v>33</v>
      </c>
      <c r="B8" s="6">
        <f t="shared" si="65"/>
        <v>57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10">
        <v>4</v>
      </c>
      <c r="AZ8" s="10">
        <v>2</v>
      </c>
      <c r="BA8" s="10">
        <v>1</v>
      </c>
      <c r="BB8" s="10">
        <v>3</v>
      </c>
      <c r="BC8" s="6"/>
      <c r="BD8" s="10">
        <v>8</v>
      </c>
      <c r="BE8" s="10">
        <v>2</v>
      </c>
      <c r="BF8" s="10">
        <v>2</v>
      </c>
      <c r="BG8" s="10">
        <v>2</v>
      </c>
      <c r="BH8" s="10">
        <v>3</v>
      </c>
      <c r="BI8" s="10">
        <v>7</v>
      </c>
      <c r="BJ8" s="10">
        <v>6</v>
      </c>
      <c r="BK8" s="10">
        <v>6</v>
      </c>
      <c r="BL8" s="10">
        <v>7</v>
      </c>
      <c r="BM8" s="6"/>
      <c r="BN8" s="6"/>
      <c r="BO8" s="6"/>
      <c r="BP8" s="6"/>
      <c r="BQ8" s="6"/>
      <c r="BR8" s="6"/>
      <c r="BS8" s="6"/>
      <c r="BT8" s="6"/>
      <c r="BU8" s="10">
        <v>1</v>
      </c>
      <c r="BV8" s="6"/>
      <c r="BW8" s="6"/>
      <c r="BX8" s="6"/>
      <c r="BY8" s="6"/>
      <c r="BZ8" s="6"/>
      <c r="CA8" s="6"/>
      <c r="CB8" s="6"/>
      <c r="CC8" s="10">
        <v>1</v>
      </c>
      <c r="CD8" s="10">
        <v>1</v>
      </c>
      <c r="CE8" s="10">
        <v>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</row>
    <row r="9" ht="15">
      <c r="A9" s="6" t="s">
        <v>37</v>
      </c>
      <c r="B9" s="6">
        <f t="shared" si="65"/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10">
        <v>2</v>
      </c>
      <c r="BH9" s="6"/>
      <c r="BI9" s="6"/>
      <c r="BJ9" s="6"/>
      <c r="BK9" s="10">
        <v>2</v>
      </c>
      <c r="BL9" s="10">
        <v>2</v>
      </c>
      <c r="BM9" s="6"/>
      <c r="BN9" s="6"/>
      <c r="BO9" s="6"/>
      <c r="BP9" s="6"/>
      <c r="BQ9" s="6"/>
      <c r="BR9" s="6"/>
      <c r="BS9" s="6"/>
      <c r="BT9" s="6"/>
      <c r="BU9" s="10">
        <v>1</v>
      </c>
      <c r="BV9" s="6"/>
      <c r="BW9" s="6"/>
      <c r="BX9" s="10">
        <v>1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</row>
    <row r="10" ht="15">
      <c r="A10" s="6" t="s">
        <v>41</v>
      </c>
      <c r="B10" s="6">
        <f t="shared" ref="B10:B73" si="66">SUM(C10:CF10)</f>
        <v>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10">
        <v>1</v>
      </c>
      <c r="BK10" s="6"/>
      <c r="BL10" s="6"/>
      <c r="BM10" s="10">
        <v>2</v>
      </c>
      <c r="BN10" s="6"/>
      <c r="BO10" s="6"/>
      <c r="BP10" s="10">
        <v>1</v>
      </c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</row>
    <row r="11" ht="15">
      <c r="A11" s="6" t="s">
        <v>45</v>
      </c>
      <c r="B11" s="6">
        <f t="shared" si="66"/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10">
        <v>1</v>
      </c>
      <c r="BD11" s="10">
        <v>2</v>
      </c>
      <c r="BE11" s="6"/>
      <c r="BF11" s="6"/>
      <c r="BG11" s="6"/>
      <c r="BH11" s="6"/>
      <c r="BI11" s="6"/>
      <c r="BJ11" s="6"/>
      <c r="BK11" s="6"/>
      <c r="BL11" s="10">
        <v>1</v>
      </c>
      <c r="BM11" s="6"/>
      <c r="BN11" s="6"/>
      <c r="BO11" s="6"/>
      <c r="BP11" s="6"/>
      <c r="BQ11" s="6"/>
      <c r="BR11" s="6"/>
      <c r="BS11" s="6"/>
      <c r="BT11" s="6"/>
      <c r="BU11" s="10">
        <v>1</v>
      </c>
      <c r="BV11" s="6"/>
      <c r="BW11" s="6"/>
      <c r="BX11" s="10">
        <v>1</v>
      </c>
      <c r="BY11" s="10">
        <v>4</v>
      </c>
      <c r="BZ11" s="6"/>
      <c r="CA11" s="6"/>
      <c r="CB11" s="10">
        <v>1</v>
      </c>
      <c r="CC11" s="6"/>
      <c r="CD11" s="6"/>
      <c r="CE11" s="6"/>
      <c r="CF11" s="10">
        <v>3</v>
      </c>
      <c r="CG11" s="6"/>
      <c r="CH11" s="6"/>
      <c r="CI11" s="6"/>
      <c r="CJ11" s="6"/>
      <c r="CK11" s="10">
        <v>1</v>
      </c>
      <c r="CL11" s="6"/>
      <c r="CM11" s="10">
        <v>1</v>
      </c>
      <c r="CN11" s="10">
        <v>1</v>
      </c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</row>
    <row r="12" ht="15">
      <c r="A12" s="6" t="s">
        <v>49</v>
      </c>
      <c r="B12" s="6">
        <f t="shared" si="66"/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>
        <v>1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</row>
    <row r="13" ht="15">
      <c r="A13" s="6" t="s">
        <v>53</v>
      </c>
      <c r="B13" s="6">
        <f t="shared" si="66"/>
        <v>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>
        <v>2</v>
      </c>
      <c r="CC13" s="6"/>
      <c r="CD13" s="10">
        <v>1</v>
      </c>
      <c r="CE13" s="6"/>
      <c r="CF13" s="10">
        <v>2</v>
      </c>
      <c r="CG13" s="10">
        <v>1</v>
      </c>
      <c r="CH13" s="10">
        <v>2</v>
      </c>
      <c r="CI13" s="6"/>
      <c r="CJ13" s="6"/>
      <c r="CK13" s="10">
        <v>1</v>
      </c>
      <c r="CL13" s="6"/>
      <c r="CM13" s="6"/>
      <c r="CN13" s="6"/>
      <c r="CO13" s="6"/>
      <c r="CP13" s="10">
        <v>1</v>
      </c>
      <c r="CQ13" s="10">
        <v>2</v>
      </c>
      <c r="CR13" s="10">
        <v>2</v>
      </c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</row>
    <row r="14" ht="15">
      <c r="A14" s="6" t="s">
        <v>57</v>
      </c>
      <c r="B14" s="6">
        <f t="shared" si="66"/>
        <v>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0">
        <v>1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10">
        <v>1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</row>
    <row r="15" ht="15">
      <c r="A15" s="6" t="s">
        <v>61</v>
      </c>
      <c r="B15" s="6">
        <f t="shared" si="66"/>
        <v>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10">
        <v>1</v>
      </c>
      <c r="CE15" s="6"/>
      <c r="CF15" s="6"/>
      <c r="CG15" s="6"/>
      <c r="CH15" s="6"/>
      <c r="CI15" s="6"/>
      <c r="CJ15" s="6"/>
      <c r="CK15" s="6"/>
      <c r="CL15" s="6"/>
      <c r="CM15" s="10">
        <v>2</v>
      </c>
      <c r="CN15" s="6"/>
      <c r="CO15" s="6"/>
      <c r="CP15" s="6"/>
      <c r="CQ15" s="10">
        <v>4</v>
      </c>
      <c r="CR15" s="10">
        <v>5</v>
      </c>
      <c r="CS15" s="6"/>
      <c r="CT15" s="6"/>
      <c r="CU15" s="10">
        <v>1</v>
      </c>
      <c r="CV15" s="6"/>
      <c r="CW15" s="10">
        <v>1</v>
      </c>
      <c r="CX15" s="6"/>
      <c r="CY15" s="6"/>
      <c r="CZ15" s="6"/>
      <c r="DA15" s="6"/>
      <c r="DB15" s="6"/>
      <c r="DC15" s="6"/>
      <c r="DD15" s="10">
        <v>3</v>
      </c>
      <c r="DE15" s="6"/>
      <c r="DF15" s="6"/>
      <c r="DG15" s="10">
        <v>2</v>
      </c>
      <c r="DH15" s="10">
        <v>1</v>
      </c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</row>
    <row r="16" ht="15">
      <c r="A16" s="6" t="s">
        <v>65</v>
      </c>
      <c r="B16" s="6">
        <f t="shared" si="66"/>
        <v>195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10">
        <v>3</v>
      </c>
      <c r="BI16" s="10">
        <v>9</v>
      </c>
      <c r="BJ16" s="10">
        <v>9</v>
      </c>
      <c r="BK16" s="10">
        <v>20</v>
      </c>
      <c r="BL16" s="10">
        <v>26</v>
      </c>
      <c r="BM16" s="10">
        <v>27</v>
      </c>
      <c r="BN16" s="10">
        <v>29</v>
      </c>
      <c r="BO16" s="10">
        <v>14</v>
      </c>
      <c r="BP16" s="10">
        <v>19</v>
      </c>
      <c r="BQ16" s="10">
        <v>22</v>
      </c>
      <c r="BR16" s="10">
        <v>7</v>
      </c>
      <c r="BS16" s="6"/>
      <c r="BT16" s="10">
        <v>1</v>
      </c>
      <c r="BU16" s="6"/>
      <c r="BV16" s="10">
        <v>1</v>
      </c>
      <c r="BW16" s="10">
        <v>1</v>
      </c>
      <c r="BX16" s="6"/>
      <c r="BY16" s="6"/>
      <c r="BZ16" s="6"/>
      <c r="CA16" s="10">
        <v>1</v>
      </c>
      <c r="CB16" s="10">
        <v>3</v>
      </c>
      <c r="CC16" s="6"/>
      <c r="CD16" s="10">
        <v>1</v>
      </c>
      <c r="CE16" s="10">
        <v>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</row>
    <row r="17" ht="15">
      <c r="A17" s="6" t="s">
        <v>69</v>
      </c>
      <c r="B17" s="6">
        <f t="shared" si="66"/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10">
        <v>1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</row>
    <row r="18" ht="15">
      <c r="A18" s="6" t="s">
        <v>73</v>
      </c>
      <c r="B18" s="6">
        <f t="shared" si="66"/>
        <v>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10">
        <v>1</v>
      </c>
      <c r="BF18" s="6"/>
      <c r="BG18" s="6"/>
      <c r="BH18" s="6"/>
      <c r="BI18" s="6"/>
      <c r="BJ18" s="6"/>
      <c r="BK18" s="6"/>
      <c r="BL18" s="10">
        <v>1</v>
      </c>
      <c r="BM18" s="10">
        <v>10</v>
      </c>
      <c r="BN18" s="10">
        <v>2</v>
      </c>
      <c r="BO18" s="10">
        <v>3</v>
      </c>
      <c r="BP18" s="10">
        <v>7</v>
      </c>
      <c r="BQ18" s="10">
        <v>1</v>
      </c>
      <c r="BR18" s="10">
        <v>2</v>
      </c>
      <c r="BS18" s="6"/>
      <c r="BT18" s="10">
        <v>1</v>
      </c>
      <c r="BU18" s="6"/>
      <c r="BV18" s="10">
        <v>4</v>
      </c>
      <c r="BW18" s="10">
        <v>2</v>
      </c>
      <c r="BX18" s="10">
        <v>1</v>
      </c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</row>
    <row r="19" ht="15">
      <c r="A19" s="6" t="s">
        <v>77</v>
      </c>
      <c r="B19" s="6">
        <f t="shared" si="66"/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10">
        <v>1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</row>
    <row r="20" ht="15">
      <c r="A20" s="6" t="s">
        <v>81</v>
      </c>
      <c r="B20" s="6">
        <f t="shared" si="66"/>
        <v>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10">
        <v>1</v>
      </c>
      <c r="CA20" s="6"/>
      <c r="CB20" s="6"/>
      <c r="CC20" s="6"/>
      <c r="CD20" s="6"/>
      <c r="CE20" s="10">
        <v>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10">
        <v>1</v>
      </c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</row>
    <row r="21" ht="15">
      <c r="A21" s="6" t="s">
        <v>85</v>
      </c>
      <c r="B21" s="6">
        <f t="shared" si="66"/>
        <v>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10">
        <v>1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</row>
    <row r="22" ht="15">
      <c r="A22" s="6" t="s">
        <v>89</v>
      </c>
      <c r="B22" s="6">
        <f t="shared" si="66"/>
        <v>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10">
        <v>1</v>
      </c>
      <c r="BJ22" s="6"/>
      <c r="BK22" s="10">
        <v>2</v>
      </c>
      <c r="BL22" s="10">
        <v>1</v>
      </c>
      <c r="BM22" s="6"/>
      <c r="BN22" s="6"/>
      <c r="BO22" s="6"/>
      <c r="BP22" s="10">
        <v>1</v>
      </c>
      <c r="BQ22" s="6"/>
      <c r="BR22" s="6"/>
      <c r="BS22" s="6"/>
      <c r="BT22" s="10">
        <v>1</v>
      </c>
      <c r="BU22" s="6"/>
      <c r="BV22" s="6"/>
      <c r="BW22" s="6"/>
      <c r="BX22" s="6"/>
      <c r="BY22" s="6"/>
      <c r="BZ22" s="6"/>
      <c r="CA22" s="6"/>
      <c r="CB22" s="10">
        <v>2</v>
      </c>
      <c r="CC22" s="6"/>
      <c r="CD22" s="6"/>
      <c r="CE22" s="6"/>
      <c r="CF22" s="10">
        <v>1</v>
      </c>
      <c r="CG22" s="6"/>
      <c r="CH22" s="6"/>
      <c r="CI22" s="6"/>
      <c r="CJ22" s="6"/>
      <c r="CK22" s="6"/>
      <c r="CL22" s="6"/>
      <c r="CM22" s="10">
        <v>1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</row>
    <row r="23" ht="15">
      <c r="A23" s="6" t="s">
        <v>93</v>
      </c>
      <c r="B23" s="6">
        <f t="shared" si="66"/>
        <v>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0">
        <v>1</v>
      </c>
      <c r="BR23" s="10">
        <v>2</v>
      </c>
      <c r="BS23" s="6"/>
      <c r="BT23" s="6"/>
      <c r="BU23" s="10">
        <v>2</v>
      </c>
      <c r="BV23" s="6"/>
      <c r="BW23" s="10">
        <v>1</v>
      </c>
      <c r="BX23" s="6"/>
      <c r="BY23" s="10">
        <v>1</v>
      </c>
      <c r="BZ23" s="6"/>
      <c r="CA23" s="6"/>
      <c r="CB23" s="10">
        <v>1</v>
      </c>
      <c r="CC23" s="6"/>
      <c r="CD23" s="6"/>
      <c r="CE23" s="6"/>
      <c r="CF23" s="6"/>
      <c r="CG23" s="6"/>
      <c r="CH23" s="6"/>
      <c r="CI23" s="6"/>
      <c r="CJ23" s="6"/>
      <c r="CK23" s="6"/>
      <c r="CL23" s="10">
        <v>1</v>
      </c>
      <c r="CM23" s="10">
        <v>2</v>
      </c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</row>
    <row r="24" ht="15">
      <c r="A24" s="6" t="s">
        <v>97</v>
      </c>
      <c r="B24" s="6">
        <f t="shared" si="66"/>
        <v>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10">
        <v>1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</row>
    <row r="25" ht="15">
      <c r="A25" s="6" t="s">
        <v>101</v>
      </c>
      <c r="B25" s="6">
        <f t="shared" si="66"/>
        <v>29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10">
        <v>7</v>
      </c>
      <c r="BJ25" s="10">
        <v>10</v>
      </c>
      <c r="BK25" s="10">
        <v>9</v>
      </c>
      <c r="BL25" s="10">
        <v>2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10">
        <v>1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</row>
    <row r="26" ht="15">
      <c r="A26" s="6" t="s">
        <v>105</v>
      </c>
      <c r="B26" s="6">
        <f t="shared" si="66"/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10">
        <v>1</v>
      </c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</row>
    <row r="27" ht="15">
      <c r="A27" s="6" t="s">
        <v>109</v>
      </c>
      <c r="B27" s="6">
        <f t="shared" si="66"/>
        <v>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10">
        <v>1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</row>
    <row r="28" ht="15">
      <c r="A28" s="6" t="s">
        <v>113</v>
      </c>
      <c r="B28" s="6">
        <f t="shared" si="66"/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10">
        <v>1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</row>
    <row r="29" ht="15">
      <c r="A29" s="6" t="s">
        <v>117</v>
      </c>
      <c r="B29" s="6">
        <f t="shared" si="66"/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10">
        <v>1</v>
      </c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10">
        <v>103</v>
      </c>
      <c r="EH29" s="10"/>
      <c r="EI29" s="10"/>
      <c r="EJ29" s="10"/>
      <c r="EK29" s="10"/>
      <c r="EL29" s="10"/>
    </row>
    <row r="30" ht="15">
      <c r="A30" s="6" t="s">
        <v>121</v>
      </c>
      <c r="B30" s="6">
        <f t="shared" si="66"/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10">
        <v>2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</row>
    <row r="31" ht="15">
      <c r="A31" s="6" t="s">
        <v>125</v>
      </c>
      <c r="B31" s="6">
        <f t="shared" si="66"/>
        <v>17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10">
        <v>1</v>
      </c>
      <c r="BG31" s="6"/>
      <c r="BH31" s="6"/>
      <c r="BI31" s="6"/>
      <c r="BJ31" s="6"/>
      <c r="BK31" s="6"/>
      <c r="BL31" s="6"/>
      <c r="BM31" s="10">
        <v>1</v>
      </c>
      <c r="BN31" s="6"/>
      <c r="BO31" s="6"/>
      <c r="BP31" s="6"/>
      <c r="BQ31" s="6"/>
      <c r="BR31" s="6"/>
      <c r="BS31" s="6"/>
      <c r="BT31" s="6"/>
      <c r="BU31" s="6"/>
      <c r="BV31" s="10">
        <v>1</v>
      </c>
      <c r="BW31" s="10">
        <v>2</v>
      </c>
      <c r="BX31" s="10">
        <v>2</v>
      </c>
      <c r="BY31" s="10">
        <v>1</v>
      </c>
      <c r="BZ31" s="6"/>
      <c r="CA31" s="6"/>
      <c r="CB31" s="10">
        <v>1</v>
      </c>
      <c r="CC31" s="10">
        <v>1</v>
      </c>
      <c r="CD31" s="10">
        <v>2</v>
      </c>
      <c r="CE31" s="10">
        <v>3</v>
      </c>
      <c r="CF31" s="10">
        <v>2</v>
      </c>
      <c r="CG31" s="10">
        <v>1</v>
      </c>
      <c r="CH31" s="10">
        <v>1</v>
      </c>
      <c r="CI31" s="6"/>
      <c r="CJ31" s="6"/>
      <c r="CK31" s="10">
        <v>1</v>
      </c>
      <c r="CL31" s="6"/>
      <c r="CM31" s="6"/>
      <c r="CN31" s="10">
        <v>3</v>
      </c>
      <c r="CO31" s="10">
        <v>9</v>
      </c>
      <c r="CP31" s="6"/>
      <c r="CQ31" s="10">
        <v>2</v>
      </c>
      <c r="CR31" s="10">
        <v>1</v>
      </c>
      <c r="CS31" s="6"/>
      <c r="CT31" s="6"/>
      <c r="CU31" s="6"/>
      <c r="CV31" s="6"/>
      <c r="CW31" s="6"/>
      <c r="CX31" s="6"/>
      <c r="CY31" s="6"/>
      <c r="CZ31" s="10">
        <v>1</v>
      </c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</row>
    <row r="32" ht="15">
      <c r="A32" s="6" t="s">
        <v>129</v>
      </c>
      <c r="B32" s="6">
        <f t="shared" si="66"/>
        <v>27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10">
        <v>3</v>
      </c>
      <c r="BH32" s="10">
        <v>4</v>
      </c>
      <c r="BI32" s="10">
        <v>5</v>
      </c>
      <c r="BJ32" s="10">
        <v>8</v>
      </c>
      <c r="BK32" s="10">
        <v>2</v>
      </c>
      <c r="BL32" s="10">
        <v>5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</row>
    <row r="33" ht="15">
      <c r="A33" s="6" t="s">
        <v>133</v>
      </c>
      <c r="B33" s="6">
        <f t="shared" si="66"/>
        <v>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10">
        <v>1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</row>
    <row r="34" ht="15">
      <c r="A34" s="6" t="s">
        <v>137</v>
      </c>
      <c r="B34" s="6">
        <f t="shared" si="66"/>
        <v>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10">
        <v>2</v>
      </c>
      <c r="CF34" s="10">
        <v>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</row>
    <row r="35" ht="15">
      <c r="A35" s="6" t="s">
        <v>141</v>
      </c>
      <c r="B35" s="6">
        <f t="shared" si="66"/>
        <v>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10">
        <v>1</v>
      </c>
      <c r="BC35" s="10">
        <v>3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0">
        <v>1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10">
        <v>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</row>
    <row r="36" ht="15">
      <c r="A36" s="6" t="s">
        <v>145</v>
      </c>
      <c r="B36" s="6">
        <f t="shared" si="66"/>
        <v>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10">
        <v>2</v>
      </c>
      <c r="BW36" s="6"/>
      <c r="BX36" s="6"/>
      <c r="BY36" s="6"/>
      <c r="BZ36" s="6"/>
      <c r="CA36" s="6"/>
      <c r="CB36" s="10">
        <v>2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</row>
    <row r="37" ht="15">
      <c r="A37" s="6" t="s">
        <v>149</v>
      </c>
      <c r="B37" s="6">
        <f t="shared" si="66"/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10">
        <v>1</v>
      </c>
      <c r="CB37" s="10">
        <v>1</v>
      </c>
      <c r="CC37" s="10">
        <v>1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</row>
    <row r="38" ht="15">
      <c r="A38" s="6" t="s">
        <v>153</v>
      </c>
      <c r="B38" s="6">
        <f t="shared" si="66"/>
        <v>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10">
        <v>1</v>
      </c>
      <c r="BQ38" s="6"/>
      <c r="BR38" s="6"/>
      <c r="BS38" s="6"/>
      <c r="BT38" s="6"/>
      <c r="BU38" s="10">
        <v>1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</row>
    <row r="39" ht="15">
      <c r="A39" s="6" t="s">
        <v>157</v>
      </c>
      <c r="B39" s="6">
        <f t="shared" si="66"/>
        <v>260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10">
        <v>2</v>
      </c>
      <c r="BM39" s="10">
        <v>14</v>
      </c>
      <c r="BN39" s="10">
        <v>17</v>
      </c>
      <c r="BO39" s="10">
        <v>13</v>
      </c>
      <c r="BP39" s="10">
        <v>27</v>
      </c>
      <c r="BQ39" s="10">
        <v>21</v>
      </c>
      <c r="BR39" s="10">
        <v>23</v>
      </c>
      <c r="BS39" s="10">
        <v>22</v>
      </c>
      <c r="BT39" s="10">
        <v>11</v>
      </c>
      <c r="BU39" s="10">
        <v>6</v>
      </c>
      <c r="BV39" s="10">
        <v>12</v>
      </c>
      <c r="BW39" s="10">
        <v>21</v>
      </c>
      <c r="BX39" s="10">
        <v>18</v>
      </c>
      <c r="BY39" s="10">
        <v>12</v>
      </c>
      <c r="BZ39" s="10">
        <v>9</v>
      </c>
      <c r="CA39" s="10">
        <v>4</v>
      </c>
      <c r="CB39" s="10">
        <v>6</v>
      </c>
      <c r="CC39" s="10">
        <v>9</v>
      </c>
      <c r="CD39" s="10">
        <v>3</v>
      </c>
      <c r="CE39" s="10">
        <v>8</v>
      </c>
      <c r="CF39" s="10">
        <v>2</v>
      </c>
      <c r="CG39" s="10">
        <v>2</v>
      </c>
      <c r="CH39" s="6"/>
      <c r="CI39" s="10">
        <v>3</v>
      </c>
      <c r="CJ39" s="10">
        <v>1</v>
      </c>
      <c r="CK39" s="6"/>
      <c r="CL39" s="6"/>
      <c r="CM39" s="10">
        <v>1</v>
      </c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</row>
    <row r="40" ht="15">
      <c r="A40" s="6" t="s">
        <v>161</v>
      </c>
      <c r="B40" s="6">
        <f t="shared" si="66"/>
        <v>10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10">
        <v>1</v>
      </c>
      <c r="BN40" s="6"/>
      <c r="BO40" s="6"/>
      <c r="BP40" s="10">
        <v>2</v>
      </c>
      <c r="BQ40" s="6"/>
      <c r="BR40" s="10">
        <v>1</v>
      </c>
      <c r="BS40" s="10">
        <v>1</v>
      </c>
      <c r="BT40" s="10">
        <v>1</v>
      </c>
      <c r="BU40" s="10">
        <v>1</v>
      </c>
      <c r="BV40" s="6"/>
      <c r="BW40" s="10">
        <v>1</v>
      </c>
      <c r="BX40" s="6"/>
      <c r="BY40" s="6"/>
      <c r="BZ40" s="6"/>
      <c r="CA40" s="6"/>
      <c r="CB40" s="10">
        <v>1</v>
      </c>
      <c r="CC40" s="6"/>
      <c r="CD40" s="6"/>
      <c r="CE40" s="6"/>
      <c r="CF40" s="10">
        <v>1</v>
      </c>
      <c r="CG40" s="10">
        <v>1</v>
      </c>
      <c r="CH40" s="10">
        <v>1</v>
      </c>
      <c r="CI40" s="6"/>
      <c r="CJ40" s="10">
        <v>3</v>
      </c>
      <c r="CK40" s="6"/>
      <c r="CL40" s="6"/>
      <c r="CM40" s="6"/>
      <c r="CN40" s="6"/>
      <c r="CO40" s="6"/>
      <c r="CP40" s="6"/>
      <c r="CQ40" s="6"/>
      <c r="CR40" s="10">
        <v>2</v>
      </c>
      <c r="CS40" s="10">
        <v>1</v>
      </c>
      <c r="CT40" s="10">
        <v>2</v>
      </c>
      <c r="CU40" s="10">
        <v>1</v>
      </c>
      <c r="CV40" s="10">
        <v>2</v>
      </c>
      <c r="CW40" s="6"/>
      <c r="CX40" s="6"/>
      <c r="CY40" s="6"/>
      <c r="CZ40" s="6"/>
      <c r="DA40" s="6"/>
      <c r="DB40" s="6"/>
      <c r="DC40" s="6"/>
      <c r="DD40" s="6"/>
      <c r="DE40" s="10">
        <v>3</v>
      </c>
      <c r="DF40" s="6"/>
      <c r="DG40" s="10">
        <v>1</v>
      </c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</row>
    <row r="41" ht="15">
      <c r="A41" s="6" t="s">
        <v>165</v>
      </c>
      <c r="B41" s="6">
        <f t="shared" si="66"/>
        <v>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10">
        <v>1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</row>
    <row r="42" ht="15">
      <c r="A42" s="6" t="s">
        <v>169</v>
      </c>
      <c r="B42" s="6">
        <f t="shared" si="66"/>
        <v>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10">
        <v>1</v>
      </c>
      <c r="BQ42" s="6"/>
      <c r="BR42" s="6"/>
      <c r="BS42" s="10">
        <v>1</v>
      </c>
      <c r="BT42" s="6"/>
      <c r="BU42" s="6"/>
      <c r="BV42" s="6"/>
      <c r="BW42" s="10">
        <v>2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</row>
    <row r="43" ht="15">
      <c r="A43" s="6" t="s">
        <v>173</v>
      </c>
      <c r="B43" s="6">
        <f t="shared" si="66"/>
        <v>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10">
        <v>1</v>
      </c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</row>
    <row r="44" ht="15">
      <c r="A44" s="6" t="s">
        <v>177</v>
      </c>
      <c r="B44" s="6">
        <f t="shared" si="66"/>
        <v>11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0">
        <v>1</v>
      </c>
      <c r="BR44" s="10">
        <v>1</v>
      </c>
      <c r="BS44" s="6"/>
      <c r="BT44" s="10">
        <v>2</v>
      </c>
      <c r="BU44" s="10">
        <v>2</v>
      </c>
      <c r="BV44" s="10">
        <v>1</v>
      </c>
      <c r="BW44" s="10">
        <v>3</v>
      </c>
      <c r="BX44" s="6"/>
      <c r="BY44" s="6"/>
      <c r="BZ44" s="6"/>
      <c r="CA44" s="10">
        <v>1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</row>
    <row r="45" ht="15">
      <c r="A45" s="6" t="s">
        <v>181</v>
      </c>
      <c r="B45" s="6">
        <f t="shared" si="66"/>
        <v>14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10">
        <v>1</v>
      </c>
      <c r="BF45" s="10">
        <v>1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0">
        <v>1</v>
      </c>
      <c r="BT45" s="10">
        <v>1</v>
      </c>
      <c r="BU45" s="6"/>
      <c r="BV45" s="10">
        <v>2</v>
      </c>
      <c r="BW45" s="6"/>
      <c r="BX45" s="10">
        <v>1</v>
      </c>
      <c r="BY45" s="10">
        <v>1</v>
      </c>
      <c r="BZ45" s="10">
        <v>1</v>
      </c>
      <c r="CA45" s="6"/>
      <c r="CB45" s="6"/>
      <c r="CC45" s="10">
        <v>1</v>
      </c>
      <c r="CD45" s="6"/>
      <c r="CE45" s="10">
        <v>3</v>
      </c>
      <c r="CF45" s="10">
        <v>1</v>
      </c>
      <c r="CG45" s="10">
        <v>3</v>
      </c>
      <c r="CH45" s="10">
        <v>3</v>
      </c>
      <c r="CI45" s="10">
        <v>1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</row>
    <row r="46" ht="15">
      <c r="A46" s="6" t="s">
        <v>185</v>
      </c>
      <c r="B46" s="6">
        <f t="shared" si="66"/>
        <v>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10">
        <v>1</v>
      </c>
      <c r="CA46" s="10">
        <v>1</v>
      </c>
      <c r="CB46" s="6"/>
      <c r="CC46" s="10">
        <v>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</row>
    <row r="47" ht="15">
      <c r="A47" s="6" t="s">
        <v>189</v>
      </c>
      <c r="B47" s="6">
        <f t="shared" si="66"/>
        <v>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10">
        <v>1</v>
      </c>
      <c r="BI47" s="6"/>
      <c r="BJ47" s="10">
        <v>14</v>
      </c>
      <c r="BK47" s="10">
        <v>16</v>
      </c>
      <c r="BL47" s="10">
        <v>11</v>
      </c>
      <c r="BM47" s="10">
        <v>4</v>
      </c>
      <c r="BN47" s="10">
        <v>1</v>
      </c>
      <c r="BO47" s="6"/>
      <c r="BP47" s="10">
        <v>1</v>
      </c>
      <c r="BQ47" s="6"/>
      <c r="BR47" s="10">
        <v>1</v>
      </c>
      <c r="BS47" s="10">
        <v>5</v>
      </c>
      <c r="BT47" s="10">
        <v>1</v>
      </c>
      <c r="BU47" s="6"/>
      <c r="BV47" s="10">
        <v>1</v>
      </c>
      <c r="BW47" s="10">
        <v>1</v>
      </c>
      <c r="BX47" s="10">
        <v>1</v>
      </c>
      <c r="BY47" s="6"/>
      <c r="BZ47" s="6"/>
      <c r="CA47" s="10">
        <v>1</v>
      </c>
      <c r="CB47" s="10">
        <v>5</v>
      </c>
      <c r="CC47" s="10">
        <v>3</v>
      </c>
      <c r="CD47" s="10">
        <v>1</v>
      </c>
      <c r="CE47" s="10">
        <v>6</v>
      </c>
      <c r="CF47" s="6"/>
      <c r="CG47" s="6"/>
      <c r="CH47" s="10">
        <v>2</v>
      </c>
      <c r="CI47" s="10">
        <v>1</v>
      </c>
      <c r="CJ47" s="10">
        <v>1</v>
      </c>
      <c r="CK47" s="6"/>
      <c r="CL47" s="6"/>
      <c r="CM47" s="10">
        <v>1</v>
      </c>
      <c r="CN47" s="10">
        <v>1</v>
      </c>
      <c r="CO47" s="6"/>
      <c r="CP47" s="6"/>
      <c r="CQ47" s="10">
        <v>2</v>
      </c>
      <c r="CR47" s="10">
        <v>1</v>
      </c>
      <c r="CS47" s="6"/>
      <c r="CT47" s="10">
        <v>1</v>
      </c>
      <c r="CU47" s="6"/>
      <c r="CV47" s="10">
        <v>1</v>
      </c>
      <c r="CW47" s="10">
        <v>1</v>
      </c>
      <c r="CX47" s="10">
        <v>1</v>
      </c>
      <c r="CY47" s="6"/>
      <c r="CZ47" s="6"/>
      <c r="DA47" s="10">
        <v>2</v>
      </c>
      <c r="DB47" s="10">
        <v>1</v>
      </c>
      <c r="DC47" s="6"/>
      <c r="DD47" s="6"/>
      <c r="DE47" s="10">
        <v>1</v>
      </c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</row>
    <row r="48" ht="15" hidden="1">
      <c r="A48" s="6" t="s">
        <v>193</v>
      </c>
      <c r="B48" s="6">
        <f t="shared" si="66"/>
        <v>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10">
        <v>1</v>
      </c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</row>
    <row r="49" ht="15">
      <c r="A49" s="6" t="s">
        <v>197</v>
      </c>
      <c r="B49" s="6">
        <f t="shared" si="66"/>
        <v>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10">
        <v>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</row>
    <row r="50" ht="15">
      <c r="A50" s="6" t="s">
        <v>201</v>
      </c>
      <c r="B50" s="6">
        <f t="shared" si="66"/>
        <v>12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10">
        <v>1</v>
      </c>
      <c r="BQ50" s="10">
        <v>1</v>
      </c>
      <c r="BR50" s="10">
        <v>1</v>
      </c>
      <c r="BS50" s="10">
        <v>2</v>
      </c>
      <c r="BT50" s="6"/>
      <c r="BU50" s="10">
        <v>1</v>
      </c>
      <c r="BV50" s="10">
        <v>1</v>
      </c>
      <c r="BW50" s="10">
        <v>2</v>
      </c>
      <c r="BX50" s="6"/>
      <c r="BY50" s="6"/>
      <c r="BZ50" s="6"/>
      <c r="CA50" s="6"/>
      <c r="CB50" s="10">
        <v>2</v>
      </c>
      <c r="CC50" s="10">
        <v>1</v>
      </c>
      <c r="CD50" s="6"/>
      <c r="CE50" s="6"/>
      <c r="CF50" s="6"/>
      <c r="CG50" s="10">
        <v>1</v>
      </c>
      <c r="CH50" s="6"/>
      <c r="CI50" s="10">
        <v>1</v>
      </c>
      <c r="CJ50" s="10">
        <v>1</v>
      </c>
      <c r="CK50" s="6"/>
      <c r="CL50" s="6"/>
      <c r="CM50" s="10">
        <v>1</v>
      </c>
      <c r="CN50" s="6"/>
      <c r="CO50" s="10">
        <v>1</v>
      </c>
      <c r="CP50" s="6"/>
      <c r="CQ50" s="10">
        <v>2</v>
      </c>
      <c r="CR50" s="6"/>
      <c r="CS50" s="6"/>
      <c r="CT50" s="10">
        <v>2</v>
      </c>
      <c r="CU50" s="10">
        <v>1</v>
      </c>
      <c r="CV50" s="10">
        <v>2</v>
      </c>
      <c r="CW50" s="10">
        <v>3</v>
      </c>
      <c r="CX50" s="6"/>
      <c r="CY50" s="10">
        <v>1</v>
      </c>
      <c r="CZ50" s="10">
        <v>1</v>
      </c>
      <c r="DA50" s="10">
        <v>1</v>
      </c>
      <c r="DB50" s="10">
        <v>1</v>
      </c>
      <c r="DC50" s="6"/>
      <c r="DD50" s="10">
        <v>1</v>
      </c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</row>
    <row r="51" ht="15">
      <c r="A51" s="6" t="s">
        <v>205</v>
      </c>
      <c r="B51" s="6">
        <f t="shared" si="66"/>
        <v>27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10">
        <v>1</v>
      </c>
      <c r="BJ51" s="6"/>
      <c r="BK51" s="6"/>
      <c r="BL51" s="6"/>
      <c r="BM51" s="6"/>
      <c r="BN51" s="6"/>
      <c r="BO51" s="10">
        <v>1</v>
      </c>
      <c r="BP51" s="6"/>
      <c r="BQ51" s="6"/>
      <c r="BR51" s="10">
        <v>1</v>
      </c>
      <c r="BS51" s="10">
        <v>5</v>
      </c>
      <c r="BT51" s="6"/>
      <c r="BU51" s="10">
        <v>2</v>
      </c>
      <c r="BV51" s="6"/>
      <c r="BW51" s="6"/>
      <c r="BX51" s="10">
        <v>6</v>
      </c>
      <c r="BY51" s="10">
        <v>1</v>
      </c>
      <c r="BZ51" s="6"/>
      <c r="CA51" s="6"/>
      <c r="CB51" s="10">
        <v>3</v>
      </c>
      <c r="CC51" s="10">
        <v>1</v>
      </c>
      <c r="CD51" s="10">
        <v>2</v>
      </c>
      <c r="CE51" s="10">
        <v>2</v>
      </c>
      <c r="CF51" s="10">
        <v>2</v>
      </c>
      <c r="CG51" s="10">
        <v>1</v>
      </c>
      <c r="CH51" s="10">
        <v>1</v>
      </c>
      <c r="CI51" s="6"/>
      <c r="CJ51" s="6"/>
      <c r="CK51" s="6"/>
      <c r="CL51" s="6"/>
      <c r="CM51" s="6"/>
      <c r="CN51" s="6"/>
      <c r="CO51" s="10">
        <v>1</v>
      </c>
      <c r="CP51" s="6"/>
      <c r="CQ51" s="6"/>
      <c r="CR51" s="6"/>
      <c r="CS51" s="6"/>
      <c r="CT51" s="10">
        <v>2</v>
      </c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</row>
    <row r="52" ht="15">
      <c r="A52" s="6" t="s">
        <v>209</v>
      </c>
      <c r="B52" s="6">
        <f t="shared" si="66"/>
        <v>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0">
        <v>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10">
        <v>1</v>
      </c>
      <c r="BE52" s="6"/>
      <c r="BF52" s="6"/>
      <c r="BG52" s="6"/>
      <c r="BH52" s="6"/>
      <c r="BI52" s="10">
        <v>1</v>
      </c>
      <c r="BJ52" s="6"/>
      <c r="BK52" s="6"/>
      <c r="BL52" s="6"/>
      <c r="BM52" s="10">
        <v>1</v>
      </c>
      <c r="BN52" s="6"/>
      <c r="BO52" s="6"/>
      <c r="BP52" s="6"/>
      <c r="BQ52" s="6"/>
      <c r="BR52" s="10">
        <v>1</v>
      </c>
      <c r="BS52" s="6"/>
      <c r="BT52" s="6"/>
      <c r="BU52" s="10">
        <v>2</v>
      </c>
      <c r="BV52" s="10">
        <v>1</v>
      </c>
      <c r="BW52" s="10">
        <v>3</v>
      </c>
      <c r="BX52" s="10">
        <v>4</v>
      </c>
      <c r="BY52" s="6"/>
      <c r="BZ52" s="10">
        <v>1</v>
      </c>
      <c r="CA52" s="10">
        <v>3</v>
      </c>
      <c r="CB52" s="10">
        <v>2</v>
      </c>
      <c r="CC52" s="6"/>
      <c r="CD52" s="10">
        <v>7</v>
      </c>
      <c r="CE52" s="10">
        <v>6</v>
      </c>
      <c r="CF52" s="10">
        <v>2</v>
      </c>
      <c r="CG52" s="6"/>
      <c r="CH52" s="6"/>
      <c r="CI52" s="6"/>
      <c r="CJ52" s="10">
        <v>1</v>
      </c>
      <c r="CK52" s="6"/>
      <c r="CL52" s="6"/>
      <c r="CM52" s="10">
        <v>1</v>
      </c>
      <c r="CN52" s="10">
        <v>1</v>
      </c>
      <c r="CO52" s="6"/>
      <c r="CP52" s="10">
        <v>1</v>
      </c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</row>
    <row r="53" ht="15">
      <c r="A53" s="6" t="s">
        <v>213</v>
      </c>
      <c r="B53" s="6">
        <f t="shared" si="66"/>
        <v>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10">
        <v>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</row>
    <row r="54" ht="15" hidden="1">
      <c r="A54" s="6" t="s">
        <v>217</v>
      </c>
      <c r="B54" s="6">
        <f t="shared" si="66"/>
        <v>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10">
        <v>1</v>
      </c>
      <c r="CO54" s="6"/>
      <c r="CP54" s="10">
        <v>2</v>
      </c>
      <c r="CQ54" s="10">
        <v>9</v>
      </c>
      <c r="CR54" s="10">
        <v>19</v>
      </c>
      <c r="CS54" s="10">
        <v>9</v>
      </c>
      <c r="CT54" s="10">
        <v>2</v>
      </c>
      <c r="CU54" s="10">
        <v>1</v>
      </c>
      <c r="CV54" s="10">
        <v>3</v>
      </c>
      <c r="CW54" s="10">
        <v>1</v>
      </c>
      <c r="CX54" s="6"/>
      <c r="CY54" s="10">
        <v>3</v>
      </c>
      <c r="CZ54" s="10">
        <v>4</v>
      </c>
      <c r="DA54" s="10">
        <v>2</v>
      </c>
      <c r="DB54" s="6"/>
      <c r="DC54" s="6"/>
      <c r="DD54" s="10">
        <v>2</v>
      </c>
      <c r="DE54" s="10">
        <v>3</v>
      </c>
      <c r="DF54" s="10">
        <v>1</v>
      </c>
      <c r="DG54" s="10">
        <v>2</v>
      </c>
      <c r="DH54" s="10">
        <v>1</v>
      </c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</row>
    <row r="55" ht="15">
      <c r="A55" s="6" t="s">
        <v>221</v>
      </c>
      <c r="B55" s="6">
        <f t="shared" si="66"/>
        <v>22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10">
        <v>1</v>
      </c>
      <c r="BP55" s="6"/>
      <c r="BQ55" s="6"/>
      <c r="BR55" s="10">
        <v>1</v>
      </c>
      <c r="BS55" s="6"/>
      <c r="BT55" s="6"/>
      <c r="BU55" s="6"/>
      <c r="BV55" s="10">
        <v>1</v>
      </c>
      <c r="BW55" s="10">
        <v>2</v>
      </c>
      <c r="BX55" s="6"/>
      <c r="BY55" s="10">
        <v>4</v>
      </c>
      <c r="BZ55" s="10">
        <v>4</v>
      </c>
      <c r="CA55" s="10">
        <v>1</v>
      </c>
      <c r="CB55" s="10">
        <v>4</v>
      </c>
      <c r="CC55" s="10">
        <v>2</v>
      </c>
      <c r="CD55" s="6"/>
      <c r="CE55" s="10">
        <v>2</v>
      </c>
      <c r="CF55" s="6"/>
      <c r="CG55" s="10">
        <v>1</v>
      </c>
      <c r="CH55" s="6"/>
      <c r="CI55" s="6"/>
      <c r="CJ55" s="6"/>
      <c r="CK55" s="6"/>
      <c r="CL55" s="6"/>
      <c r="CM55" s="6"/>
      <c r="CN55" s="6"/>
      <c r="CO55" s="10">
        <v>2</v>
      </c>
      <c r="CP55" s="10">
        <v>2</v>
      </c>
      <c r="CQ55" s="6"/>
      <c r="CR55" s="6"/>
      <c r="CS55" s="10">
        <v>1</v>
      </c>
      <c r="CT55" s="10">
        <v>1</v>
      </c>
      <c r="CU55" s="10">
        <v>2</v>
      </c>
      <c r="CV55" s="6"/>
      <c r="CW55" s="6"/>
      <c r="CX55" s="6"/>
      <c r="CY55" s="6"/>
      <c r="CZ55" s="6"/>
      <c r="DA55" s="6"/>
      <c r="DB55" s="6"/>
      <c r="DC55" s="6"/>
      <c r="DD55" s="6"/>
      <c r="DE55" s="10">
        <v>1</v>
      </c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</row>
    <row r="56" ht="15">
      <c r="A56" s="6" t="s">
        <v>225</v>
      </c>
      <c r="B56" s="6">
        <f t="shared" si="66"/>
        <v>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10">
        <v>1</v>
      </c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10">
        <v>3</v>
      </c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</row>
    <row r="57" ht="15">
      <c r="A57" s="6" t="s">
        <v>229</v>
      </c>
      <c r="B57" s="6">
        <f t="shared" si="66"/>
        <v>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10">
        <v>1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</row>
    <row r="58" ht="15">
      <c r="A58" s="6" t="s">
        <v>233</v>
      </c>
      <c r="B58" s="6">
        <f t="shared" si="66"/>
        <v>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10">
        <v>1</v>
      </c>
      <c r="BW58" s="6"/>
      <c r="BX58" s="10">
        <v>1</v>
      </c>
      <c r="BY58" s="6"/>
      <c r="BZ58" s="6"/>
      <c r="CA58" s="6"/>
      <c r="CB58" s="6"/>
      <c r="CC58" s="6"/>
      <c r="CD58" s="6"/>
      <c r="CE58" s="10">
        <v>2</v>
      </c>
      <c r="CF58" s="6"/>
      <c r="CG58" s="10">
        <v>1</v>
      </c>
      <c r="CH58" s="10">
        <v>2</v>
      </c>
      <c r="CI58" s="6"/>
      <c r="CJ58" s="6"/>
      <c r="CK58" s="10">
        <v>1</v>
      </c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10">
        <v>1</v>
      </c>
      <c r="CW58" s="10">
        <v>1</v>
      </c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</row>
    <row r="59" ht="15">
      <c r="A59" s="6" t="s">
        <v>237</v>
      </c>
      <c r="B59" s="6">
        <f t="shared" si="66"/>
        <v>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10">
        <v>1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</row>
    <row r="60" ht="15">
      <c r="A60" s="6" t="s">
        <v>241</v>
      </c>
      <c r="B60" s="6">
        <f t="shared" si="66"/>
        <v>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10">
        <v>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</row>
    <row r="61" ht="15">
      <c r="A61" s="6" t="s">
        <v>245</v>
      </c>
      <c r="B61" s="6">
        <f t="shared" si="66"/>
        <v>12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10">
        <v>1</v>
      </c>
      <c r="BM61" s="10">
        <v>2</v>
      </c>
      <c r="BN61" s="10">
        <v>1</v>
      </c>
      <c r="BO61" s="6"/>
      <c r="BP61" s="6"/>
      <c r="BQ61" s="6"/>
      <c r="BR61" s="6"/>
      <c r="BS61" s="10">
        <v>1</v>
      </c>
      <c r="BT61" s="10">
        <v>2</v>
      </c>
      <c r="BU61" s="6"/>
      <c r="BV61" s="10">
        <v>1</v>
      </c>
      <c r="BW61" s="10">
        <v>1</v>
      </c>
      <c r="BX61" s="6"/>
      <c r="BY61" s="6"/>
      <c r="BZ61" s="10">
        <v>1</v>
      </c>
      <c r="CA61" s="6"/>
      <c r="CB61" s="6"/>
      <c r="CC61" s="10">
        <v>1</v>
      </c>
      <c r="CD61" s="10">
        <v>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</row>
    <row r="62" ht="15">
      <c r="A62" s="6" t="s">
        <v>249</v>
      </c>
      <c r="B62" s="6">
        <f t="shared" si="66"/>
        <v>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10">
        <v>1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</row>
    <row r="63" ht="15">
      <c r="A63" s="6" t="s">
        <v>253</v>
      </c>
      <c r="B63" s="6">
        <f t="shared" si="66"/>
        <v>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0">
        <v>1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</row>
    <row r="64" ht="15">
      <c r="A64" s="6" t="s">
        <v>257</v>
      </c>
      <c r="B64" s="6">
        <f t="shared" si="66"/>
        <v>672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10">
        <v>2</v>
      </c>
      <c r="AU64" s="6"/>
      <c r="AV64" s="10">
        <v>4</v>
      </c>
      <c r="AW64" s="10">
        <v>1</v>
      </c>
      <c r="AX64" s="6"/>
      <c r="AY64" s="6"/>
      <c r="AZ64" s="10">
        <v>2</v>
      </c>
      <c r="BA64" s="10">
        <v>6</v>
      </c>
      <c r="BB64" s="10">
        <v>5</v>
      </c>
      <c r="BC64" s="10">
        <v>6</v>
      </c>
      <c r="BD64" s="10">
        <v>1</v>
      </c>
      <c r="BE64" s="10">
        <v>3</v>
      </c>
      <c r="BF64" s="10">
        <v>3</v>
      </c>
      <c r="BG64" s="10">
        <v>1</v>
      </c>
      <c r="BH64" s="10">
        <v>2</v>
      </c>
      <c r="BI64" s="10">
        <v>11</v>
      </c>
      <c r="BJ64" s="10">
        <v>18</v>
      </c>
      <c r="BK64" s="10">
        <v>14</v>
      </c>
      <c r="BL64" s="10">
        <v>8</v>
      </c>
      <c r="BM64" s="10">
        <v>8</v>
      </c>
      <c r="BN64" s="10">
        <v>19</v>
      </c>
      <c r="BO64" s="10">
        <v>12</v>
      </c>
      <c r="BP64" s="10">
        <v>25</v>
      </c>
      <c r="BQ64" s="10">
        <v>23</v>
      </c>
      <c r="BR64" s="10">
        <v>15</v>
      </c>
      <c r="BS64" s="10">
        <v>11</v>
      </c>
      <c r="BT64" s="10">
        <v>10</v>
      </c>
      <c r="BU64" s="10">
        <v>23</v>
      </c>
      <c r="BV64" s="10">
        <v>22</v>
      </c>
      <c r="BW64" s="10">
        <v>30</v>
      </c>
      <c r="BX64" s="10">
        <v>28</v>
      </c>
      <c r="BY64" s="10">
        <v>42</v>
      </c>
      <c r="BZ64" s="10">
        <v>52</v>
      </c>
      <c r="CA64" s="10">
        <v>68</v>
      </c>
      <c r="CB64" s="10">
        <v>56</v>
      </c>
      <c r="CC64" s="10">
        <v>33</v>
      </c>
      <c r="CD64" s="10">
        <v>29</v>
      </c>
      <c r="CE64" s="10">
        <v>42</v>
      </c>
      <c r="CF64" s="10">
        <v>37</v>
      </c>
      <c r="CG64" s="10">
        <v>14</v>
      </c>
      <c r="CH64" s="10">
        <v>25</v>
      </c>
      <c r="CI64" s="10">
        <v>11</v>
      </c>
      <c r="CJ64" s="10">
        <v>21</v>
      </c>
      <c r="CK64" s="10">
        <v>1</v>
      </c>
      <c r="CL64" s="10">
        <v>11</v>
      </c>
      <c r="CM64" s="10">
        <v>4</v>
      </c>
      <c r="CN64" s="6"/>
      <c r="CO64" s="10">
        <v>1</v>
      </c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</row>
    <row r="65" ht="15">
      <c r="A65" s="6" t="s">
        <v>261</v>
      </c>
      <c r="B65" s="6">
        <f t="shared" si="66"/>
        <v>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10">
        <v>1</v>
      </c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</row>
    <row r="66" ht="15">
      <c r="A66" s="6" t="s">
        <v>265</v>
      </c>
      <c r="B66" s="6">
        <f t="shared" si="66"/>
        <v>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10">
        <v>1</v>
      </c>
      <c r="BQ66" s="6"/>
      <c r="BR66" s="6"/>
      <c r="BS66" s="6"/>
      <c r="BT66" s="6"/>
      <c r="BU66" s="6"/>
      <c r="BV66" s="6"/>
      <c r="BW66" s="10">
        <v>1</v>
      </c>
      <c r="BX66" s="6"/>
      <c r="BY66" s="6"/>
      <c r="BZ66" s="6"/>
      <c r="CA66" s="6"/>
      <c r="CB66" s="10">
        <v>2</v>
      </c>
      <c r="CC66" s="10">
        <v>1</v>
      </c>
      <c r="CD66" s="6"/>
      <c r="CE66" s="6"/>
      <c r="CF66" s="10">
        <v>1</v>
      </c>
      <c r="CG66" s="10">
        <v>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</row>
    <row r="67" ht="15">
      <c r="A67" s="6" t="s">
        <v>269</v>
      </c>
      <c r="B67" s="6">
        <f t="shared" si="66"/>
        <v>11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10">
        <v>1</v>
      </c>
      <c r="BB67" s="6"/>
      <c r="BC67" s="6"/>
      <c r="BD67" s="6"/>
      <c r="BE67" s="6"/>
      <c r="BF67" s="6"/>
      <c r="BG67" s="6"/>
      <c r="BH67" s="10">
        <v>1</v>
      </c>
      <c r="BI67" s="10">
        <v>1</v>
      </c>
      <c r="BJ67" s="6"/>
      <c r="BK67" s="10">
        <v>2</v>
      </c>
      <c r="BL67" s="6"/>
      <c r="BM67" s="6"/>
      <c r="BN67" s="6"/>
      <c r="BO67" s="6"/>
      <c r="BP67" s="6"/>
      <c r="BQ67" s="6"/>
      <c r="BR67" s="6"/>
      <c r="BS67" s="6"/>
      <c r="BT67" s="10">
        <v>2</v>
      </c>
      <c r="BU67" s="6"/>
      <c r="BV67" s="6"/>
      <c r="BW67" s="6"/>
      <c r="BX67" s="6"/>
      <c r="BY67" s="6"/>
      <c r="BZ67" s="6"/>
      <c r="CA67" s="6"/>
      <c r="CB67" s="10">
        <v>2</v>
      </c>
      <c r="CC67" s="6"/>
      <c r="CD67" s="6"/>
      <c r="CE67" s="6"/>
      <c r="CF67" s="10">
        <v>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</row>
    <row r="68" ht="15">
      <c r="A68" s="6" t="s">
        <v>273</v>
      </c>
      <c r="B68" s="6">
        <f t="shared" si="66"/>
        <v>3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10">
        <v>1</v>
      </c>
      <c r="BW68" s="6"/>
      <c r="BX68" s="10">
        <v>1</v>
      </c>
      <c r="BY68" s="6"/>
      <c r="BZ68" s="6"/>
      <c r="CA68" s="6"/>
      <c r="CB68" s="6"/>
      <c r="CC68" s="6"/>
      <c r="CD68" s="6"/>
      <c r="CE68" s="10">
        <v>1</v>
      </c>
      <c r="CF68" s="6"/>
      <c r="CG68" s="10">
        <v>1</v>
      </c>
      <c r="CH68" s="10">
        <v>2</v>
      </c>
      <c r="CI68" s="6"/>
      <c r="CJ68" s="6"/>
      <c r="CK68" s="10">
        <v>1</v>
      </c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10">
        <v>1</v>
      </c>
      <c r="CW68" s="10">
        <v>1</v>
      </c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</row>
    <row r="69" ht="15">
      <c r="A69" s="6" t="s">
        <v>277</v>
      </c>
      <c r="B69" s="6">
        <f t="shared" si="66"/>
        <v>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10">
        <v>1</v>
      </c>
      <c r="BL69" s="10">
        <v>1</v>
      </c>
      <c r="BM69" s="10">
        <v>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</row>
    <row r="70" ht="15">
      <c r="A70" s="6" t="s">
        <v>281</v>
      </c>
      <c r="B70" s="6">
        <f t="shared" si="66"/>
        <v>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10">
        <v>1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</row>
    <row r="71" ht="15">
      <c r="A71" s="6" t="s">
        <v>285</v>
      </c>
      <c r="B71" s="6">
        <f t="shared" si="66"/>
        <v>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10">
        <v>1</v>
      </c>
      <c r="BW71" s="6"/>
      <c r="BX71" s="10">
        <v>1</v>
      </c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</row>
    <row r="72" ht="15">
      <c r="A72" s="6" t="s">
        <v>289</v>
      </c>
      <c r="B72" s="6">
        <f t="shared" si="66"/>
        <v>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10">
        <v>1</v>
      </c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</row>
    <row r="73" ht="15">
      <c r="A73" s="6" t="s">
        <v>293</v>
      </c>
      <c r="B73" s="6">
        <f t="shared" si="66"/>
        <v>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10">
        <v>1</v>
      </c>
      <c r="BP73" s="10">
        <v>1</v>
      </c>
      <c r="BQ73" s="6"/>
      <c r="BR73" s="10">
        <v>1</v>
      </c>
      <c r="BS73" s="6"/>
      <c r="BT73" s="6"/>
      <c r="BU73" s="10">
        <v>1</v>
      </c>
      <c r="BV73" s="6"/>
      <c r="BW73" s="6"/>
      <c r="BX73" s="6"/>
      <c r="BY73" s="10">
        <v>1</v>
      </c>
      <c r="BZ73" s="10">
        <v>1</v>
      </c>
      <c r="CA73" s="6"/>
      <c r="CB73" s="6"/>
      <c r="CC73" s="10">
        <v>2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</row>
    <row r="74" ht="15" hidden="1">
      <c r="A74" s="6" t="s">
        <v>297</v>
      </c>
      <c r="B74" s="6">
        <f t="shared" ref="B74:B99" si="67">SUM(C74:CF74)</f>
        <v>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</row>
    <row r="75" ht="15">
      <c r="A75" s="6" t="s">
        <v>301</v>
      </c>
      <c r="B75" s="6">
        <f t="shared" si="67"/>
        <v>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10">
        <v>1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10">
        <v>1</v>
      </c>
      <c r="CZ75" s="6"/>
      <c r="DA75" s="6"/>
      <c r="DB75" s="10">
        <v>2</v>
      </c>
      <c r="DC75" s="10">
        <v>3</v>
      </c>
      <c r="DD75" s="6"/>
      <c r="DE75" s="6"/>
      <c r="DF75" s="10">
        <v>1</v>
      </c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</row>
    <row r="76" ht="15">
      <c r="A76" s="6" t="s">
        <v>305</v>
      </c>
      <c r="B76" s="6">
        <f t="shared" si="67"/>
        <v>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10">
        <v>1</v>
      </c>
      <c r="BU76" s="6"/>
      <c r="BV76" s="6"/>
      <c r="BW76" s="6"/>
      <c r="BX76" s="6"/>
      <c r="BY76" s="6"/>
      <c r="BZ76" s="6"/>
      <c r="CA76" s="6"/>
      <c r="CB76" s="10">
        <v>2</v>
      </c>
      <c r="CC76" s="10">
        <v>1</v>
      </c>
      <c r="CD76" s="6"/>
      <c r="CE76" s="6"/>
      <c r="CF76" s="10">
        <v>1</v>
      </c>
      <c r="CG76" s="10">
        <v>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</row>
    <row r="77" ht="15" hidden="1">
      <c r="A77" s="6" t="s">
        <v>309</v>
      </c>
      <c r="B77" s="6">
        <f t="shared" si="67"/>
        <v>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10">
        <v>2</v>
      </c>
      <c r="CU77" s="6"/>
      <c r="CV77" s="6"/>
      <c r="CW77" s="6"/>
      <c r="CX77" s="6"/>
      <c r="CY77" s="6"/>
      <c r="CZ77" s="6"/>
      <c r="DA77" s="6"/>
      <c r="DB77" s="10">
        <v>2</v>
      </c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</row>
    <row r="78" ht="15">
      <c r="A78" s="6" t="s">
        <v>313</v>
      </c>
      <c r="B78" s="6">
        <f t="shared" si="67"/>
        <v>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10">
        <v>1</v>
      </c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</row>
    <row r="79" ht="15">
      <c r="A79" s="6" t="s">
        <v>317</v>
      </c>
      <c r="B79" s="6">
        <f t="shared" si="67"/>
        <v>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10">
        <v>1</v>
      </c>
      <c r="BE79" s="6"/>
      <c r="BF79" s="6"/>
      <c r="BG79" s="6"/>
      <c r="BH79" s="6"/>
      <c r="BI79" s="6"/>
      <c r="BJ79" s="6"/>
      <c r="BK79" s="6"/>
      <c r="BL79" s="10">
        <v>1</v>
      </c>
      <c r="BM79" s="6"/>
      <c r="BN79" s="6"/>
      <c r="BO79" s="6"/>
      <c r="BP79" s="6"/>
      <c r="BQ79" s="6"/>
      <c r="BR79" s="10">
        <v>1</v>
      </c>
      <c r="BS79" s="10">
        <v>1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</row>
    <row r="80" ht="15" hidden="1">
      <c r="A80" s="6" t="s">
        <v>321</v>
      </c>
      <c r="B80" s="6">
        <f t="shared" si="67"/>
        <v>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10">
        <v>1</v>
      </c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</row>
    <row r="81" ht="15">
      <c r="A81" s="6" t="s">
        <v>325</v>
      </c>
      <c r="B81" s="6">
        <f t="shared" si="67"/>
        <v>11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10">
        <v>1</v>
      </c>
      <c r="AW81" s="6"/>
      <c r="AX81" s="6"/>
      <c r="AY81" s="6"/>
      <c r="AZ81" s="6"/>
      <c r="BA81" s="10">
        <v>2</v>
      </c>
      <c r="BB81" s="6"/>
      <c r="BC81" s="10">
        <v>1</v>
      </c>
      <c r="BD81" s="6"/>
      <c r="BE81" s="10">
        <v>1</v>
      </c>
      <c r="BF81" s="10">
        <v>1</v>
      </c>
      <c r="BG81" s="10">
        <v>1</v>
      </c>
      <c r="BH81" s="10">
        <v>1</v>
      </c>
      <c r="BI81" s="6"/>
      <c r="BJ81" s="6"/>
      <c r="BK81" s="6"/>
      <c r="BL81" s="6"/>
      <c r="BM81" s="6"/>
      <c r="BN81" s="6"/>
      <c r="BO81" s="6"/>
      <c r="BP81" s="6"/>
      <c r="BQ81" s="10">
        <v>1</v>
      </c>
      <c r="BR81" s="6"/>
      <c r="BS81" s="6"/>
      <c r="BT81" s="6"/>
      <c r="BU81" s="6"/>
      <c r="BV81" s="6"/>
      <c r="BW81" s="6"/>
      <c r="BX81" s="6"/>
      <c r="BY81" s="6"/>
      <c r="BZ81" s="10">
        <v>1</v>
      </c>
      <c r="CA81" s="6"/>
      <c r="CB81" s="6"/>
      <c r="CC81" s="6"/>
      <c r="CD81" s="10">
        <v>1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</row>
    <row r="82" ht="15">
      <c r="A82" s="6" t="s">
        <v>329</v>
      </c>
      <c r="B82" s="6">
        <f t="shared" si="67"/>
        <v>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10">
        <v>1</v>
      </c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</row>
    <row r="83" ht="15">
      <c r="A83" s="6" t="s">
        <v>333</v>
      </c>
      <c r="B83" s="6">
        <f t="shared" si="67"/>
        <v>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10">
        <v>1</v>
      </c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</row>
    <row r="84" ht="15">
      <c r="A84" s="6" t="s">
        <v>337</v>
      </c>
      <c r="B84" s="6">
        <f t="shared" si="67"/>
        <v>51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10">
        <v>8</v>
      </c>
      <c r="BO84" s="10">
        <v>4</v>
      </c>
      <c r="BP84" s="10">
        <v>1</v>
      </c>
      <c r="BQ84" s="10">
        <v>1</v>
      </c>
      <c r="BR84" s="10">
        <v>6</v>
      </c>
      <c r="BS84" s="10">
        <v>4</v>
      </c>
      <c r="BT84" s="10">
        <v>4</v>
      </c>
      <c r="BU84" s="6"/>
      <c r="BV84" s="10">
        <v>3</v>
      </c>
      <c r="BW84" s="10">
        <v>5</v>
      </c>
      <c r="BX84" s="10">
        <v>4</v>
      </c>
      <c r="BY84" s="10">
        <v>3</v>
      </c>
      <c r="BZ84" s="10">
        <v>3</v>
      </c>
      <c r="CA84" s="10">
        <v>3</v>
      </c>
      <c r="CB84" s="10">
        <v>1</v>
      </c>
      <c r="CC84" s="6"/>
      <c r="CD84" s="10">
        <v>1</v>
      </c>
      <c r="CE84" s="6"/>
      <c r="CF84" s="6"/>
      <c r="CG84" s="10">
        <v>1</v>
      </c>
      <c r="CH84" s="6"/>
      <c r="CI84" s="6"/>
      <c r="CJ84" s="10">
        <v>3</v>
      </c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10">
        <v>2</v>
      </c>
      <c r="CX84" s="10">
        <v>1</v>
      </c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</row>
    <row r="85" ht="15">
      <c r="A85" s="6" t="s">
        <v>341</v>
      </c>
      <c r="B85" s="6">
        <f t="shared" si="67"/>
        <v>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10">
        <v>1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10">
        <v>2</v>
      </c>
      <c r="CT85" s="10">
        <v>1</v>
      </c>
      <c r="CU85" s="10">
        <v>1</v>
      </c>
      <c r="CV85" s="10">
        <v>1</v>
      </c>
      <c r="CW85" s="6"/>
      <c r="CX85" s="6"/>
      <c r="CY85" s="6"/>
      <c r="CZ85" s="6"/>
      <c r="DA85" s="6"/>
      <c r="DB85" s="6"/>
      <c r="DC85" s="6"/>
      <c r="DD85" s="10">
        <v>1</v>
      </c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</row>
    <row r="86" ht="15">
      <c r="A86" s="6" t="s">
        <v>345</v>
      </c>
      <c r="B86" s="6">
        <f t="shared" si="67"/>
        <v>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10">
        <v>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</row>
    <row r="87" ht="15">
      <c r="A87" s="6" t="s">
        <v>349</v>
      </c>
      <c r="B87" s="6">
        <f t="shared" si="67"/>
        <v>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10">
        <v>1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</row>
    <row r="88" ht="15">
      <c r="A88" s="6" t="s">
        <v>353</v>
      </c>
      <c r="B88" s="6">
        <f t="shared" si="67"/>
        <v>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10">
        <v>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10">
        <v>1</v>
      </c>
      <c r="BW88" s="10">
        <v>2</v>
      </c>
      <c r="BX88" s="6"/>
      <c r="BY88" s="10">
        <v>1</v>
      </c>
      <c r="BZ88" s="10">
        <v>1</v>
      </c>
      <c r="CA88" s="6"/>
      <c r="CB88" s="6"/>
      <c r="CC88" s="6"/>
      <c r="CD88" s="6"/>
      <c r="CE88" s="10">
        <v>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</row>
    <row r="89" ht="15">
      <c r="A89" s="6" t="s">
        <v>357</v>
      </c>
      <c r="B89" s="6">
        <f t="shared" si="67"/>
        <v>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10">
        <v>1</v>
      </c>
      <c r="BZ89" s="6"/>
      <c r="CA89" s="6"/>
      <c r="CB89" s="6"/>
      <c r="CC89" s="6"/>
      <c r="CD89" s="6"/>
      <c r="CE89" s="6"/>
      <c r="CF89" s="6"/>
      <c r="CG89" s="10">
        <v>1</v>
      </c>
      <c r="CH89" s="6"/>
      <c r="CI89" s="6"/>
      <c r="CJ89" s="6"/>
      <c r="CK89" s="6"/>
      <c r="CL89" s="6"/>
      <c r="CM89" s="10">
        <v>2</v>
      </c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</row>
    <row r="90" ht="15">
      <c r="A90" s="6" t="s">
        <v>361</v>
      </c>
      <c r="B90" s="6">
        <f t="shared" si="67"/>
        <v>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10">
        <v>1</v>
      </c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</row>
    <row r="91" ht="15">
      <c r="A91" s="6" t="s">
        <v>365</v>
      </c>
      <c r="B91" s="6">
        <f t="shared" si="67"/>
        <v>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10">
        <v>1</v>
      </c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</row>
    <row r="92" ht="15">
      <c r="A92" s="6" t="s">
        <v>369</v>
      </c>
      <c r="B92" s="6">
        <f t="shared" si="67"/>
        <v>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10">
        <v>1</v>
      </c>
      <c r="BG92" s="10">
        <v>2</v>
      </c>
      <c r="BH92" s="6"/>
      <c r="BI92" s="10">
        <v>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10">
        <v>1</v>
      </c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</row>
    <row r="93" ht="15">
      <c r="A93" s="6" t="s">
        <v>373</v>
      </c>
      <c r="B93" s="6">
        <f t="shared" si="67"/>
        <v>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10">
        <v>1</v>
      </c>
      <c r="CE93" s="6"/>
      <c r="CF93" s="6"/>
      <c r="CG93" s="6"/>
      <c r="CH93" s="10">
        <v>1</v>
      </c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</row>
    <row r="94" ht="15">
      <c r="A94" s="6" t="s">
        <v>377</v>
      </c>
      <c r="B94" s="6">
        <f t="shared" si="67"/>
        <v>741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10">
        <v>1</v>
      </c>
      <c r="AS94" s="10">
        <v>1</v>
      </c>
      <c r="AT94" s="10">
        <v>1</v>
      </c>
      <c r="AU94" s="6"/>
      <c r="AV94" s="10">
        <v>2</v>
      </c>
      <c r="AW94" s="10">
        <v>4</v>
      </c>
      <c r="AX94" s="10">
        <v>6</v>
      </c>
      <c r="AY94" s="10">
        <v>3</v>
      </c>
      <c r="AZ94" s="10">
        <v>8</v>
      </c>
      <c r="BA94" s="10">
        <v>9</v>
      </c>
      <c r="BB94" s="10">
        <v>8</v>
      </c>
      <c r="BC94" s="10">
        <v>6</v>
      </c>
      <c r="BD94" s="10">
        <v>6</v>
      </c>
      <c r="BE94" s="10">
        <v>9</v>
      </c>
      <c r="BF94" s="10">
        <v>9</v>
      </c>
      <c r="BG94" s="10">
        <v>26</v>
      </c>
      <c r="BH94" s="10">
        <v>25</v>
      </c>
      <c r="BI94" s="10">
        <v>12</v>
      </c>
      <c r="BJ94" s="10">
        <v>12</v>
      </c>
      <c r="BK94" s="10">
        <v>11</v>
      </c>
      <c r="BL94" s="10">
        <v>10</v>
      </c>
      <c r="BM94" s="10">
        <v>28</v>
      </c>
      <c r="BN94" s="10">
        <v>20</v>
      </c>
      <c r="BO94" s="10">
        <v>20</v>
      </c>
      <c r="BP94" s="10">
        <v>17</v>
      </c>
      <c r="BQ94" s="10">
        <v>6</v>
      </c>
      <c r="BR94" s="10">
        <v>13</v>
      </c>
      <c r="BS94" s="10">
        <v>23</v>
      </c>
      <c r="BT94" s="10">
        <v>18</v>
      </c>
      <c r="BU94" s="10">
        <v>23</v>
      </c>
      <c r="BV94" s="10">
        <v>29</v>
      </c>
      <c r="BW94" s="10">
        <v>23</v>
      </c>
      <c r="BX94" s="10">
        <v>21</v>
      </c>
      <c r="BY94" s="10">
        <v>27</v>
      </c>
      <c r="BZ94" s="10">
        <v>51</v>
      </c>
      <c r="CA94" s="10">
        <v>52</v>
      </c>
      <c r="CB94" s="10">
        <v>56</v>
      </c>
      <c r="CC94" s="10">
        <v>30</v>
      </c>
      <c r="CD94" s="10">
        <v>42</v>
      </c>
      <c r="CE94" s="10">
        <v>45</v>
      </c>
      <c r="CF94" s="10">
        <v>28</v>
      </c>
      <c r="CG94" s="10">
        <v>5</v>
      </c>
      <c r="CH94" s="10">
        <v>2</v>
      </c>
      <c r="CI94" s="6"/>
      <c r="CJ94" s="10">
        <v>1</v>
      </c>
      <c r="CK94" s="6"/>
      <c r="CL94" s="6"/>
      <c r="CM94" s="6"/>
      <c r="CN94" s="10">
        <v>2</v>
      </c>
      <c r="CO94" s="10">
        <v>4</v>
      </c>
      <c r="CP94" s="10">
        <v>1</v>
      </c>
      <c r="CQ94" s="6"/>
      <c r="CR94" s="10">
        <v>4</v>
      </c>
      <c r="CS94" s="10">
        <v>2</v>
      </c>
      <c r="CT94" s="10">
        <v>3</v>
      </c>
      <c r="CU94" s="6"/>
      <c r="CV94" s="10">
        <v>2</v>
      </c>
      <c r="CW94" s="10">
        <v>1</v>
      </c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</row>
    <row r="95" ht="15">
      <c r="A95" s="6" t="s">
        <v>381</v>
      </c>
      <c r="B95" s="6">
        <f t="shared" si="67"/>
        <v>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10">
        <v>1</v>
      </c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</row>
    <row r="96" ht="15">
      <c r="A96" s="6" t="s">
        <v>385</v>
      </c>
      <c r="B96" s="6">
        <f t="shared" si="67"/>
        <v>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10">
        <v>1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</row>
    <row r="97" ht="15">
      <c r="A97" s="6" t="s">
        <v>389</v>
      </c>
      <c r="B97" s="6">
        <f t="shared" si="67"/>
        <v>30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10">
        <v>1</v>
      </c>
      <c r="BQ97" s="6"/>
      <c r="BR97" s="10">
        <v>1</v>
      </c>
      <c r="BS97" s="10">
        <v>5</v>
      </c>
      <c r="BT97" s="6"/>
      <c r="BU97" s="6"/>
      <c r="BV97" s="10">
        <v>3</v>
      </c>
      <c r="BW97" s="10">
        <v>1</v>
      </c>
      <c r="BX97" s="10">
        <v>1</v>
      </c>
      <c r="BY97" s="6"/>
      <c r="BZ97" s="10">
        <v>1</v>
      </c>
      <c r="CA97" s="10">
        <v>3</v>
      </c>
      <c r="CB97" s="10">
        <v>2</v>
      </c>
      <c r="CC97" s="10">
        <v>5</v>
      </c>
      <c r="CD97" s="10">
        <v>3</v>
      </c>
      <c r="CE97" s="10">
        <v>1</v>
      </c>
      <c r="CF97" s="10">
        <v>3</v>
      </c>
      <c r="CG97" s="10">
        <v>4</v>
      </c>
      <c r="CH97" s="10">
        <v>2</v>
      </c>
      <c r="CI97" s="10">
        <v>1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</row>
    <row r="98" ht="15">
      <c r="A98" s="6" t="s">
        <v>393</v>
      </c>
      <c r="B98" s="6">
        <f t="shared" si="67"/>
        <v>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10">
        <v>8</v>
      </c>
      <c r="BI98" s="10">
        <v>5</v>
      </c>
      <c r="BJ98" s="6"/>
      <c r="BK98" s="10">
        <v>4</v>
      </c>
      <c r="BL98" s="10">
        <v>1</v>
      </c>
      <c r="BM98" s="10">
        <v>2</v>
      </c>
      <c r="BN98" s="10">
        <v>1</v>
      </c>
      <c r="BO98" s="6"/>
      <c r="BP98" s="6"/>
      <c r="BQ98" s="6"/>
      <c r="BR98" s="10">
        <v>4</v>
      </c>
      <c r="BS98" s="10">
        <v>2</v>
      </c>
      <c r="BT98" s="6"/>
      <c r="BU98" s="6"/>
      <c r="BV98" s="6"/>
      <c r="BW98" s="6"/>
      <c r="BX98" s="6"/>
      <c r="BY98" s="6"/>
      <c r="BZ98" s="10">
        <v>1</v>
      </c>
      <c r="CA98" s="6"/>
      <c r="CB98" s="10">
        <v>3</v>
      </c>
      <c r="CC98" s="6"/>
      <c r="CD98" s="10">
        <v>1</v>
      </c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</row>
    <row r="99" ht="15" hidden="1">
      <c r="A99" s="6" t="s">
        <v>1990</v>
      </c>
      <c r="B99" s="6">
        <f t="shared" si="67"/>
        <v>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10">
        <v>1</v>
      </c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</row>
    <row r="100" ht="15">
      <c r="A100" s="6" t="s">
        <v>1993</v>
      </c>
      <c r="B100" s="6">
        <f t="shared" ref="B100:B163" si="68">SUM(C100:CF100)</f>
        <v>10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10">
        <v>1</v>
      </c>
      <c r="BS100" s="10">
        <v>2</v>
      </c>
      <c r="BT100" s="6"/>
      <c r="BU100" s="6"/>
      <c r="BV100" s="6"/>
      <c r="BW100" s="6"/>
      <c r="BX100" s="10">
        <v>7</v>
      </c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10">
        <v>1</v>
      </c>
      <c r="CQ100" s="6"/>
      <c r="CR100" s="6"/>
      <c r="CS100" s="6"/>
      <c r="CT100" s="6"/>
      <c r="CU100" s="10">
        <v>2</v>
      </c>
      <c r="CV100" s="6"/>
      <c r="CW100" s="10">
        <v>2</v>
      </c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</row>
    <row r="101" ht="15">
      <c r="A101" s="6" t="s">
        <v>397</v>
      </c>
      <c r="B101" s="6">
        <f t="shared" si="68"/>
        <v>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10">
        <v>1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10">
        <v>1</v>
      </c>
      <c r="CL101" s="6"/>
      <c r="CM101" s="10">
        <v>1</v>
      </c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</row>
    <row r="102" ht="15">
      <c r="A102" s="6" t="s">
        <v>401</v>
      </c>
      <c r="B102" s="6">
        <f t="shared" si="68"/>
        <v>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10">
        <v>1</v>
      </c>
      <c r="CB102" s="10">
        <v>1</v>
      </c>
      <c r="CC102" s="6"/>
      <c r="CD102" s="6"/>
      <c r="CE102" s="6"/>
      <c r="CF102" s="6"/>
      <c r="CG102" s="10">
        <v>1</v>
      </c>
      <c r="CH102" s="10">
        <v>1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10">
        <v>1</v>
      </c>
      <c r="CS102" s="6"/>
      <c r="CT102" s="6"/>
      <c r="CU102" s="10">
        <v>1</v>
      </c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</row>
    <row r="103" ht="15">
      <c r="A103" s="6" t="s">
        <v>413</v>
      </c>
      <c r="B103" s="6">
        <f t="shared" si="68"/>
        <v>213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10">
        <v>8</v>
      </c>
      <c r="BB103" s="10">
        <v>5</v>
      </c>
      <c r="BC103" s="10">
        <v>1</v>
      </c>
      <c r="BD103" s="10">
        <v>1</v>
      </c>
      <c r="BE103" s="10">
        <v>2</v>
      </c>
      <c r="BF103" s="10">
        <v>4</v>
      </c>
      <c r="BG103" s="10">
        <v>8</v>
      </c>
      <c r="BH103" s="10">
        <v>9</v>
      </c>
      <c r="BI103" s="10">
        <v>8</v>
      </c>
      <c r="BJ103" s="10">
        <v>17</v>
      </c>
      <c r="BK103" s="10">
        <v>4</v>
      </c>
      <c r="BL103" s="10">
        <v>10</v>
      </c>
      <c r="BM103" s="10">
        <v>4</v>
      </c>
      <c r="BN103" s="6"/>
      <c r="BO103" s="10">
        <v>3</v>
      </c>
      <c r="BP103" s="10">
        <v>2</v>
      </c>
      <c r="BQ103" s="10">
        <v>1</v>
      </c>
      <c r="BR103" s="10">
        <v>5</v>
      </c>
      <c r="BS103" s="10">
        <v>3</v>
      </c>
      <c r="BT103" s="10">
        <v>4</v>
      </c>
      <c r="BU103" s="10">
        <v>2</v>
      </c>
      <c r="BV103" s="6"/>
      <c r="BW103" s="6"/>
      <c r="BX103" s="10">
        <v>19</v>
      </c>
      <c r="BY103" s="10">
        <v>5</v>
      </c>
      <c r="BZ103" s="10">
        <v>10</v>
      </c>
      <c r="CA103" s="10">
        <v>9</v>
      </c>
      <c r="CB103" s="10">
        <v>18</v>
      </c>
      <c r="CC103" s="10">
        <v>14</v>
      </c>
      <c r="CD103" s="10">
        <v>8</v>
      </c>
      <c r="CE103" s="10">
        <v>13</v>
      </c>
      <c r="CF103" s="10">
        <v>16</v>
      </c>
      <c r="CG103" s="10">
        <v>20</v>
      </c>
      <c r="CH103" s="10">
        <v>19</v>
      </c>
      <c r="CI103" s="10">
        <v>14</v>
      </c>
      <c r="CJ103" s="10">
        <v>6</v>
      </c>
      <c r="CK103" s="10">
        <v>5</v>
      </c>
      <c r="CL103" s="10">
        <v>4</v>
      </c>
      <c r="CM103" s="10">
        <v>9</v>
      </c>
      <c r="CN103" s="10">
        <v>13</v>
      </c>
      <c r="CO103" s="10">
        <v>13</v>
      </c>
      <c r="CP103" s="10">
        <v>7</v>
      </c>
      <c r="CQ103" s="10">
        <v>13</v>
      </c>
      <c r="CR103" s="10">
        <v>2</v>
      </c>
      <c r="CS103" s="10">
        <v>23</v>
      </c>
      <c r="CT103" s="10">
        <v>7</v>
      </c>
      <c r="CU103" s="10">
        <v>7</v>
      </c>
      <c r="CV103" s="10">
        <v>4</v>
      </c>
      <c r="CW103" s="10">
        <v>4</v>
      </c>
      <c r="CX103" s="10">
        <v>6</v>
      </c>
      <c r="CY103" s="10">
        <v>4</v>
      </c>
      <c r="CZ103" s="10">
        <v>4</v>
      </c>
      <c r="DA103" s="10">
        <v>6</v>
      </c>
      <c r="DB103" s="10">
        <v>3</v>
      </c>
      <c r="DC103" s="10">
        <v>1</v>
      </c>
      <c r="DD103" s="10">
        <v>3</v>
      </c>
      <c r="DE103" s="10">
        <v>2</v>
      </c>
      <c r="DF103" s="10">
        <v>4</v>
      </c>
      <c r="DG103" s="10">
        <v>1</v>
      </c>
      <c r="DH103" s="10">
        <v>7</v>
      </c>
      <c r="DI103" s="10">
        <v>1</v>
      </c>
      <c r="DJ103" s="10">
        <v>2</v>
      </c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</row>
    <row r="104" ht="15">
      <c r="A104" s="6" t="s">
        <v>417</v>
      </c>
      <c r="B104" s="6">
        <f t="shared" si="68"/>
        <v>27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10">
        <v>1</v>
      </c>
      <c r="BA104" s="10">
        <v>1</v>
      </c>
      <c r="BB104" s="6"/>
      <c r="BC104" s="6"/>
      <c r="BD104" s="6"/>
      <c r="BE104" s="6"/>
      <c r="BF104" s="6"/>
      <c r="BG104" s="6"/>
      <c r="BH104" s="6"/>
      <c r="BI104" s="6"/>
      <c r="BJ104" s="10">
        <v>2</v>
      </c>
      <c r="BK104" s="6"/>
      <c r="BL104" s="6"/>
      <c r="BM104" s="10">
        <v>1</v>
      </c>
      <c r="BN104" s="10">
        <v>2</v>
      </c>
      <c r="BO104" s="10">
        <v>2</v>
      </c>
      <c r="BP104" s="10">
        <v>5</v>
      </c>
      <c r="BQ104" s="10">
        <v>1</v>
      </c>
      <c r="BR104" s="10">
        <v>3</v>
      </c>
      <c r="BS104" s="10">
        <v>1</v>
      </c>
      <c r="BT104" s="10">
        <v>2</v>
      </c>
      <c r="BU104" s="10">
        <v>3</v>
      </c>
      <c r="BV104" s="10">
        <v>1</v>
      </c>
      <c r="BW104" s="6"/>
      <c r="BX104" s="6"/>
      <c r="BY104" s="6"/>
      <c r="BZ104" s="6"/>
      <c r="CA104" s="10">
        <v>2</v>
      </c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</row>
    <row r="105" ht="15">
      <c r="A105" s="6" t="s">
        <v>421</v>
      </c>
      <c r="B105" s="6">
        <f t="shared" si="68"/>
        <v>206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10">
        <v>1</v>
      </c>
      <c r="AS105" s="10">
        <v>1</v>
      </c>
      <c r="AT105" s="6"/>
      <c r="AU105" s="10">
        <v>1</v>
      </c>
      <c r="AV105" s="10">
        <v>2</v>
      </c>
      <c r="AW105" s="6"/>
      <c r="AX105" s="6"/>
      <c r="AY105" s="6"/>
      <c r="AZ105" s="10">
        <v>2</v>
      </c>
      <c r="BA105" s="10">
        <v>1</v>
      </c>
      <c r="BB105" s="6"/>
      <c r="BC105" s="6"/>
      <c r="BD105" s="6"/>
      <c r="BE105" s="6"/>
      <c r="BF105" s="10">
        <v>2</v>
      </c>
      <c r="BG105" s="10">
        <v>8</v>
      </c>
      <c r="BH105" s="10">
        <v>8</v>
      </c>
      <c r="BI105" s="10">
        <v>5</v>
      </c>
      <c r="BJ105" s="10">
        <v>2</v>
      </c>
      <c r="BK105" s="10">
        <v>3</v>
      </c>
      <c r="BL105" s="10">
        <v>9</v>
      </c>
      <c r="BM105" s="10">
        <v>3</v>
      </c>
      <c r="BN105" s="10">
        <v>1</v>
      </c>
      <c r="BO105" s="10">
        <v>4</v>
      </c>
      <c r="BP105" s="10">
        <v>17</v>
      </c>
      <c r="BQ105" s="10">
        <v>5</v>
      </c>
      <c r="BR105" s="10">
        <v>9</v>
      </c>
      <c r="BS105" s="10">
        <v>8</v>
      </c>
      <c r="BT105" s="10">
        <v>7</v>
      </c>
      <c r="BU105" s="10">
        <v>10</v>
      </c>
      <c r="BV105" s="10">
        <v>7</v>
      </c>
      <c r="BW105" s="10">
        <v>4</v>
      </c>
      <c r="BX105" s="10">
        <v>4</v>
      </c>
      <c r="BY105" s="10">
        <v>6</v>
      </c>
      <c r="BZ105" s="10">
        <v>10</v>
      </c>
      <c r="CA105" s="10">
        <v>13</v>
      </c>
      <c r="CB105" s="10">
        <v>8</v>
      </c>
      <c r="CC105" s="10">
        <v>5</v>
      </c>
      <c r="CD105" s="10">
        <v>14</v>
      </c>
      <c r="CE105" s="10">
        <v>10</v>
      </c>
      <c r="CF105" s="10">
        <v>16</v>
      </c>
      <c r="CG105" s="10">
        <v>11</v>
      </c>
      <c r="CH105" s="10">
        <v>11</v>
      </c>
      <c r="CI105" s="10">
        <v>11</v>
      </c>
      <c r="CJ105" s="10">
        <v>10</v>
      </c>
      <c r="CK105" s="10">
        <v>7</v>
      </c>
      <c r="CL105" s="10">
        <v>7</v>
      </c>
      <c r="CM105" s="10">
        <v>15</v>
      </c>
      <c r="CN105" s="10">
        <v>2</v>
      </c>
      <c r="CO105" s="10">
        <v>4</v>
      </c>
      <c r="CP105" s="10">
        <v>8</v>
      </c>
      <c r="CQ105" s="10">
        <v>3</v>
      </c>
      <c r="CR105" s="10">
        <v>3</v>
      </c>
      <c r="CS105" s="10">
        <v>3</v>
      </c>
      <c r="CT105" s="10">
        <v>7</v>
      </c>
      <c r="CU105" s="10">
        <v>2</v>
      </c>
      <c r="CV105" s="10">
        <v>1</v>
      </c>
      <c r="CW105" s="10">
        <v>2</v>
      </c>
      <c r="CX105" s="10">
        <v>6</v>
      </c>
      <c r="CY105" s="10">
        <v>3</v>
      </c>
      <c r="CZ105" s="10">
        <v>1</v>
      </c>
      <c r="DA105" s="10">
        <v>2</v>
      </c>
      <c r="DB105" s="10">
        <v>1</v>
      </c>
      <c r="DC105" s="6"/>
      <c r="DD105" s="10">
        <v>2</v>
      </c>
      <c r="DE105" s="6"/>
      <c r="DF105" s="6"/>
      <c r="DG105" s="10">
        <v>1</v>
      </c>
      <c r="DH105" s="6"/>
      <c r="DI105" s="6"/>
      <c r="DJ105" s="10">
        <v>1</v>
      </c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</row>
    <row r="106" ht="15">
      <c r="A106" s="6" t="s">
        <v>425</v>
      </c>
      <c r="B106" s="6">
        <f t="shared" si="68"/>
        <v>20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10">
        <v>1</v>
      </c>
      <c r="BE106" s="6"/>
      <c r="BF106" s="6"/>
      <c r="BG106" s="10">
        <v>3</v>
      </c>
      <c r="BH106" s="6"/>
      <c r="BI106" s="6"/>
      <c r="BJ106" s="10">
        <v>1</v>
      </c>
      <c r="BK106" s="6"/>
      <c r="BL106" s="10">
        <v>5</v>
      </c>
      <c r="BM106" s="10">
        <v>3</v>
      </c>
      <c r="BN106" s="10">
        <v>6</v>
      </c>
      <c r="BO106" s="10">
        <v>1</v>
      </c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</row>
    <row r="107" ht="15">
      <c r="A107" s="6" t="s">
        <v>429</v>
      </c>
      <c r="B107" s="6">
        <f t="shared" si="68"/>
        <v>22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10">
        <v>1</v>
      </c>
      <c r="AW107" s="10">
        <v>2</v>
      </c>
      <c r="AX107" s="6"/>
      <c r="AY107" s="6"/>
      <c r="AZ107" s="6"/>
      <c r="BA107" s="6"/>
      <c r="BB107" s="6"/>
      <c r="BC107" s="10">
        <v>1</v>
      </c>
      <c r="BD107" s="6"/>
      <c r="BE107" s="6"/>
      <c r="BF107" s="10">
        <v>2</v>
      </c>
      <c r="BG107" s="6"/>
      <c r="BH107" s="6"/>
      <c r="BI107" s="10">
        <v>1</v>
      </c>
      <c r="BJ107" s="6"/>
      <c r="BK107" s="10">
        <v>1</v>
      </c>
      <c r="BL107" s="10">
        <v>1</v>
      </c>
      <c r="BM107" s="10">
        <v>5</v>
      </c>
      <c r="BN107" s="6"/>
      <c r="BO107" s="6"/>
      <c r="BP107" s="6"/>
      <c r="BQ107" s="10">
        <v>2</v>
      </c>
      <c r="BR107" s="10">
        <v>1</v>
      </c>
      <c r="BS107" s="6"/>
      <c r="BT107" s="10">
        <v>3</v>
      </c>
      <c r="BU107" s="10">
        <v>1</v>
      </c>
      <c r="BV107" s="10">
        <v>1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</row>
    <row r="108" ht="15">
      <c r="A108" s="6" t="s">
        <v>433</v>
      </c>
      <c r="B108" s="6">
        <f t="shared" si="68"/>
        <v>6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10">
        <v>3</v>
      </c>
      <c r="BN108" s="10">
        <v>1</v>
      </c>
      <c r="BO108" s="10">
        <v>2</v>
      </c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</row>
    <row r="109" ht="15">
      <c r="A109" s="6" t="s">
        <v>437</v>
      </c>
      <c r="B109" s="6">
        <f t="shared" si="68"/>
        <v>63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10">
        <v>3</v>
      </c>
      <c r="BM109" s="10">
        <v>1</v>
      </c>
      <c r="BN109" s="6"/>
      <c r="BO109" s="6"/>
      <c r="BP109" s="6"/>
      <c r="BQ109" s="10">
        <v>1</v>
      </c>
      <c r="BR109" s="10">
        <v>1</v>
      </c>
      <c r="BS109" s="10">
        <v>1</v>
      </c>
      <c r="BT109" s="6"/>
      <c r="BU109" s="10">
        <v>1</v>
      </c>
      <c r="BV109" s="10">
        <v>1</v>
      </c>
      <c r="BW109" s="10">
        <v>1</v>
      </c>
      <c r="BX109" s="6"/>
      <c r="BY109" s="6"/>
      <c r="BZ109" s="6"/>
      <c r="CA109" s="10">
        <v>14</v>
      </c>
      <c r="CB109" s="10">
        <v>4</v>
      </c>
      <c r="CC109" s="10">
        <v>11</v>
      </c>
      <c r="CD109" s="10">
        <v>4</v>
      </c>
      <c r="CE109" s="10">
        <v>11</v>
      </c>
      <c r="CF109" s="10">
        <v>9</v>
      </c>
      <c r="CG109" s="10">
        <v>4</v>
      </c>
      <c r="CH109" s="10">
        <v>1</v>
      </c>
      <c r="CI109" s="10">
        <v>3</v>
      </c>
      <c r="CJ109" s="10">
        <v>5</v>
      </c>
      <c r="CK109" s="10">
        <v>2</v>
      </c>
      <c r="CL109" s="10">
        <v>1</v>
      </c>
      <c r="CM109" s="6"/>
      <c r="CN109" s="10">
        <v>2</v>
      </c>
      <c r="CO109" s="6"/>
      <c r="CP109" s="10">
        <v>2</v>
      </c>
      <c r="CQ109" s="6"/>
      <c r="CR109" s="6"/>
      <c r="CS109" s="10">
        <v>3</v>
      </c>
      <c r="CT109" s="10">
        <v>2</v>
      </c>
      <c r="CU109" s="6"/>
      <c r="CV109" s="6"/>
      <c r="CW109" s="10">
        <v>1</v>
      </c>
      <c r="CX109" s="10">
        <v>3</v>
      </c>
      <c r="CY109" s="10">
        <v>3</v>
      </c>
      <c r="CZ109" s="6"/>
      <c r="DA109" s="6"/>
      <c r="DB109" s="10">
        <v>1</v>
      </c>
      <c r="DC109" s="10">
        <v>1</v>
      </c>
      <c r="DD109" s="10">
        <v>1</v>
      </c>
      <c r="DE109" s="6"/>
      <c r="DF109" s="6"/>
      <c r="DG109" s="10">
        <v>2</v>
      </c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</row>
    <row r="110" ht="15">
      <c r="A110" s="6" t="s">
        <v>441</v>
      </c>
      <c r="B110" s="6">
        <f t="shared" si="68"/>
        <v>458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10">
        <v>1</v>
      </c>
      <c r="AW110" s="6"/>
      <c r="AX110" s="6"/>
      <c r="AY110" s="6"/>
      <c r="AZ110" s="6"/>
      <c r="BA110" s="6"/>
      <c r="BB110" s="6"/>
      <c r="BC110" s="10">
        <v>2</v>
      </c>
      <c r="BD110" s="10">
        <v>2</v>
      </c>
      <c r="BE110" s="6"/>
      <c r="BF110" s="10">
        <v>2</v>
      </c>
      <c r="BG110" s="10">
        <v>2</v>
      </c>
      <c r="BH110" s="10">
        <v>4</v>
      </c>
      <c r="BI110" s="10">
        <v>5</v>
      </c>
      <c r="BJ110" s="10">
        <v>15</v>
      </c>
      <c r="BK110" s="10">
        <v>38</v>
      </c>
      <c r="BL110" s="10">
        <v>24</v>
      </c>
      <c r="BM110" s="10">
        <v>27</v>
      </c>
      <c r="BN110" s="10">
        <v>36</v>
      </c>
      <c r="BO110" s="10">
        <v>24</v>
      </c>
      <c r="BP110" s="10">
        <v>35</v>
      </c>
      <c r="BQ110" s="10">
        <v>22</v>
      </c>
      <c r="BR110" s="10">
        <v>25</v>
      </c>
      <c r="BS110" s="10">
        <v>22</v>
      </c>
      <c r="BT110" s="10">
        <v>17</v>
      </c>
      <c r="BU110" s="10">
        <v>12</v>
      </c>
      <c r="BV110" s="10">
        <v>23</v>
      </c>
      <c r="BW110" s="10">
        <v>14</v>
      </c>
      <c r="BX110" s="10">
        <v>9</v>
      </c>
      <c r="BY110" s="10">
        <v>4</v>
      </c>
      <c r="BZ110" s="10">
        <v>21</v>
      </c>
      <c r="CA110" s="10">
        <v>23</v>
      </c>
      <c r="CB110" s="10">
        <v>21</v>
      </c>
      <c r="CC110" s="10">
        <v>9</v>
      </c>
      <c r="CD110" s="10">
        <v>5</v>
      </c>
      <c r="CE110" s="10">
        <v>7</v>
      </c>
      <c r="CF110" s="10">
        <v>7</v>
      </c>
      <c r="CG110" s="10">
        <v>5</v>
      </c>
      <c r="CH110" s="10">
        <v>10</v>
      </c>
      <c r="CI110" s="6"/>
      <c r="CJ110" s="6"/>
      <c r="CK110" s="6"/>
      <c r="CL110" s="6"/>
      <c r="CM110" s="6"/>
      <c r="CN110" s="10">
        <v>1</v>
      </c>
      <c r="CO110" s="6"/>
      <c r="CP110" s="6"/>
      <c r="CQ110" s="10">
        <v>2</v>
      </c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10">
        <v>1</v>
      </c>
      <c r="DE110" s="6"/>
      <c r="DF110" s="6"/>
      <c r="DG110" s="6"/>
      <c r="DH110" s="6"/>
      <c r="DI110" s="10">
        <v>2</v>
      </c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</row>
    <row r="111" ht="15">
      <c r="A111" s="6" t="s">
        <v>445</v>
      </c>
      <c r="B111" s="6">
        <f t="shared" si="68"/>
        <v>1181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10">
        <v>1</v>
      </c>
      <c r="AJ111" s="6"/>
      <c r="AK111" s="6"/>
      <c r="AL111" s="6"/>
      <c r="AM111" s="6"/>
      <c r="AN111" s="6"/>
      <c r="AO111" s="6"/>
      <c r="AP111" s="6"/>
      <c r="AQ111" s="10">
        <v>1</v>
      </c>
      <c r="AR111" s="10">
        <v>1</v>
      </c>
      <c r="AS111" s="6"/>
      <c r="AT111" s="6"/>
      <c r="AU111" s="10">
        <v>1</v>
      </c>
      <c r="AV111" s="10">
        <v>9</v>
      </c>
      <c r="AW111" s="10">
        <v>5</v>
      </c>
      <c r="AX111" s="10">
        <v>4</v>
      </c>
      <c r="AY111" s="10">
        <v>12</v>
      </c>
      <c r="AZ111" s="10">
        <v>2</v>
      </c>
      <c r="BA111" s="10">
        <v>15</v>
      </c>
      <c r="BB111" s="10">
        <v>22</v>
      </c>
      <c r="BC111" s="10">
        <v>7</v>
      </c>
      <c r="BD111" s="10">
        <v>5</v>
      </c>
      <c r="BE111" s="10">
        <v>11</v>
      </c>
      <c r="BF111" s="10">
        <v>12</v>
      </c>
      <c r="BG111" s="10">
        <v>7</v>
      </c>
      <c r="BH111" s="10">
        <v>10</v>
      </c>
      <c r="BI111" s="10">
        <v>13</v>
      </c>
      <c r="BJ111" s="10">
        <v>43</v>
      </c>
      <c r="BK111" s="10">
        <v>39</v>
      </c>
      <c r="BL111" s="10">
        <v>24</v>
      </c>
      <c r="BM111" s="10">
        <v>9</v>
      </c>
      <c r="BN111" s="10">
        <v>10</v>
      </c>
      <c r="BO111" s="10">
        <v>24</v>
      </c>
      <c r="BP111" s="10">
        <v>27</v>
      </c>
      <c r="BQ111" s="10">
        <v>17</v>
      </c>
      <c r="BR111" s="10">
        <v>14</v>
      </c>
      <c r="BS111" s="10">
        <v>32</v>
      </c>
      <c r="BT111" s="10">
        <v>43</v>
      </c>
      <c r="BU111" s="10">
        <v>52</v>
      </c>
      <c r="BV111" s="10">
        <v>30</v>
      </c>
      <c r="BW111" s="10">
        <v>41</v>
      </c>
      <c r="BX111" s="10">
        <v>59</v>
      </c>
      <c r="BY111" s="10">
        <v>46</v>
      </c>
      <c r="BZ111" s="10">
        <v>51</v>
      </c>
      <c r="CA111" s="10">
        <v>106</v>
      </c>
      <c r="CB111" s="10">
        <v>102</v>
      </c>
      <c r="CC111" s="10">
        <v>82</v>
      </c>
      <c r="CD111" s="10">
        <v>62</v>
      </c>
      <c r="CE111" s="10">
        <v>66</v>
      </c>
      <c r="CF111" s="10">
        <v>64</v>
      </c>
      <c r="CG111" s="10">
        <v>43</v>
      </c>
      <c r="CH111" s="10">
        <v>88</v>
      </c>
      <c r="CI111" s="10">
        <v>182</v>
      </c>
      <c r="CJ111" s="10">
        <v>166</v>
      </c>
      <c r="CK111" s="10">
        <v>91</v>
      </c>
      <c r="CL111" s="10">
        <v>7</v>
      </c>
      <c r="CM111" s="10">
        <v>2</v>
      </c>
      <c r="CN111" s="10">
        <v>1</v>
      </c>
      <c r="CO111" s="6"/>
      <c r="CP111" s="10">
        <v>4</v>
      </c>
      <c r="CQ111" s="10">
        <v>1</v>
      </c>
      <c r="CR111" s="6"/>
      <c r="CS111" s="10">
        <v>5</v>
      </c>
      <c r="CT111" s="10">
        <v>2</v>
      </c>
      <c r="CU111" s="10">
        <v>1</v>
      </c>
      <c r="CV111" s="6"/>
      <c r="CW111" s="10">
        <v>2</v>
      </c>
      <c r="CX111" s="6"/>
      <c r="CY111" s="10">
        <v>1</v>
      </c>
      <c r="CZ111" s="6"/>
      <c r="DA111" s="6"/>
      <c r="DB111" s="6"/>
      <c r="DC111" s="6"/>
      <c r="DD111" s="6"/>
      <c r="DE111" s="10">
        <v>1</v>
      </c>
      <c r="DF111" s="10">
        <v>1</v>
      </c>
      <c r="DG111" s="10">
        <v>1</v>
      </c>
      <c r="DH111" s="10">
        <v>1</v>
      </c>
      <c r="DI111" s="6"/>
      <c r="DJ111" s="6"/>
      <c r="DK111" s="6"/>
      <c r="DL111" s="6"/>
      <c r="DM111" s="6"/>
      <c r="DN111" s="10">
        <v>1</v>
      </c>
      <c r="DO111" s="10">
        <v>1</v>
      </c>
      <c r="DP111" s="6"/>
      <c r="DQ111" s="6"/>
      <c r="DR111" s="6"/>
      <c r="DS111" s="6"/>
      <c r="DT111" s="6"/>
      <c r="DU111" s="10">
        <v>1</v>
      </c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</row>
    <row r="112" ht="15">
      <c r="A112" s="6" t="s">
        <v>448</v>
      </c>
      <c r="B112" s="6">
        <f t="shared" si="68"/>
        <v>930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10">
        <v>1</v>
      </c>
      <c r="AI112" s="6"/>
      <c r="AJ112" s="6"/>
      <c r="AK112" s="6"/>
      <c r="AL112" s="6"/>
      <c r="AM112" s="6"/>
      <c r="AN112" s="6"/>
      <c r="AO112" s="6"/>
      <c r="AP112" s="6"/>
      <c r="AQ112" s="6"/>
      <c r="AR112" s="10">
        <v>1</v>
      </c>
      <c r="AS112" s="6"/>
      <c r="AT112" s="10">
        <v>1</v>
      </c>
      <c r="AU112" s="6"/>
      <c r="AV112" s="10">
        <v>5</v>
      </c>
      <c r="AW112" s="6"/>
      <c r="AX112" s="6"/>
      <c r="AY112" s="6"/>
      <c r="AZ112" s="10">
        <v>2</v>
      </c>
      <c r="BA112" s="6"/>
      <c r="BB112" s="10">
        <v>3</v>
      </c>
      <c r="BC112" s="10">
        <v>7</v>
      </c>
      <c r="BD112" s="10">
        <v>9</v>
      </c>
      <c r="BE112" s="10">
        <v>8</v>
      </c>
      <c r="BF112" s="10">
        <v>2</v>
      </c>
      <c r="BG112" s="10">
        <v>6</v>
      </c>
      <c r="BH112" s="10">
        <v>15</v>
      </c>
      <c r="BI112" s="10">
        <v>30</v>
      </c>
      <c r="BJ112" s="10">
        <v>22</v>
      </c>
      <c r="BK112" s="10">
        <v>22</v>
      </c>
      <c r="BL112" s="10">
        <v>36</v>
      </c>
      <c r="BM112" s="10">
        <v>35</v>
      </c>
      <c r="BN112" s="10">
        <v>54</v>
      </c>
      <c r="BO112" s="10">
        <v>62</v>
      </c>
      <c r="BP112" s="10">
        <v>46</v>
      </c>
      <c r="BQ112" s="10">
        <v>47</v>
      </c>
      <c r="BR112" s="10">
        <v>15</v>
      </c>
      <c r="BS112" s="10">
        <v>30</v>
      </c>
      <c r="BT112" s="10">
        <v>23</v>
      </c>
      <c r="BU112" s="10">
        <v>12</v>
      </c>
      <c r="BV112" s="10">
        <v>18</v>
      </c>
      <c r="BW112" s="10">
        <v>16</v>
      </c>
      <c r="BX112" s="10">
        <v>17</v>
      </c>
      <c r="BY112" s="10">
        <v>16</v>
      </c>
      <c r="BZ112" s="10">
        <v>24</v>
      </c>
      <c r="CA112" s="10">
        <v>31</v>
      </c>
      <c r="CB112" s="10">
        <v>25</v>
      </c>
      <c r="CC112" s="10">
        <v>63</v>
      </c>
      <c r="CD112" s="10">
        <v>117</v>
      </c>
      <c r="CE112" s="10">
        <v>77</v>
      </c>
      <c r="CF112" s="10">
        <v>32</v>
      </c>
      <c r="CG112" s="10">
        <v>25</v>
      </c>
      <c r="CH112" s="10">
        <v>18</v>
      </c>
      <c r="CI112" s="10">
        <v>15</v>
      </c>
      <c r="CJ112" s="10">
        <v>13</v>
      </c>
      <c r="CK112" s="10">
        <v>16</v>
      </c>
      <c r="CL112" s="10">
        <v>16</v>
      </c>
      <c r="CM112" s="10">
        <v>15</v>
      </c>
      <c r="CN112" s="10">
        <v>12</v>
      </c>
      <c r="CO112" s="10">
        <v>5</v>
      </c>
      <c r="CP112" s="10">
        <v>3</v>
      </c>
      <c r="CQ112" s="10">
        <v>3</v>
      </c>
      <c r="CR112" s="10">
        <v>4</v>
      </c>
      <c r="CS112" s="10">
        <v>3</v>
      </c>
      <c r="CT112" s="10">
        <v>9</v>
      </c>
      <c r="CU112" s="10">
        <v>9</v>
      </c>
      <c r="CV112" s="10">
        <v>5</v>
      </c>
      <c r="CW112" s="10">
        <v>4</v>
      </c>
      <c r="CX112" s="10">
        <v>3</v>
      </c>
      <c r="CY112" s="10">
        <v>11</v>
      </c>
      <c r="CZ112" s="10">
        <v>6</v>
      </c>
      <c r="DA112" s="10">
        <v>1</v>
      </c>
      <c r="DB112" s="10">
        <v>2</v>
      </c>
      <c r="DC112" s="10">
        <v>1</v>
      </c>
      <c r="DD112" s="10">
        <v>1</v>
      </c>
      <c r="DE112" s="10">
        <v>1</v>
      </c>
      <c r="DF112" s="10">
        <v>2</v>
      </c>
      <c r="DG112" s="6"/>
      <c r="DH112" s="10">
        <v>1</v>
      </c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</row>
    <row r="113" ht="15">
      <c r="A113" s="6" t="s">
        <v>452</v>
      </c>
      <c r="B113" s="6">
        <f t="shared" si="68"/>
        <v>6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10">
        <v>1</v>
      </c>
      <c r="AR113" s="10">
        <v>2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10">
        <v>1</v>
      </c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10">
        <v>1</v>
      </c>
      <c r="BX113" s="6"/>
      <c r="BY113" s="6"/>
      <c r="BZ113" s="6"/>
      <c r="CA113" s="6"/>
      <c r="CB113" s="6"/>
      <c r="CC113" s="6"/>
      <c r="CD113" s="10">
        <v>1</v>
      </c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10">
        <v>21</v>
      </c>
      <c r="EH113" s="10"/>
      <c r="EI113" s="10"/>
      <c r="EJ113" s="10"/>
      <c r="EK113" s="10"/>
      <c r="EL113" s="10"/>
    </row>
    <row r="114" ht="15">
      <c r="A114" s="6" t="s">
        <v>456</v>
      </c>
      <c r="B114" s="6">
        <f t="shared" si="68"/>
        <v>177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10">
        <v>1</v>
      </c>
      <c r="BB114" s="6"/>
      <c r="BC114" s="6"/>
      <c r="BD114" s="10">
        <v>2</v>
      </c>
      <c r="BE114" s="10">
        <v>2</v>
      </c>
      <c r="BF114" s="10">
        <v>1</v>
      </c>
      <c r="BG114" s="10">
        <v>4</v>
      </c>
      <c r="BH114" s="10">
        <v>5</v>
      </c>
      <c r="BI114" s="10">
        <v>6</v>
      </c>
      <c r="BJ114" s="10">
        <v>1</v>
      </c>
      <c r="BK114" s="10">
        <v>5</v>
      </c>
      <c r="BL114" s="10">
        <v>3</v>
      </c>
      <c r="BM114" s="10">
        <v>4</v>
      </c>
      <c r="BN114" s="10">
        <v>17</v>
      </c>
      <c r="BO114" s="10">
        <v>7</v>
      </c>
      <c r="BP114" s="10">
        <v>4</v>
      </c>
      <c r="BQ114" s="10">
        <v>18</v>
      </c>
      <c r="BR114" s="10">
        <v>8</v>
      </c>
      <c r="BS114" s="10">
        <v>6</v>
      </c>
      <c r="BT114" s="10">
        <v>14</v>
      </c>
      <c r="BU114" s="10">
        <v>1</v>
      </c>
      <c r="BV114" s="10">
        <v>4</v>
      </c>
      <c r="BW114" s="10">
        <v>4</v>
      </c>
      <c r="BX114" s="10">
        <v>7</v>
      </c>
      <c r="BY114" s="10">
        <v>7</v>
      </c>
      <c r="BZ114" s="10">
        <v>3</v>
      </c>
      <c r="CA114" s="10">
        <v>7</v>
      </c>
      <c r="CB114" s="10">
        <v>9</v>
      </c>
      <c r="CC114" s="10">
        <v>5</v>
      </c>
      <c r="CD114" s="10">
        <v>6</v>
      </c>
      <c r="CE114" s="10">
        <v>9</v>
      </c>
      <c r="CF114" s="10">
        <v>7</v>
      </c>
      <c r="CG114" s="10">
        <v>8</v>
      </c>
      <c r="CH114" s="10">
        <v>5</v>
      </c>
      <c r="CI114" s="10">
        <v>6</v>
      </c>
      <c r="CJ114" s="10">
        <v>6</v>
      </c>
      <c r="CK114" s="10">
        <v>4</v>
      </c>
      <c r="CL114" s="10">
        <v>4</v>
      </c>
      <c r="CM114" s="10">
        <v>5</v>
      </c>
      <c r="CN114" s="10">
        <v>4</v>
      </c>
      <c r="CO114" s="10">
        <v>4</v>
      </c>
      <c r="CP114" s="10">
        <v>3</v>
      </c>
      <c r="CQ114" s="10">
        <v>8</v>
      </c>
      <c r="CR114" s="10">
        <v>5</v>
      </c>
      <c r="CS114" s="10">
        <v>10</v>
      </c>
      <c r="CT114" s="10">
        <v>9</v>
      </c>
      <c r="CU114" s="10">
        <v>7</v>
      </c>
      <c r="CV114" s="10">
        <v>7</v>
      </c>
      <c r="CW114" s="10">
        <v>15</v>
      </c>
      <c r="CX114" s="10">
        <v>9</v>
      </c>
      <c r="CY114" s="10">
        <v>8</v>
      </c>
      <c r="CZ114" s="10">
        <v>11</v>
      </c>
      <c r="DA114" s="10">
        <v>8</v>
      </c>
      <c r="DB114" s="10">
        <v>1</v>
      </c>
      <c r="DC114" s="10">
        <v>4</v>
      </c>
      <c r="DD114" s="10">
        <v>6</v>
      </c>
      <c r="DE114" s="10">
        <v>6</v>
      </c>
      <c r="DF114" s="10">
        <v>8</v>
      </c>
      <c r="DG114" s="10">
        <v>3</v>
      </c>
      <c r="DH114" s="10">
        <v>1</v>
      </c>
      <c r="DI114" s="10">
        <v>1</v>
      </c>
      <c r="DJ114" s="10">
        <v>1</v>
      </c>
      <c r="DK114" s="6"/>
      <c r="DL114" s="6"/>
      <c r="DM114" s="6"/>
      <c r="DN114" s="10">
        <v>2</v>
      </c>
      <c r="DO114" s="10">
        <v>3</v>
      </c>
      <c r="DP114" s="10">
        <v>3</v>
      </c>
      <c r="DQ114" s="6"/>
      <c r="DR114" s="6"/>
      <c r="DS114" s="6"/>
      <c r="DT114" s="6"/>
      <c r="DU114" s="10">
        <v>2</v>
      </c>
      <c r="DV114" s="6"/>
      <c r="DW114" s="10">
        <v>1</v>
      </c>
      <c r="DX114" s="6"/>
      <c r="DY114" s="10">
        <v>1</v>
      </c>
      <c r="DZ114" s="6"/>
      <c r="EA114" s="6"/>
      <c r="EB114" s="6"/>
      <c r="EC114" s="10">
        <v>2</v>
      </c>
      <c r="ED114" s="6"/>
      <c r="EE114" s="6"/>
      <c r="EF114" s="6"/>
      <c r="EG114" s="10">
        <v>1</v>
      </c>
      <c r="EH114" s="10"/>
      <c r="EI114" s="10"/>
      <c r="EJ114" s="10"/>
      <c r="EK114" s="10"/>
      <c r="EL114" s="10"/>
    </row>
    <row r="115" ht="15">
      <c r="A115" s="6" t="s">
        <v>460</v>
      </c>
      <c r="B115" s="6">
        <f t="shared" si="68"/>
        <v>37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10">
        <v>1</v>
      </c>
      <c r="BE115" s="6"/>
      <c r="BF115" s="6"/>
      <c r="BG115" s="6"/>
      <c r="BH115" s="10">
        <v>2</v>
      </c>
      <c r="BI115" s="10">
        <v>4</v>
      </c>
      <c r="BJ115" s="10">
        <v>1</v>
      </c>
      <c r="BK115" s="10">
        <v>2</v>
      </c>
      <c r="BL115" s="10">
        <v>5</v>
      </c>
      <c r="BM115" s="6"/>
      <c r="BN115" s="10">
        <v>5</v>
      </c>
      <c r="BO115" s="10">
        <v>6</v>
      </c>
      <c r="BP115" s="10">
        <v>5</v>
      </c>
      <c r="BQ115" s="10">
        <v>3</v>
      </c>
      <c r="BR115" s="10">
        <v>1</v>
      </c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10">
        <v>1</v>
      </c>
      <c r="CD115" s="6"/>
      <c r="CE115" s="6"/>
      <c r="CF115" s="10">
        <v>1</v>
      </c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10">
        <v>395</v>
      </c>
      <c r="EH115" s="10"/>
      <c r="EI115" s="10"/>
      <c r="EJ115" s="10"/>
      <c r="EK115" s="10"/>
      <c r="EL115" s="10"/>
    </row>
    <row r="116" ht="15">
      <c r="A116" s="6" t="s">
        <v>464</v>
      </c>
      <c r="B116" s="6">
        <f t="shared" si="68"/>
        <v>42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10">
        <v>4</v>
      </c>
      <c r="BK116" s="10">
        <v>2</v>
      </c>
      <c r="BL116" s="10">
        <v>2</v>
      </c>
      <c r="BM116" s="10">
        <v>1</v>
      </c>
      <c r="BN116" s="10">
        <v>2</v>
      </c>
      <c r="BO116" s="6"/>
      <c r="BP116" s="6"/>
      <c r="BQ116" s="10">
        <v>1</v>
      </c>
      <c r="BR116" s="10">
        <v>4</v>
      </c>
      <c r="BS116" s="10">
        <v>6</v>
      </c>
      <c r="BT116" s="10">
        <v>1</v>
      </c>
      <c r="BU116" s="10">
        <v>2</v>
      </c>
      <c r="BV116" s="10">
        <v>3</v>
      </c>
      <c r="BW116" s="10">
        <v>1</v>
      </c>
      <c r="BX116" s="10">
        <v>1</v>
      </c>
      <c r="BY116" s="10">
        <v>1</v>
      </c>
      <c r="BZ116" s="6"/>
      <c r="CA116" s="10">
        <v>3</v>
      </c>
      <c r="CB116" s="10">
        <v>3</v>
      </c>
      <c r="CC116" s="6"/>
      <c r="CD116" s="6"/>
      <c r="CE116" s="10">
        <v>4</v>
      </c>
      <c r="CF116" s="10">
        <v>1</v>
      </c>
      <c r="CG116" s="6"/>
      <c r="CH116" s="6"/>
      <c r="CI116" s="10">
        <v>1</v>
      </c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10">
        <v>1</v>
      </c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</row>
    <row r="117" ht="15">
      <c r="A117" s="6" t="s">
        <v>468</v>
      </c>
      <c r="B117" s="6">
        <f t="shared" si="68"/>
        <v>600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0">
        <v>2</v>
      </c>
      <c r="AT117" s="10">
        <v>3</v>
      </c>
      <c r="AU117" s="6"/>
      <c r="AV117" s="6"/>
      <c r="AW117" s="10">
        <v>1</v>
      </c>
      <c r="AX117" s="10">
        <v>2</v>
      </c>
      <c r="AY117" s="6"/>
      <c r="AZ117" s="10">
        <v>3</v>
      </c>
      <c r="BA117" s="10">
        <v>8</v>
      </c>
      <c r="BB117" s="10">
        <v>2</v>
      </c>
      <c r="BC117" s="10">
        <v>1</v>
      </c>
      <c r="BD117" s="10">
        <v>8</v>
      </c>
      <c r="BE117" s="10">
        <v>6</v>
      </c>
      <c r="BF117" s="10">
        <v>6</v>
      </c>
      <c r="BG117" s="10">
        <v>3</v>
      </c>
      <c r="BH117" s="10">
        <v>5</v>
      </c>
      <c r="BI117" s="10">
        <v>1</v>
      </c>
      <c r="BJ117" s="10">
        <v>6</v>
      </c>
      <c r="BK117" s="10">
        <v>12</v>
      </c>
      <c r="BL117" s="10">
        <v>9</v>
      </c>
      <c r="BM117" s="10">
        <v>20</v>
      </c>
      <c r="BN117" s="10">
        <v>51</v>
      </c>
      <c r="BO117" s="10">
        <v>33</v>
      </c>
      <c r="BP117" s="10">
        <v>39</v>
      </c>
      <c r="BQ117" s="10">
        <v>37</v>
      </c>
      <c r="BR117" s="10">
        <v>25</v>
      </c>
      <c r="BS117" s="10">
        <v>24</v>
      </c>
      <c r="BT117" s="10">
        <v>31</v>
      </c>
      <c r="BU117" s="10">
        <v>23</v>
      </c>
      <c r="BV117" s="10">
        <v>20</v>
      </c>
      <c r="BW117" s="10">
        <v>13</v>
      </c>
      <c r="BX117" s="10">
        <v>24</v>
      </c>
      <c r="BY117" s="10">
        <v>20</v>
      </c>
      <c r="BZ117" s="10">
        <v>30</v>
      </c>
      <c r="CA117" s="10">
        <v>33</v>
      </c>
      <c r="CB117" s="10">
        <v>25</v>
      </c>
      <c r="CC117" s="10">
        <v>11</v>
      </c>
      <c r="CD117" s="10">
        <v>17</v>
      </c>
      <c r="CE117" s="10">
        <v>22</v>
      </c>
      <c r="CF117" s="10">
        <v>24</v>
      </c>
      <c r="CG117" s="10">
        <v>20</v>
      </c>
      <c r="CH117" s="10">
        <v>17</v>
      </c>
      <c r="CI117" s="10">
        <v>15</v>
      </c>
      <c r="CJ117" s="10">
        <v>26</v>
      </c>
      <c r="CK117" s="10">
        <v>34</v>
      </c>
      <c r="CL117" s="10">
        <v>17</v>
      </c>
      <c r="CM117" s="10">
        <v>26</v>
      </c>
      <c r="CN117" s="10">
        <v>32</v>
      </c>
      <c r="CO117" s="10">
        <v>37</v>
      </c>
      <c r="CP117" s="10">
        <v>30</v>
      </c>
      <c r="CQ117" s="10">
        <v>23</v>
      </c>
      <c r="CR117" s="10">
        <v>27</v>
      </c>
      <c r="CS117" s="10">
        <v>26</v>
      </c>
      <c r="CT117" s="10">
        <v>23</v>
      </c>
      <c r="CU117" s="10">
        <v>14</v>
      </c>
      <c r="CV117" s="10">
        <v>32</v>
      </c>
      <c r="CW117" s="10">
        <v>27</v>
      </c>
      <c r="CX117" s="10">
        <v>23</v>
      </c>
      <c r="CY117" s="10">
        <v>35</v>
      </c>
      <c r="CZ117" s="10">
        <v>25</v>
      </c>
      <c r="DA117" s="10">
        <v>38</v>
      </c>
      <c r="DB117" s="10">
        <v>48</v>
      </c>
      <c r="DC117" s="10">
        <v>31</v>
      </c>
      <c r="DD117" s="10">
        <v>29</v>
      </c>
      <c r="DE117" s="10">
        <v>36</v>
      </c>
      <c r="DF117" s="10">
        <v>47</v>
      </c>
      <c r="DG117" s="10">
        <v>55</v>
      </c>
      <c r="DH117" s="10">
        <v>94</v>
      </c>
      <c r="DI117" s="10">
        <v>170</v>
      </c>
      <c r="DJ117" s="10">
        <v>100</v>
      </c>
      <c r="DK117" s="10">
        <v>63</v>
      </c>
      <c r="DL117" s="10">
        <v>3</v>
      </c>
      <c r="DM117" s="10">
        <v>2</v>
      </c>
      <c r="DN117" s="10">
        <v>6</v>
      </c>
      <c r="DO117" s="10">
        <v>12</v>
      </c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</row>
    <row r="118" ht="15">
      <c r="A118" s="6" t="s">
        <v>472</v>
      </c>
      <c r="B118" s="6">
        <f t="shared" si="68"/>
        <v>1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10">
        <v>1</v>
      </c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</row>
    <row r="119" ht="15">
      <c r="A119" s="6" t="s">
        <v>476</v>
      </c>
      <c r="B119" s="6">
        <f t="shared" si="68"/>
        <v>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10">
        <v>1</v>
      </c>
      <c r="BU119" s="6"/>
      <c r="BV119" s="6"/>
      <c r="BW119" s="6"/>
      <c r="BX119" s="10">
        <v>2</v>
      </c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10">
        <v>1</v>
      </c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10">
        <v>3</v>
      </c>
      <c r="EH119" s="10"/>
      <c r="EI119" s="10"/>
      <c r="EJ119" s="10"/>
      <c r="EK119" s="10"/>
      <c r="EL119" s="10"/>
    </row>
    <row r="120" ht="15">
      <c r="A120" s="6" t="s">
        <v>480</v>
      </c>
      <c r="B120" s="6">
        <f t="shared" si="68"/>
        <v>2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10">
        <v>1</v>
      </c>
      <c r="BQ120" s="6"/>
      <c r="BR120" s="6"/>
      <c r="BS120" s="6"/>
      <c r="BT120" s="6"/>
      <c r="BU120" s="6"/>
      <c r="BV120" s="6"/>
      <c r="BW120" s="6"/>
      <c r="BX120" s="10">
        <v>1</v>
      </c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10">
        <v>3</v>
      </c>
      <c r="EH120" s="10"/>
      <c r="EI120" s="10"/>
      <c r="EJ120" s="10"/>
      <c r="EK120" s="10"/>
      <c r="EL120" s="10"/>
    </row>
    <row r="121" ht="15">
      <c r="A121" s="6" t="s">
        <v>484</v>
      </c>
      <c r="B121" s="6">
        <f t="shared" si="68"/>
        <v>4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10">
        <v>1</v>
      </c>
      <c r="AI121" s="6"/>
      <c r="AJ121" s="6"/>
      <c r="AK121" s="6"/>
      <c r="AL121" s="10">
        <v>1</v>
      </c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10">
        <v>1</v>
      </c>
      <c r="BF121" s="6"/>
      <c r="BG121" s="6"/>
      <c r="BH121" s="6"/>
      <c r="BI121" s="6"/>
      <c r="BJ121" s="6"/>
      <c r="BK121" s="6"/>
      <c r="BL121" s="10">
        <v>1</v>
      </c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10">
        <v>1</v>
      </c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10">
        <v>1630</v>
      </c>
      <c r="EH121" s="10"/>
      <c r="EI121" s="10"/>
      <c r="EJ121" s="10"/>
      <c r="EK121" s="10"/>
      <c r="EL121" s="10"/>
    </row>
    <row r="122" ht="15">
      <c r="A122" s="6" t="s">
        <v>488</v>
      </c>
      <c r="B122" s="6">
        <f t="shared" si="68"/>
        <v>6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10">
        <v>1</v>
      </c>
      <c r="BW122" s="6"/>
      <c r="BX122" s="6"/>
      <c r="BY122" s="6"/>
      <c r="BZ122" s="10">
        <v>2</v>
      </c>
      <c r="CA122" s="10">
        <v>2</v>
      </c>
      <c r="CB122" s="10">
        <v>1</v>
      </c>
      <c r="CC122" s="6"/>
      <c r="CD122" s="6"/>
      <c r="CE122" s="6"/>
      <c r="CF122" s="6"/>
      <c r="CG122" s="10">
        <v>1</v>
      </c>
      <c r="CH122" s="6"/>
      <c r="CI122" s="6"/>
      <c r="CJ122" s="6"/>
      <c r="CK122" s="6"/>
      <c r="CL122" s="6"/>
      <c r="CM122" s="6"/>
      <c r="CN122" s="6"/>
      <c r="CO122" s="6"/>
      <c r="CP122" s="6"/>
      <c r="CQ122" s="10">
        <v>1</v>
      </c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</row>
    <row r="123" ht="15">
      <c r="A123" s="6" t="s">
        <v>492</v>
      </c>
      <c r="B123" s="6">
        <f t="shared" si="68"/>
        <v>8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10">
        <v>5</v>
      </c>
      <c r="BI123" s="6"/>
      <c r="BJ123" s="6"/>
      <c r="BK123" s="10">
        <v>3</v>
      </c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10">
        <v>76</v>
      </c>
      <c r="EH123" s="10"/>
      <c r="EI123" s="10"/>
      <c r="EJ123" s="10"/>
      <c r="EK123" s="10"/>
      <c r="EL123" s="10"/>
    </row>
    <row r="124" ht="15">
      <c r="A124" s="6" t="s">
        <v>496</v>
      </c>
      <c r="B124" s="6">
        <f t="shared" si="68"/>
        <v>3678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10">
        <v>2</v>
      </c>
      <c r="AH124" s="6"/>
      <c r="AI124" s="6"/>
      <c r="AJ124" s="6"/>
      <c r="AK124" s="10">
        <v>1</v>
      </c>
      <c r="AL124" s="10">
        <v>1</v>
      </c>
      <c r="AM124" s="6"/>
      <c r="AN124" s="10">
        <v>4</v>
      </c>
      <c r="AO124" s="10">
        <v>1</v>
      </c>
      <c r="AP124" s="6"/>
      <c r="AQ124" s="10">
        <v>3</v>
      </c>
      <c r="AR124" s="10">
        <v>3</v>
      </c>
      <c r="AS124" s="10">
        <v>2</v>
      </c>
      <c r="AT124" s="10">
        <v>2</v>
      </c>
      <c r="AU124" s="6"/>
      <c r="AV124" s="6"/>
      <c r="AW124" s="6"/>
      <c r="AX124" s="10">
        <v>5</v>
      </c>
      <c r="AY124" s="10">
        <v>2</v>
      </c>
      <c r="AZ124" s="10">
        <v>3</v>
      </c>
      <c r="BA124" s="6"/>
      <c r="BB124" s="6"/>
      <c r="BC124" s="6"/>
      <c r="BD124" s="10">
        <v>9</v>
      </c>
      <c r="BE124" s="10">
        <v>6</v>
      </c>
      <c r="BF124" s="10">
        <v>5</v>
      </c>
      <c r="BG124" s="10">
        <v>9</v>
      </c>
      <c r="BH124" s="10">
        <v>20</v>
      </c>
      <c r="BI124" s="10">
        <v>2</v>
      </c>
      <c r="BJ124" s="10">
        <v>10</v>
      </c>
      <c r="BK124" s="10">
        <v>27</v>
      </c>
      <c r="BL124" s="10">
        <v>27</v>
      </c>
      <c r="BM124" s="10">
        <v>25</v>
      </c>
      <c r="BN124" s="10">
        <v>21</v>
      </c>
      <c r="BO124" s="10">
        <v>31</v>
      </c>
      <c r="BP124" s="10">
        <v>13</v>
      </c>
      <c r="BQ124" s="10">
        <v>17</v>
      </c>
      <c r="BR124" s="10">
        <v>29</v>
      </c>
      <c r="BS124" s="10">
        <v>30</v>
      </c>
      <c r="BT124" s="10">
        <v>38</v>
      </c>
      <c r="BU124" s="10">
        <v>35</v>
      </c>
      <c r="BV124" s="10">
        <v>93</v>
      </c>
      <c r="BW124" s="10">
        <v>131</v>
      </c>
      <c r="BX124" s="10">
        <v>142</v>
      </c>
      <c r="BY124" s="10">
        <v>149</v>
      </c>
      <c r="BZ124" s="10">
        <v>392</v>
      </c>
      <c r="CA124" s="10">
        <v>690</v>
      </c>
      <c r="CB124" s="10">
        <v>573</v>
      </c>
      <c r="CC124" s="10">
        <v>272</v>
      </c>
      <c r="CD124" s="10">
        <v>343</v>
      </c>
      <c r="CE124" s="10">
        <v>281</v>
      </c>
      <c r="CF124" s="10">
        <v>229</v>
      </c>
      <c r="CG124" s="10">
        <v>73</v>
      </c>
      <c r="CH124" s="10">
        <v>45</v>
      </c>
      <c r="CI124" s="10">
        <v>34</v>
      </c>
      <c r="CJ124" s="10">
        <v>34</v>
      </c>
      <c r="CK124" s="10">
        <v>31</v>
      </c>
      <c r="CL124" s="10">
        <v>25</v>
      </c>
      <c r="CM124" s="10">
        <v>34</v>
      </c>
      <c r="CN124" s="10">
        <v>12</v>
      </c>
      <c r="CO124" s="10">
        <v>16</v>
      </c>
      <c r="CP124" s="10">
        <v>7</v>
      </c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</row>
    <row r="125" ht="15">
      <c r="A125" s="6" t="s">
        <v>500</v>
      </c>
      <c r="B125" s="6">
        <f t="shared" si="68"/>
        <v>32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10">
        <v>1</v>
      </c>
      <c r="BF125" s="6"/>
      <c r="BG125" s="6"/>
      <c r="BH125" s="6"/>
      <c r="BI125" s="10">
        <v>1</v>
      </c>
      <c r="BJ125" s="10">
        <v>1</v>
      </c>
      <c r="BK125" s="6"/>
      <c r="BL125" s="10">
        <v>2</v>
      </c>
      <c r="BM125" s="6"/>
      <c r="BN125" s="10">
        <v>2</v>
      </c>
      <c r="BO125" s="10">
        <v>1</v>
      </c>
      <c r="BP125" s="6"/>
      <c r="BQ125" s="10">
        <v>3</v>
      </c>
      <c r="BR125" s="10">
        <v>6</v>
      </c>
      <c r="BS125" s="6"/>
      <c r="BT125" s="10">
        <v>1</v>
      </c>
      <c r="BU125" s="10">
        <v>1</v>
      </c>
      <c r="BV125" s="10">
        <v>1</v>
      </c>
      <c r="BW125" s="10">
        <v>1</v>
      </c>
      <c r="BX125" s="10">
        <v>3</v>
      </c>
      <c r="BY125" s="10">
        <v>1</v>
      </c>
      <c r="BZ125" s="10">
        <v>1</v>
      </c>
      <c r="CA125" s="10">
        <v>2</v>
      </c>
      <c r="CB125" s="10">
        <v>3</v>
      </c>
      <c r="CC125" s="10">
        <v>1</v>
      </c>
      <c r="CD125" s="6"/>
      <c r="CE125" s="6"/>
      <c r="CF125" s="6"/>
      <c r="CG125" s="6"/>
      <c r="CH125" s="6"/>
      <c r="CI125" s="6"/>
      <c r="CJ125" s="6"/>
      <c r="CK125" s="6"/>
      <c r="CL125" s="10">
        <v>1</v>
      </c>
      <c r="CM125" s="10">
        <v>1</v>
      </c>
      <c r="CN125" s="10">
        <v>1</v>
      </c>
      <c r="CO125" s="6"/>
      <c r="CP125" s="10">
        <v>1</v>
      </c>
      <c r="CQ125" s="6"/>
      <c r="CR125" s="6"/>
      <c r="CS125" s="6"/>
      <c r="CT125" s="6"/>
      <c r="CU125" s="6"/>
      <c r="CV125" s="10">
        <v>2</v>
      </c>
      <c r="CW125" s="6"/>
      <c r="CX125" s="6"/>
      <c r="CY125" s="6"/>
      <c r="CZ125" s="6"/>
      <c r="DA125" s="6"/>
      <c r="DB125" s="10">
        <v>1</v>
      </c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</row>
    <row r="126" ht="15">
      <c r="A126" s="6" t="s">
        <v>504</v>
      </c>
      <c r="B126" s="6">
        <f t="shared" si="68"/>
        <v>9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10">
        <v>1</v>
      </c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10">
        <v>2</v>
      </c>
      <c r="BO126" s="6"/>
      <c r="BP126" s="6"/>
      <c r="BQ126" s="6"/>
      <c r="BR126" s="6"/>
      <c r="BS126" s="6"/>
      <c r="BT126" s="6"/>
      <c r="BU126" s="6"/>
      <c r="BV126" s="10">
        <v>1</v>
      </c>
      <c r="BW126" s="6"/>
      <c r="BX126" s="6"/>
      <c r="BY126" s="6"/>
      <c r="BZ126" s="10">
        <v>1</v>
      </c>
      <c r="CA126" s="6"/>
      <c r="CB126" s="10">
        <v>3</v>
      </c>
      <c r="CC126" s="6"/>
      <c r="CD126" s="6"/>
      <c r="CE126" s="6"/>
      <c r="CF126" s="10">
        <v>1</v>
      </c>
      <c r="CG126" s="10">
        <v>1</v>
      </c>
      <c r="CH126" s="6"/>
      <c r="CI126" s="6"/>
      <c r="CJ126" s="6"/>
      <c r="CK126" s="10">
        <v>1</v>
      </c>
      <c r="CL126" s="6"/>
      <c r="CM126" s="10">
        <v>2</v>
      </c>
      <c r="CN126" s="6"/>
      <c r="CO126" s="10">
        <v>1</v>
      </c>
      <c r="CP126" s="6"/>
      <c r="CQ126" s="6"/>
      <c r="CR126" s="6"/>
      <c r="CS126" s="6"/>
      <c r="CT126" s="6"/>
      <c r="CU126" s="6"/>
      <c r="CV126" s="10">
        <v>2</v>
      </c>
      <c r="CW126" s="10">
        <v>2</v>
      </c>
      <c r="CX126" s="10">
        <v>1</v>
      </c>
      <c r="CY126" s="10">
        <v>1</v>
      </c>
      <c r="CZ126" s="6"/>
      <c r="DA126" s="6"/>
      <c r="DB126" s="6"/>
      <c r="DC126" s="6"/>
      <c r="DD126" s="6"/>
      <c r="DE126" s="6"/>
      <c r="DF126" s="10">
        <v>1</v>
      </c>
      <c r="DG126" s="6"/>
      <c r="DH126" s="6"/>
      <c r="DI126" s="6"/>
      <c r="DJ126" s="10">
        <v>3</v>
      </c>
      <c r="DK126" s="10">
        <v>2</v>
      </c>
      <c r="DL126" s="10">
        <v>11</v>
      </c>
      <c r="DM126" s="10">
        <v>5</v>
      </c>
      <c r="DN126" s="10">
        <v>5</v>
      </c>
      <c r="DO126" s="10">
        <v>7</v>
      </c>
      <c r="DP126" s="10">
        <v>3</v>
      </c>
      <c r="DQ126" s="10">
        <v>2</v>
      </c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</row>
    <row r="127" ht="15">
      <c r="A127" s="6" t="s">
        <v>508</v>
      </c>
      <c r="B127" s="6">
        <f t="shared" si="68"/>
        <v>17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10">
        <v>1</v>
      </c>
      <c r="BI127" s="6"/>
      <c r="BJ127" s="6"/>
      <c r="BK127" s="6"/>
      <c r="BL127" s="6"/>
      <c r="BM127" s="10">
        <v>1</v>
      </c>
      <c r="BN127" s="6"/>
      <c r="BO127" s="6"/>
      <c r="BP127" s="6"/>
      <c r="BQ127" s="6"/>
      <c r="BR127" s="6"/>
      <c r="BS127" s="6"/>
      <c r="BT127" s="6"/>
      <c r="BU127" s="6"/>
      <c r="BV127" s="10">
        <v>1</v>
      </c>
      <c r="BW127" s="6"/>
      <c r="BX127" s="6"/>
      <c r="BY127" s="6"/>
      <c r="BZ127" s="10">
        <v>4</v>
      </c>
      <c r="CA127" s="10">
        <v>1</v>
      </c>
      <c r="CB127" s="10">
        <v>3</v>
      </c>
      <c r="CC127" s="10">
        <v>1</v>
      </c>
      <c r="CD127" s="10">
        <v>1</v>
      </c>
      <c r="CE127" s="10">
        <v>1</v>
      </c>
      <c r="CF127" s="10">
        <v>3</v>
      </c>
      <c r="CG127" s="10">
        <v>7</v>
      </c>
      <c r="CH127" s="10">
        <v>8</v>
      </c>
      <c r="CI127" s="10">
        <v>3</v>
      </c>
      <c r="CJ127" s="10">
        <v>4</v>
      </c>
      <c r="CK127" s="10">
        <v>7</v>
      </c>
      <c r="CL127" s="10">
        <v>9</v>
      </c>
      <c r="CM127" s="10">
        <v>5</v>
      </c>
      <c r="CN127" s="10">
        <v>6</v>
      </c>
      <c r="CO127" s="10">
        <v>8</v>
      </c>
      <c r="CP127" s="10">
        <v>7</v>
      </c>
      <c r="CQ127" s="10">
        <v>18</v>
      </c>
      <c r="CR127" s="10">
        <v>19</v>
      </c>
      <c r="CS127" s="10">
        <v>14</v>
      </c>
      <c r="CT127" s="10">
        <v>14</v>
      </c>
      <c r="CU127" s="10">
        <v>12</v>
      </c>
      <c r="CV127" s="10">
        <v>13</v>
      </c>
      <c r="CW127" s="10">
        <v>17</v>
      </c>
      <c r="CX127" s="10">
        <v>14</v>
      </c>
      <c r="CY127" s="10">
        <v>14</v>
      </c>
      <c r="CZ127" s="10">
        <v>10</v>
      </c>
      <c r="DA127" s="10">
        <v>24</v>
      </c>
      <c r="DB127" s="10">
        <v>23</v>
      </c>
      <c r="DC127" s="10">
        <v>22</v>
      </c>
      <c r="DD127" s="10">
        <v>34</v>
      </c>
      <c r="DE127" s="10">
        <v>29</v>
      </c>
      <c r="DF127" s="10">
        <v>17</v>
      </c>
      <c r="DG127" s="10">
        <v>24</v>
      </c>
      <c r="DH127" s="10">
        <v>22</v>
      </c>
      <c r="DI127" s="10">
        <v>19</v>
      </c>
      <c r="DJ127" s="10">
        <v>5</v>
      </c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</row>
    <row r="128" ht="15">
      <c r="A128" s="6" t="s">
        <v>512</v>
      </c>
      <c r="B128" s="6">
        <f t="shared" si="68"/>
        <v>581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10">
        <v>1</v>
      </c>
      <c r="AP128" s="6"/>
      <c r="AQ128" s="6"/>
      <c r="AR128" s="6"/>
      <c r="AS128" s="6"/>
      <c r="AT128" s="6"/>
      <c r="AU128" s="6"/>
      <c r="AV128" s="10">
        <v>2</v>
      </c>
      <c r="AW128" s="6"/>
      <c r="AX128" s="6"/>
      <c r="AY128" s="6"/>
      <c r="AZ128" s="10">
        <v>1</v>
      </c>
      <c r="BA128" s="6"/>
      <c r="BB128" s="6"/>
      <c r="BC128" s="10">
        <v>6</v>
      </c>
      <c r="BD128" s="10">
        <v>3</v>
      </c>
      <c r="BE128" s="10">
        <v>6</v>
      </c>
      <c r="BF128" s="10">
        <v>1</v>
      </c>
      <c r="BG128" s="10">
        <v>3</v>
      </c>
      <c r="BH128" s="10">
        <v>3</v>
      </c>
      <c r="BI128" s="10">
        <v>3</v>
      </c>
      <c r="BJ128" s="10">
        <v>7</v>
      </c>
      <c r="BK128" s="10">
        <v>2</v>
      </c>
      <c r="BL128" s="10">
        <v>5</v>
      </c>
      <c r="BM128" s="10">
        <v>9</v>
      </c>
      <c r="BN128" s="10">
        <v>5</v>
      </c>
      <c r="BO128" s="10">
        <v>4</v>
      </c>
      <c r="BP128" s="10">
        <v>27</v>
      </c>
      <c r="BQ128" s="10">
        <v>6</v>
      </c>
      <c r="BR128" s="10">
        <v>4</v>
      </c>
      <c r="BS128" s="10">
        <v>9</v>
      </c>
      <c r="BT128" s="10">
        <v>12</v>
      </c>
      <c r="BU128" s="10">
        <v>11</v>
      </c>
      <c r="BV128" s="10">
        <v>26</v>
      </c>
      <c r="BW128" s="10">
        <v>23</v>
      </c>
      <c r="BX128" s="10">
        <v>23</v>
      </c>
      <c r="BY128" s="10">
        <v>31</v>
      </c>
      <c r="BZ128" s="10">
        <v>33</v>
      </c>
      <c r="CA128" s="10">
        <v>43</v>
      </c>
      <c r="CB128" s="10">
        <v>49</v>
      </c>
      <c r="CC128" s="10">
        <v>48</v>
      </c>
      <c r="CD128" s="10">
        <v>50</v>
      </c>
      <c r="CE128" s="10">
        <v>65</v>
      </c>
      <c r="CF128" s="10">
        <v>60</v>
      </c>
      <c r="CG128" s="10">
        <v>65</v>
      </c>
      <c r="CH128" s="10">
        <v>66</v>
      </c>
      <c r="CI128" s="10">
        <v>47</v>
      </c>
      <c r="CJ128" s="10">
        <v>58</v>
      </c>
      <c r="CK128" s="10">
        <v>63</v>
      </c>
      <c r="CL128" s="10">
        <v>52</v>
      </c>
      <c r="CM128" s="10">
        <v>55</v>
      </c>
      <c r="CN128" s="10">
        <v>53</v>
      </c>
      <c r="CO128" s="10">
        <v>76</v>
      </c>
      <c r="CP128" s="10">
        <v>138</v>
      </c>
      <c r="CQ128" s="10">
        <v>125</v>
      </c>
      <c r="CR128" s="10">
        <v>161</v>
      </c>
      <c r="CS128" s="10">
        <v>167</v>
      </c>
      <c r="CT128" s="10">
        <v>243</v>
      </c>
      <c r="CU128" s="10">
        <v>283</v>
      </c>
      <c r="CV128" s="10">
        <v>191</v>
      </c>
      <c r="CW128" s="10">
        <v>161</v>
      </c>
      <c r="CX128" s="10">
        <v>218</v>
      </c>
      <c r="CY128" s="10">
        <v>201</v>
      </c>
      <c r="CZ128" s="10">
        <v>195</v>
      </c>
      <c r="DA128" s="10">
        <v>104</v>
      </c>
      <c r="DB128" s="10">
        <v>95</v>
      </c>
      <c r="DC128" s="10">
        <v>67</v>
      </c>
      <c r="DD128" s="10">
        <v>59</v>
      </c>
      <c r="DE128" s="10">
        <v>49</v>
      </c>
      <c r="DF128" s="10">
        <v>47</v>
      </c>
      <c r="DG128" s="10">
        <v>71</v>
      </c>
      <c r="DH128" s="10">
        <v>27</v>
      </c>
      <c r="DI128" s="10">
        <v>10</v>
      </c>
      <c r="DJ128" s="10">
        <v>13</v>
      </c>
      <c r="DK128" s="10">
        <v>3</v>
      </c>
      <c r="DL128" s="10">
        <v>1</v>
      </c>
      <c r="DM128" s="6"/>
      <c r="DN128" s="10">
        <v>3</v>
      </c>
      <c r="DO128" s="6"/>
      <c r="DP128" s="6"/>
      <c r="DQ128" s="10">
        <v>1</v>
      </c>
      <c r="DR128" s="10">
        <v>1</v>
      </c>
      <c r="DS128" s="10">
        <v>1</v>
      </c>
      <c r="DT128" s="10">
        <v>3</v>
      </c>
      <c r="DU128" s="10">
        <v>2</v>
      </c>
      <c r="DV128" s="10">
        <v>1</v>
      </c>
      <c r="DW128" s="6"/>
      <c r="DX128" s="6"/>
      <c r="DY128" s="10">
        <v>2</v>
      </c>
      <c r="DZ128" s="6"/>
      <c r="EA128" s="6"/>
      <c r="EB128" s="6"/>
      <c r="EC128" s="6"/>
      <c r="ED128" s="6"/>
      <c r="EE128" s="6"/>
      <c r="EF128" s="6"/>
      <c r="EG128" s="10">
        <v>1</v>
      </c>
      <c r="EH128" s="10"/>
      <c r="EI128" s="10"/>
      <c r="EJ128" s="10"/>
      <c r="EK128" s="10"/>
      <c r="EL128" s="10"/>
    </row>
    <row r="129" ht="15">
      <c r="A129" s="6" t="s">
        <v>516</v>
      </c>
      <c r="B129" s="6">
        <f t="shared" si="68"/>
        <v>7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10">
        <v>5</v>
      </c>
      <c r="BO129" s="10">
        <v>1</v>
      </c>
      <c r="BP129" s="6"/>
      <c r="BQ129" s="6"/>
      <c r="BR129" s="6"/>
      <c r="BS129" s="6"/>
      <c r="BT129" s="6"/>
      <c r="BU129" s="10">
        <v>1</v>
      </c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</row>
    <row r="130" ht="15">
      <c r="A130" s="6" t="s">
        <v>520</v>
      </c>
      <c r="B130" s="6">
        <f t="shared" si="68"/>
        <v>166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10">
        <v>1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10">
        <v>1</v>
      </c>
      <c r="AU130" s="6"/>
      <c r="AV130" s="6"/>
      <c r="AW130" s="10">
        <v>2</v>
      </c>
      <c r="AX130" s="6"/>
      <c r="AY130" s="6"/>
      <c r="AZ130" s="6"/>
      <c r="BA130" s="6"/>
      <c r="BB130" s="10">
        <v>1</v>
      </c>
      <c r="BC130" s="10">
        <v>1</v>
      </c>
      <c r="BD130" s="6"/>
      <c r="BE130" s="10">
        <v>1</v>
      </c>
      <c r="BF130" s="10">
        <v>3</v>
      </c>
      <c r="BG130" s="6"/>
      <c r="BH130" s="10">
        <v>1</v>
      </c>
      <c r="BI130" s="6"/>
      <c r="BJ130" s="6"/>
      <c r="BK130" s="6"/>
      <c r="BL130" s="10">
        <v>6</v>
      </c>
      <c r="BM130" s="10">
        <v>2</v>
      </c>
      <c r="BN130" s="10">
        <v>13</v>
      </c>
      <c r="BO130" s="10">
        <v>23</v>
      </c>
      <c r="BP130" s="10">
        <v>11</v>
      </c>
      <c r="BQ130" s="10">
        <v>7</v>
      </c>
      <c r="BR130" s="10">
        <v>12</v>
      </c>
      <c r="BS130" s="10">
        <v>13</v>
      </c>
      <c r="BT130" s="10">
        <v>35</v>
      </c>
      <c r="BU130" s="10">
        <v>21</v>
      </c>
      <c r="BV130" s="10">
        <v>12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</row>
    <row r="131" ht="15">
      <c r="A131" s="6" t="s">
        <v>524</v>
      </c>
      <c r="B131" s="6">
        <f t="shared" si="68"/>
        <v>10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10">
        <v>1</v>
      </c>
      <c r="CA131" s="10">
        <v>2</v>
      </c>
      <c r="CB131" s="10">
        <v>2</v>
      </c>
      <c r="CC131" s="10">
        <v>2</v>
      </c>
      <c r="CD131" s="10">
        <v>1</v>
      </c>
      <c r="CE131" s="10">
        <v>1</v>
      </c>
      <c r="CF131" s="10">
        <v>1</v>
      </c>
      <c r="CG131" s="10">
        <v>2</v>
      </c>
      <c r="CH131" s="10">
        <v>1</v>
      </c>
      <c r="CI131" s="6"/>
      <c r="CJ131" s="6"/>
      <c r="CK131" s="10">
        <v>1</v>
      </c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</row>
    <row r="132" ht="15">
      <c r="A132" s="6" t="s">
        <v>528</v>
      </c>
      <c r="B132" s="6">
        <f t="shared" si="68"/>
        <v>1665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10">
        <v>8</v>
      </c>
      <c r="AW132" s="10">
        <v>7</v>
      </c>
      <c r="AX132" s="10">
        <v>13</v>
      </c>
      <c r="AY132" s="10">
        <v>3</v>
      </c>
      <c r="AZ132" s="10">
        <v>2</v>
      </c>
      <c r="BA132" s="10">
        <v>1</v>
      </c>
      <c r="BB132" s="10">
        <v>7</v>
      </c>
      <c r="BC132" s="10">
        <v>2</v>
      </c>
      <c r="BD132" s="10">
        <v>2</v>
      </c>
      <c r="BE132" s="10">
        <v>20</v>
      </c>
      <c r="BF132" s="10">
        <v>14</v>
      </c>
      <c r="BG132" s="10">
        <v>5</v>
      </c>
      <c r="BH132" s="10">
        <v>15</v>
      </c>
      <c r="BI132" s="10">
        <v>9</v>
      </c>
      <c r="BJ132" s="10">
        <v>8</v>
      </c>
      <c r="BK132" s="10">
        <v>7</v>
      </c>
      <c r="BL132" s="10">
        <v>10</v>
      </c>
      <c r="BM132" s="10">
        <v>7</v>
      </c>
      <c r="BN132" s="10">
        <v>5</v>
      </c>
      <c r="BO132" s="10">
        <v>18</v>
      </c>
      <c r="BP132" s="10">
        <v>30</v>
      </c>
      <c r="BQ132" s="10">
        <v>37</v>
      </c>
      <c r="BR132" s="10">
        <v>41</v>
      </c>
      <c r="BS132" s="10">
        <v>41</v>
      </c>
      <c r="BT132" s="10">
        <v>59</v>
      </c>
      <c r="BU132" s="10">
        <v>146</v>
      </c>
      <c r="BV132" s="10">
        <v>106</v>
      </c>
      <c r="BW132" s="10">
        <v>115</v>
      </c>
      <c r="BX132" s="10">
        <v>92</v>
      </c>
      <c r="BY132" s="10">
        <v>86</v>
      </c>
      <c r="BZ132" s="10">
        <v>115</v>
      </c>
      <c r="CA132" s="10">
        <v>99</v>
      </c>
      <c r="CB132" s="10">
        <v>100</v>
      </c>
      <c r="CC132" s="10">
        <v>115</v>
      </c>
      <c r="CD132" s="10">
        <v>131</v>
      </c>
      <c r="CE132" s="10">
        <v>110</v>
      </c>
      <c r="CF132" s="10">
        <v>79</v>
      </c>
      <c r="CG132" s="10">
        <v>64</v>
      </c>
      <c r="CH132" s="10">
        <v>154</v>
      </c>
      <c r="CI132" s="10">
        <v>74</v>
      </c>
      <c r="CJ132" s="10">
        <v>115</v>
      </c>
      <c r="CK132" s="10">
        <v>39</v>
      </c>
      <c r="CL132" s="10">
        <v>55</v>
      </c>
      <c r="CM132" s="10">
        <v>49</v>
      </c>
      <c r="CN132" s="10">
        <v>55</v>
      </c>
      <c r="CO132" s="10">
        <v>27</v>
      </c>
      <c r="CP132" s="10">
        <v>24</v>
      </c>
      <c r="CQ132" s="10">
        <v>34</v>
      </c>
      <c r="CR132" s="10">
        <v>67</v>
      </c>
      <c r="CS132" s="10">
        <v>28</v>
      </c>
      <c r="CT132" s="10">
        <v>29</v>
      </c>
      <c r="CU132" s="10">
        <v>29</v>
      </c>
      <c r="CV132" s="10">
        <v>12</v>
      </c>
      <c r="CW132" s="10">
        <v>19</v>
      </c>
      <c r="CX132" s="10">
        <v>14</v>
      </c>
      <c r="CY132" s="10">
        <v>21</v>
      </c>
      <c r="CZ132" s="10">
        <v>24</v>
      </c>
      <c r="DA132" s="10">
        <v>25</v>
      </c>
      <c r="DB132" s="10">
        <v>13</v>
      </c>
      <c r="DC132" s="10">
        <v>25</v>
      </c>
      <c r="DD132" s="10">
        <v>15</v>
      </c>
      <c r="DE132" s="10">
        <v>22</v>
      </c>
      <c r="DF132" s="10">
        <v>19</v>
      </c>
      <c r="DG132" s="10">
        <v>24</v>
      </c>
      <c r="DH132" s="10">
        <v>30</v>
      </c>
      <c r="DI132" s="10">
        <v>21</v>
      </c>
      <c r="DJ132" s="10">
        <v>14</v>
      </c>
      <c r="DK132" s="10">
        <v>31</v>
      </c>
      <c r="DL132" s="10">
        <v>18</v>
      </c>
      <c r="DM132" s="10">
        <v>24</v>
      </c>
      <c r="DN132" s="10">
        <v>32</v>
      </c>
      <c r="DO132" s="10">
        <v>16</v>
      </c>
      <c r="DP132" s="10">
        <v>5</v>
      </c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</row>
    <row r="133" ht="15">
      <c r="A133" s="6" t="s">
        <v>532</v>
      </c>
      <c r="B133" s="6">
        <f t="shared" si="68"/>
        <v>745</v>
      </c>
      <c r="C133" s="10">
        <v>1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0">
        <v>2</v>
      </c>
      <c r="AV133" s="10">
        <v>6</v>
      </c>
      <c r="AW133" s="10">
        <v>7</v>
      </c>
      <c r="AX133" s="10">
        <v>3</v>
      </c>
      <c r="AY133" s="10">
        <v>1</v>
      </c>
      <c r="AZ133" s="10">
        <v>1</v>
      </c>
      <c r="BA133" s="10">
        <v>1</v>
      </c>
      <c r="BB133" s="10">
        <v>2</v>
      </c>
      <c r="BC133" s="10">
        <v>13</v>
      </c>
      <c r="BD133" s="10">
        <v>11</v>
      </c>
      <c r="BE133" s="10">
        <v>3</v>
      </c>
      <c r="BF133" s="10">
        <v>4</v>
      </c>
      <c r="BG133" s="10">
        <v>9</v>
      </c>
      <c r="BH133" s="10">
        <v>36</v>
      </c>
      <c r="BI133" s="10">
        <v>6</v>
      </c>
      <c r="BJ133" s="10">
        <v>8</v>
      </c>
      <c r="BK133" s="10">
        <v>18</v>
      </c>
      <c r="BL133" s="10">
        <v>36</v>
      </c>
      <c r="BM133" s="10">
        <v>30</v>
      </c>
      <c r="BN133" s="10">
        <v>39</v>
      </c>
      <c r="BO133" s="10">
        <v>26</v>
      </c>
      <c r="BP133" s="10">
        <v>37</v>
      </c>
      <c r="BQ133" s="10">
        <v>42</v>
      </c>
      <c r="BR133" s="10">
        <v>21</v>
      </c>
      <c r="BS133" s="10">
        <v>13</v>
      </c>
      <c r="BT133" s="10">
        <v>11</v>
      </c>
      <c r="BU133" s="10">
        <v>16</v>
      </c>
      <c r="BV133" s="10">
        <v>18</v>
      </c>
      <c r="BW133" s="10">
        <v>22</v>
      </c>
      <c r="BX133" s="10">
        <v>28</v>
      </c>
      <c r="BY133" s="10">
        <v>5</v>
      </c>
      <c r="BZ133" s="10">
        <v>23</v>
      </c>
      <c r="CA133" s="10">
        <v>63</v>
      </c>
      <c r="CB133" s="10">
        <v>40</v>
      </c>
      <c r="CC133" s="10">
        <v>44</v>
      </c>
      <c r="CD133" s="10">
        <v>40</v>
      </c>
      <c r="CE133" s="10">
        <v>31</v>
      </c>
      <c r="CF133" s="10">
        <v>28</v>
      </c>
      <c r="CG133" s="10">
        <v>34</v>
      </c>
      <c r="CH133" s="10">
        <v>36</v>
      </c>
      <c r="CI133" s="10">
        <v>22</v>
      </c>
      <c r="CJ133" s="10">
        <v>2</v>
      </c>
      <c r="CK133" s="10">
        <v>5</v>
      </c>
      <c r="CL133" s="10">
        <v>13</v>
      </c>
      <c r="CM133" s="10">
        <v>4</v>
      </c>
      <c r="CN133" s="10">
        <v>6</v>
      </c>
      <c r="CO133" s="10">
        <v>3</v>
      </c>
      <c r="CP133" s="10">
        <v>10</v>
      </c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</row>
    <row r="134" ht="15">
      <c r="A134" s="6" t="s">
        <v>536</v>
      </c>
      <c r="B134" s="6">
        <f t="shared" si="68"/>
        <v>325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10">
        <v>2</v>
      </c>
      <c r="BM134" s="10">
        <v>2</v>
      </c>
      <c r="BN134" s="10">
        <v>4</v>
      </c>
      <c r="BO134" s="6"/>
      <c r="BP134" s="10">
        <v>12</v>
      </c>
      <c r="BQ134" s="10">
        <v>11</v>
      </c>
      <c r="BR134" s="10">
        <v>18</v>
      </c>
      <c r="BS134" s="10">
        <v>43</v>
      </c>
      <c r="BT134" s="10">
        <v>13</v>
      </c>
      <c r="BU134" s="10">
        <v>27</v>
      </c>
      <c r="BV134" s="10">
        <v>25</v>
      </c>
      <c r="BW134" s="10">
        <v>18</v>
      </c>
      <c r="BX134" s="10">
        <v>10</v>
      </c>
      <c r="BY134" s="10">
        <v>9</v>
      </c>
      <c r="BZ134" s="10">
        <v>15</v>
      </c>
      <c r="CA134" s="10">
        <v>25</v>
      </c>
      <c r="CB134" s="10">
        <v>17</v>
      </c>
      <c r="CC134" s="10">
        <v>11</v>
      </c>
      <c r="CD134" s="10">
        <v>17</v>
      </c>
      <c r="CE134" s="10">
        <v>29</v>
      </c>
      <c r="CF134" s="10">
        <v>17</v>
      </c>
      <c r="CG134" s="10">
        <v>20</v>
      </c>
      <c r="CH134" s="10">
        <v>17</v>
      </c>
      <c r="CI134" s="10">
        <v>37</v>
      </c>
      <c r="CJ134" s="10">
        <v>32</v>
      </c>
      <c r="CK134" s="10">
        <v>23</v>
      </c>
      <c r="CL134" s="10">
        <v>27</v>
      </c>
      <c r="CM134" s="10">
        <v>26</v>
      </c>
      <c r="CN134" s="10">
        <v>29</v>
      </c>
      <c r="CO134" s="10">
        <v>37</v>
      </c>
      <c r="CP134" s="10">
        <v>51</v>
      </c>
      <c r="CQ134" s="10">
        <v>28</v>
      </c>
      <c r="CR134" s="10">
        <v>39</v>
      </c>
      <c r="CS134" s="10">
        <v>72</v>
      </c>
      <c r="CT134" s="10">
        <v>97</v>
      </c>
      <c r="CU134" s="10">
        <v>116</v>
      </c>
      <c r="CV134" s="10">
        <v>93</v>
      </c>
      <c r="CW134" s="10">
        <v>83</v>
      </c>
      <c r="CX134" s="10">
        <v>72</v>
      </c>
      <c r="CY134" s="10">
        <v>38</v>
      </c>
      <c r="CZ134" s="10">
        <v>34</v>
      </c>
      <c r="DA134" s="10">
        <v>31</v>
      </c>
      <c r="DB134" s="10">
        <v>46</v>
      </c>
      <c r="DC134" s="10">
        <v>18</v>
      </c>
      <c r="DD134" s="10">
        <v>13</v>
      </c>
      <c r="DE134" s="10">
        <v>8</v>
      </c>
      <c r="DF134" s="10">
        <v>7</v>
      </c>
      <c r="DG134" s="10">
        <v>10</v>
      </c>
      <c r="DH134" s="10">
        <v>7</v>
      </c>
      <c r="DI134" s="10">
        <v>6</v>
      </c>
      <c r="DJ134" s="10">
        <v>5</v>
      </c>
      <c r="DK134" s="10">
        <v>3</v>
      </c>
      <c r="DL134" s="10">
        <v>2</v>
      </c>
      <c r="DM134" s="10">
        <v>2</v>
      </c>
      <c r="DN134" s="10">
        <v>2</v>
      </c>
      <c r="DO134" s="10">
        <v>14</v>
      </c>
      <c r="DP134" s="10">
        <v>10</v>
      </c>
      <c r="DQ134" s="10">
        <v>17</v>
      </c>
      <c r="DR134" s="10">
        <v>10</v>
      </c>
      <c r="DS134" s="10">
        <v>16</v>
      </c>
      <c r="DT134" s="10">
        <v>15</v>
      </c>
      <c r="DU134" s="10">
        <v>20</v>
      </c>
      <c r="DV134" s="10">
        <v>3</v>
      </c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</row>
    <row r="135" ht="15">
      <c r="A135" s="6" t="s">
        <v>540</v>
      </c>
      <c r="B135" s="6">
        <f t="shared" si="68"/>
        <v>610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10">
        <v>1</v>
      </c>
      <c r="BC135" s="10">
        <v>1</v>
      </c>
      <c r="BD135" s="10">
        <v>4</v>
      </c>
      <c r="BE135" s="10">
        <v>2</v>
      </c>
      <c r="BF135" s="10">
        <v>3</v>
      </c>
      <c r="BG135" s="10">
        <v>4</v>
      </c>
      <c r="BH135" s="10">
        <v>7</v>
      </c>
      <c r="BI135" s="10">
        <v>7</v>
      </c>
      <c r="BJ135" s="10">
        <v>4</v>
      </c>
      <c r="BK135" s="10">
        <v>8</v>
      </c>
      <c r="BL135" s="10">
        <v>21</v>
      </c>
      <c r="BM135" s="10">
        <v>33</v>
      </c>
      <c r="BN135" s="10">
        <v>26</v>
      </c>
      <c r="BO135" s="10">
        <v>16</v>
      </c>
      <c r="BP135" s="10">
        <v>14</v>
      </c>
      <c r="BQ135" s="10">
        <v>9</v>
      </c>
      <c r="BR135" s="10">
        <v>22</v>
      </c>
      <c r="BS135" s="10">
        <v>12</v>
      </c>
      <c r="BT135" s="10">
        <v>13</v>
      </c>
      <c r="BU135" s="10">
        <v>15</v>
      </c>
      <c r="BV135" s="10">
        <v>29</v>
      </c>
      <c r="BW135" s="10">
        <v>32</v>
      </c>
      <c r="BX135" s="10">
        <v>17</v>
      </c>
      <c r="BY135" s="10">
        <v>13</v>
      </c>
      <c r="BZ135" s="10">
        <v>12</v>
      </c>
      <c r="CA135" s="10">
        <v>45</v>
      </c>
      <c r="CB135" s="10">
        <v>65</v>
      </c>
      <c r="CC135" s="10">
        <v>64</v>
      </c>
      <c r="CD135" s="10">
        <v>45</v>
      </c>
      <c r="CE135" s="10">
        <v>34</v>
      </c>
      <c r="CF135" s="10">
        <v>32</v>
      </c>
      <c r="CG135" s="10">
        <v>10</v>
      </c>
      <c r="CH135" s="10">
        <v>15</v>
      </c>
      <c r="CI135" s="10">
        <v>19</v>
      </c>
      <c r="CJ135" s="10">
        <v>4</v>
      </c>
      <c r="CK135" s="10">
        <v>9</v>
      </c>
      <c r="CL135" s="10">
        <v>17</v>
      </c>
      <c r="CM135" s="10">
        <v>14</v>
      </c>
      <c r="CN135" s="10">
        <v>17</v>
      </c>
      <c r="CO135" s="10">
        <v>15</v>
      </c>
      <c r="CP135" s="10">
        <v>9</v>
      </c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</row>
    <row r="136" ht="15">
      <c r="A136" s="6" t="s">
        <v>544</v>
      </c>
      <c r="B136" s="6">
        <f t="shared" si="68"/>
        <v>5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10">
        <v>1</v>
      </c>
      <c r="BL136" s="6"/>
      <c r="BM136" s="6"/>
      <c r="BN136" s="6"/>
      <c r="BO136" s="6"/>
      <c r="BP136" s="6"/>
      <c r="BQ136" s="6"/>
      <c r="BR136" s="6"/>
      <c r="BS136" s="6"/>
      <c r="BT136" s="10">
        <v>2</v>
      </c>
      <c r="BU136" s="6"/>
      <c r="BV136" s="10">
        <v>1</v>
      </c>
      <c r="BW136" s="6"/>
      <c r="BX136" s="6"/>
      <c r="BY136" s="6"/>
      <c r="BZ136" s="6"/>
      <c r="CA136" s="10">
        <v>1</v>
      </c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10">
        <v>249</v>
      </c>
      <c r="EH136" s="10"/>
      <c r="EI136" s="10"/>
      <c r="EJ136" s="10"/>
      <c r="EK136" s="10"/>
      <c r="EL136" s="10"/>
    </row>
    <row r="137" ht="15">
      <c r="A137" s="6" t="s">
        <v>548</v>
      </c>
      <c r="B137" s="6">
        <f t="shared" si="68"/>
        <v>312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0">
        <v>1</v>
      </c>
      <c r="AT137" s="10">
        <v>1</v>
      </c>
      <c r="AU137" s="6"/>
      <c r="AV137" s="10">
        <v>1</v>
      </c>
      <c r="AW137" s="6"/>
      <c r="AX137" s="10">
        <v>3</v>
      </c>
      <c r="AY137" s="6"/>
      <c r="AZ137" s="10">
        <v>3</v>
      </c>
      <c r="BA137" s="10">
        <v>8</v>
      </c>
      <c r="BB137" s="10">
        <v>6</v>
      </c>
      <c r="BC137" s="10">
        <v>1</v>
      </c>
      <c r="BD137" s="10">
        <v>6</v>
      </c>
      <c r="BE137" s="10">
        <v>4</v>
      </c>
      <c r="BF137" s="10">
        <v>5</v>
      </c>
      <c r="BG137" s="10">
        <v>5</v>
      </c>
      <c r="BH137" s="10">
        <v>17</v>
      </c>
      <c r="BI137" s="10">
        <v>13</v>
      </c>
      <c r="BJ137" s="10">
        <v>14</v>
      </c>
      <c r="BK137" s="10">
        <v>11</v>
      </c>
      <c r="BL137" s="10">
        <v>22</v>
      </c>
      <c r="BM137" s="10">
        <v>22</v>
      </c>
      <c r="BN137" s="10">
        <v>22</v>
      </c>
      <c r="BO137" s="10">
        <v>13</v>
      </c>
      <c r="BP137" s="10">
        <v>24</v>
      </c>
      <c r="BQ137" s="10">
        <v>10</v>
      </c>
      <c r="BR137" s="10">
        <v>13</v>
      </c>
      <c r="BS137" s="10">
        <v>16</v>
      </c>
      <c r="BT137" s="10">
        <v>38</v>
      </c>
      <c r="BU137" s="10">
        <v>27</v>
      </c>
      <c r="BV137" s="10">
        <v>6</v>
      </c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10">
        <v>1</v>
      </c>
      <c r="EA137" s="6"/>
      <c r="EB137" s="6"/>
      <c r="EC137" s="6"/>
      <c r="ED137" s="6"/>
      <c r="EE137" s="6"/>
      <c r="EF137" s="6"/>
      <c r="EG137" s="10">
        <v>1</v>
      </c>
      <c r="EH137" s="10"/>
      <c r="EI137" s="10"/>
      <c r="EJ137" s="10"/>
      <c r="EK137" s="10"/>
      <c r="EL137" s="10"/>
    </row>
    <row r="138" ht="15">
      <c r="A138" s="6" t="s">
        <v>552</v>
      </c>
      <c r="B138" s="6">
        <f t="shared" si="68"/>
        <v>1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10">
        <v>1</v>
      </c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</row>
    <row r="139" ht="15">
      <c r="A139" s="6" t="s">
        <v>556</v>
      </c>
      <c r="B139" s="6">
        <f t="shared" si="68"/>
        <v>1811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0">
        <v>1</v>
      </c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0">
        <v>3</v>
      </c>
      <c r="AV139" s="10">
        <v>6</v>
      </c>
      <c r="AW139" s="10">
        <v>9</v>
      </c>
      <c r="AX139" s="10">
        <v>6</v>
      </c>
      <c r="AY139" s="6"/>
      <c r="AZ139" s="6"/>
      <c r="BA139" s="10">
        <v>4</v>
      </c>
      <c r="BB139" s="10">
        <v>5</v>
      </c>
      <c r="BC139" s="10">
        <v>12</v>
      </c>
      <c r="BD139" s="10">
        <v>8</v>
      </c>
      <c r="BE139" s="10">
        <v>10</v>
      </c>
      <c r="BF139" s="10">
        <v>15</v>
      </c>
      <c r="BG139" s="10">
        <v>41</v>
      </c>
      <c r="BH139" s="10">
        <v>16</v>
      </c>
      <c r="BI139" s="10">
        <v>29</v>
      </c>
      <c r="BJ139" s="10">
        <v>29</v>
      </c>
      <c r="BK139" s="10">
        <v>18</v>
      </c>
      <c r="BL139" s="10">
        <v>15</v>
      </c>
      <c r="BM139" s="10">
        <v>32</v>
      </c>
      <c r="BN139" s="10">
        <v>30</v>
      </c>
      <c r="BO139" s="10">
        <v>29</v>
      </c>
      <c r="BP139" s="10">
        <v>25</v>
      </c>
      <c r="BQ139" s="10">
        <v>45</v>
      </c>
      <c r="BR139" s="10">
        <v>55</v>
      </c>
      <c r="BS139" s="10">
        <v>95</v>
      </c>
      <c r="BT139" s="10">
        <v>72</v>
      </c>
      <c r="BU139" s="10">
        <v>69</v>
      </c>
      <c r="BV139" s="10">
        <v>93</v>
      </c>
      <c r="BW139" s="10">
        <v>84</v>
      </c>
      <c r="BX139" s="10">
        <v>79</v>
      </c>
      <c r="BY139" s="10">
        <v>68</v>
      </c>
      <c r="BZ139" s="10">
        <v>98</v>
      </c>
      <c r="CA139" s="10">
        <v>94</v>
      </c>
      <c r="CB139" s="10">
        <v>112</v>
      </c>
      <c r="CC139" s="10">
        <v>126</v>
      </c>
      <c r="CD139" s="10">
        <v>118</v>
      </c>
      <c r="CE139" s="10">
        <v>129</v>
      </c>
      <c r="CF139" s="10">
        <v>131</v>
      </c>
      <c r="CG139" s="10">
        <v>102</v>
      </c>
      <c r="CH139" s="10">
        <v>167</v>
      </c>
      <c r="CI139" s="10">
        <v>185</v>
      </c>
      <c r="CJ139" s="10">
        <v>154</v>
      </c>
      <c r="CK139" s="10">
        <v>168</v>
      </c>
      <c r="CL139" s="10">
        <v>223</v>
      </c>
      <c r="CM139" s="10">
        <v>264</v>
      </c>
      <c r="CN139" s="10">
        <v>264</v>
      </c>
      <c r="CO139" s="10">
        <v>173</v>
      </c>
      <c r="CP139" s="10">
        <v>176</v>
      </c>
      <c r="CQ139" s="10">
        <v>186</v>
      </c>
      <c r="CR139" s="10">
        <v>106</v>
      </c>
      <c r="CS139" s="10">
        <v>76</v>
      </c>
      <c r="CT139" s="10">
        <v>75</v>
      </c>
      <c r="CU139" s="10">
        <v>55</v>
      </c>
      <c r="CV139" s="10">
        <v>71</v>
      </c>
      <c r="CW139" s="10">
        <v>65</v>
      </c>
      <c r="CX139" s="10">
        <v>47</v>
      </c>
      <c r="CY139" s="10">
        <v>31</v>
      </c>
      <c r="CZ139" s="10">
        <v>55</v>
      </c>
      <c r="DA139" s="10">
        <v>55</v>
      </c>
      <c r="DB139" s="10">
        <v>45</v>
      </c>
      <c r="DC139" s="10">
        <v>46</v>
      </c>
      <c r="DD139" s="10">
        <v>154</v>
      </c>
      <c r="DE139" s="10">
        <v>132</v>
      </c>
      <c r="DF139" s="10">
        <v>62</v>
      </c>
      <c r="DG139" s="10">
        <v>78</v>
      </c>
      <c r="DH139" s="10">
        <v>40</v>
      </c>
      <c r="DI139" s="10">
        <v>64</v>
      </c>
      <c r="DJ139" s="10">
        <v>64</v>
      </c>
      <c r="DK139" s="10">
        <v>36</v>
      </c>
      <c r="DL139" s="10">
        <v>5</v>
      </c>
      <c r="DM139" s="10">
        <v>8</v>
      </c>
      <c r="DN139" s="10">
        <v>13</v>
      </c>
      <c r="DO139" s="10">
        <v>6</v>
      </c>
      <c r="DP139" s="10">
        <v>3</v>
      </c>
      <c r="DQ139" s="10">
        <v>2</v>
      </c>
      <c r="DR139" s="10">
        <v>5</v>
      </c>
      <c r="DS139" s="6"/>
      <c r="DT139" s="10">
        <v>1</v>
      </c>
      <c r="DU139" s="10">
        <v>2</v>
      </c>
      <c r="DV139" s="10">
        <v>2</v>
      </c>
      <c r="DW139" s="10">
        <v>3</v>
      </c>
      <c r="DX139" s="10">
        <v>1</v>
      </c>
      <c r="DY139" s="10">
        <v>2</v>
      </c>
      <c r="DZ139" s="10">
        <v>1</v>
      </c>
      <c r="EA139" s="10">
        <v>3</v>
      </c>
      <c r="EB139" s="10">
        <v>3</v>
      </c>
      <c r="EC139" s="6"/>
      <c r="ED139" s="6"/>
      <c r="EE139" s="6"/>
      <c r="EF139" s="6"/>
      <c r="EG139" s="6"/>
      <c r="EH139" s="6"/>
      <c r="EI139" s="6"/>
      <c r="EJ139" s="6"/>
      <c r="EK139" s="6"/>
      <c r="EL139" s="6"/>
    </row>
    <row r="140" ht="15">
      <c r="A140" s="6" t="s">
        <v>560</v>
      </c>
      <c r="B140" s="6">
        <f t="shared" si="68"/>
        <v>1434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10">
        <v>1</v>
      </c>
      <c r="BI140" s="10">
        <v>6</v>
      </c>
      <c r="BJ140" s="10">
        <v>71</v>
      </c>
      <c r="BK140" s="10">
        <v>50</v>
      </c>
      <c r="BL140" s="10">
        <v>47</v>
      </c>
      <c r="BM140" s="10">
        <v>101</v>
      </c>
      <c r="BN140" s="10">
        <v>95</v>
      </c>
      <c r="BO140" s="10">
        <v>113</v>
      </c>
      <c r="BP140" s="10">
        <v>113</v>
      </c>
      <c r="BQ140" s="10">
        <v>68</v>
      </c>
      <c r="BR140" s="10">
        <v>46</v>
      </c>
      <c r="BS140" s="10">
        <v>66</v>
      </c>
      <c r="BT140" s="10">
        <v>41</v>
      </c>
      <c r="BU140" s="10">
        <v>29</v>
      </c>
      <c r="BV140" s="10">
        <v>83</v>
      </c>
      <c r="BW140" s="10">
        <v>57</v>
      </c>
      <c r="BX140" s="10">
        <v>62</v>
      </c>
      <c r="BY140" s="10">
        <v>55</v>
      </c>
      <c r="BZ140" s="10">
        <v>67</v>
      </c>
      <c r="CA140" s="10">
        <v>51</v>
      </c>
      <c r="CB140" s="10">
        <v>41</v>
      </c>
      <c r="CC140" s="10">
        <v>54</v>
      </c>
      <c r="CD140" s="10">
        <v>42</v>
      </c>
      <c r="CE140" s="10">
        <v>53</v>
      </c>
      <c r="CF140" s="10">
        <v>22</v>
      </c>
      <c r="CG140" s="10">
        <v>27</v>
      </c>
      <c r="CH140" s="10">
        <v>36</v>
      </c>
      <c r="CI140" s="10">
        <v>59</v>
      </c>
      <c r="CJ140" s="10">
        <v>121</v>
      </c>
      <c r="CK140" s="10">
        <v>65</v>
      </c>
      <c r="CL140" s="10">
        <v>50</v>
      </c>
      <c r="CM140" s="10">
        <v>50</v>
      </c>
      <c r="CN140" s="10">
        <v>24</v>
      </c>
      <c r="CO140" s="10">
        <v>75</v>
      </c>
      <c r="CP140" s="10">
        <v>63</v>
      </c>
      <c r="CQ140" s="10">
        <v>52</v>
      </c>
      <c r="CR140" s="10">
        <v>79</v>
      </c>
      <c r="CS140" s="10">
        <v>43</v>
      </c>
      <c r="CT140" s="10">
        <v>44</v>
      </c>
      <c r="CU140" s="10">
        <v>29</v>
      </c>
      <c r="CV140" s="10">
        <v>25</v>
      </c>
      <c r="CW140" s="10">
        <v>30</v>
      </c>
      <c r="CX140" s="10">
        <v>24</v>
      </c>
      <c r="CY140" s="10">
        <v>6</v>
      </c>
      <c r="CZ140" s="10">
        <v>5</v>
      </c>
      <c r="DA140" s="10">
        <v>5</v>
      </c>
      <c r="DB140" s="10">
        <v>6</v>
      </c>
      <c r="DC140" s="10">
        <v>10</v>
      </c>
      <c r="DD140" s="6"/>
      <c r="DE140" s="6"/>
      <c r="DF140" s="6"/>
      <c r="DG140" s="6"/>
      <c r="DH140" s="10">
        <v>1</v>
      </c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</row>
    <row r="141" ht="15">
      <c r="A141" s="6" t="s">
        <v>563</v>
      </c>
      <c r="B141" s="6">
        <f t="shared" si="68"/>
        <v>27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10">
        <v>2</v>
      </c>
      <c r="AU141" s="6"/>
      <c r="AV141" s="6"/>
      <c r="AW141" s="6"/>
      <c r="AX141" s="6"/>
      <c r="AY141" s="10">
        <v>1</v>
      </c>
      <c r="AZ141" s="6"/>
      <c r="BA141" s="6"/>
      <c r="BB141" s="6"/>
      <c r="BC141" s="6"/>
      <c r="BD141" s="6"/>
      <c r="BE141" s="10">
        <v>2</v>
      </c>
      <c r="BF141" s="6"/>
      <c r="BG141" s="10">
        <v>1</v>
      </c>
      <c r="BH141" s="10">
        <v>1</v>
      </c>
      <c r="BI141" s="6"/>
      <c r="BJ141" s="10">
        <v>1</v>
      </c>
      <c r="BK141" s="10">
        <v>1</v>
      </c>
      <c r="BL141" s="10">
        <v>1</v>
      </c>
      <c r="BM141" s="6"/>
      <c r="BN141" s="10">
        <v>1</v>
      </c>
      <c r="BO141" s="10">
        <v>2</v>
      </c>
      <c r="BP141" s="10">
        <v>1</v>
      </c>
      <c r="BQ141" s="6"/>
      <c r="BR141" s="10">
        <v>3</v>
      </c>
      <c r="BS141" s="6"/>
      <c r="BT141" s="6"/>
      <c r="BU141" s="6"/>
      <c r="BV141" s="10">
        <v>2</v>
      </c>
      <c r="BW141" s="6"/>
      <c r="BX141" s="10">
        <v>1</v>
      </c>
      <c r="BY141" s="6"/>
      <c r="BZ141" s="6"/>
      <c r="CA141" s="6"/>
      <c r="CB141" s="10">
        <v>2</v>
      </c>
      <c r="CC141" s="10">
        <v>3</v>
      </c>
      <c r="CD141" s="10">
        <v>2</v>
      </c>
      <c r="CE141" s="6"/>
      <c r="CF141" s="6"/>
      <c r="CG141" s="10">
        <v>1</v>
      </c>
      <c r="CH141" s="10">
        <v>3</v>
      </c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10">
        <v>1</v>
      </c>
      <c r="CU141" s="10">
        <v>1</v>
      </c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</row>
    <row r="142" ht="15">
      <c r="A142" s="6" t="s">
        <v>567</v>
      </c>
      <c r="B142" s="6">
        <f t="shared" si="68"/>
        <v>669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10">
        <v>1</v>
      </c>
      <c r="AS142" s="6"/>
      <c r="AT142" s="10">
        <v>1</v>
      </c>
      <c r="AU142" s="6"/>
      <c r="AV142" s="10">
        <v>2</v>
      </c>
      <c r="AW142" s="10">
        <v>3</v>
      </c>
      <c r="AX142" s="10">
        <v>1</v>
      </c>
      <c r="AY142" s="10">
        <v>1</v>
      </c>
      <c r="AZ142" s="10">
        <v>6</v>
      </c>
      <c r="BA142" s="10">
        <v>2</v>
      </c>
      <c r="BB142" s="10">
        <v>3</v>
      </c>
      <c r="BC142" s="10">
        <v>2</v>
      </c>
      <c r="BD142" s="10">
        <v>5</v>
      </c>
      <c r="BE142" s="10">
        <v>7</v>
      </c>
      <c r="BF142" s="10">
        <v>9</v>
      </c>
      <c r="BG142" s="10">
        <v>13</v>
      </c>
      <c r="BH142" s="10">
        <v>20</v>
      </c>
      <c r="BI142" s="10">
        <v>9</v>
      </c>
      <c r="BJ142" s="10">
        <v>6</v>
      </c>
      <c r="BK142" s="10">
        <v>4</v>
      </c>
      <c r="BL142" s="10">
        <v>9</v>
      </c>
      <c r="BM142" s="10">
        <v>24</v>
      </c>
      <c r="BN142" s="10">
        <v>12</v>
      </c>
      <c r="BO142" s="10">
        <v>16</v>
      </c>
      <c r="BP142" s="10">
        <v>23</v>
      </c>
      <c r="BQ142" s="10">
        <v>11</v>
      </c>
      <c r="BR142" s="10">
        <v>13</v>
      </c>
      <c r="BS142" s="10">
        <v>24</v>
      </c>
      <c r="BT142" s="10">
        <v>24</v>
      </c>
      <c r="BU142" s="10">
        <v>23</v>
      </c>
      <c r="BV142" s="10">
        <v>23</v>
      </c>
      <c r="BW142" s="10">
        <v>26</v>
      </c>
      <c r="BX142" s="10">
        <v>21</v>
      </c>
      <c r="BY142" s="10">
        <v>27</v>
      </c>
      <c r="BZ142" s="10">
        <v>52</v>
      </c>
      <c r="CA142" s="10">
        <v>52</v>
      </c>
      <c r="CB142" s="10">
        <v>57</v>
      </c>
      <c r="CC142" s="10">
        <v>31</v>
      </c>
      <c r="CD142" s="10">
        <v>42</v>
      </c>
      <c r="CE142" s="10">
        <v>32</v>
      </c>
      <c r="CF142" s="10">
        <v>32</v>
      </c>
      <c r="CG142" s="10">
        <v>16</v>
      </c>
      <c r="CH142" s="10">
        <v>23</v>
      </c>
      <c r="CI142" s="10">
        <v>74</v>
      </c>
      <c r="CJ142" s="10">
        <v>42</v>
      </c>
      <c r="CK142" s="10">
        <v>41</v>
      </c>
      <c r="CL142" s="10">
        <v>88</v>
      </c>
      <c r="CM142" s="10">
        <v>73</v>
      </c>
      <c r="CN142" s="10">
        <v>69</v>
      </c>
      <c r="CO142" s="10">
        <v>60</v>
      </c>
      <c r="CP142" s="10">
        <v>54</v>
      </c>
      <c r="CQ142" s="10">
        <v>59</v>
      </c>
      <c r="CR142" s="10">
        <v>76</v>
      </c>
      <c r="CS142" s="10">
        <v>54</v>
      </c>
      <c r="CT142" s="10">
        <v>36</v>
      </c>
      <c r="CU142" s="10">
        <v>42</v>
      </c>
      <c r="CV142" s="10">
        <v>39</v>
      </c>
      <c r="CW142" s="10">
        <v>54</v>
      </c>
      <c r="CX142" s="10">
        <v>47</v>
      </c>
      <c r="CY142" s="10">
        <v>55</v>
      </c>
      <c r="CZ142" s="10">
        <v>46</v>
      </c>
      <c r="DA142" s="10">
        <v>19</v>
      </c>
      <c r="DB142" s="10">
        <v>11</v>
      </c>
      <c r="DC142" s="10">
        <v>34</v>
      </c>
      <c r="DD142" s="10">
        <v>26</v>
      </c>
      <c r="DE142" s="10">
        <v>49</v>
      </c>
      <c r="DF142" s="10">
        <v>20</v>
      </c>
      <c r="DG142" s="10">
        <v>17</v>
      </c>
      <c r="DH142" s="10">
        <v>42</v>
      </c>
      <c r="DI142" s="6"/>
      <c r="DJ142" s="6"/>
      <c r="DK142" s="10">
        <v>6</v>
      </c>
      <c r="DL142" s="10">
        <v>1</v>
      </c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10">
        <v>1</v>
      </c>
      <c r="EH142" s="10"/>
      <c r="EI142" s="10"/>
      <c r="EJ142" s="10"/>
      <c r="EK142" s="10"/>
      <c r="EL142" s="10"/>
    </row>
    <row r="143" ht="15">
      <c r="A143" s="6" t="s">
        <v>571</v>
      </c>
      <c r="B143" s="6">
        <f t="shared" si="68"/>
        <v>4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10">
        <v>1</v>
      </c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10">
        <v>1</v>
      </c>
      <c r="BR143" s="10">
        <v>1</v>
      </c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10">
        <v>1</v>
      </c>
      <c r="CG143" s="6"/>
      <c r="CH143" s="10">
        <v>2</v>
      </c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</row>
    <row r="144" ht="15">
      <c r="A144" s="6" t="s">
        <v>575</v>
      </c>
      <c r="B144" s="6">
        <f t="shared" si="68"/>
        <v>16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10">
        <v>1</v>
      </c>
      <c r="AS144" s="6"/>
      <c r="AT144" s="6"/>
      <c r="AU144" s="6"/>
      <c r="AV144" s="6"/>
      <c r="AW144" s="10">
        <v>2</v>
      </c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10">
        <v>1</v>
      </c>
      <c r="BJ144" s="10">
        <v>2</v>
      </c>
      <c r="BK144" s="10">
        <v>1</v>
      </c>
      <c r="BL144" s="6"/>
      <c r="BM144" s="6"/>
      <c r="BN144" s="10">
        <v>1</v>
      </c>
      <c r="BO144" s="6"/>
      <c r="BP144" s="6"/>
      <c r="BQ144" s="6"/>
      <c r="BR144" s="6"/>
      <c r="BS144" s="10">
        <v>1</v>
      </c>
      <c r="BT144" s="6"/>
      <c r="BU144" s="6"/>
      <c r="BV144" s="10">
        <v>1</v>
      </c>
      <c r="BW144" s="10">
        <v>1</v>
      </c>
      <c r="BX144" s="10">
        <v>1</v>
      </c>
      <c r="BY144" s="10">
        <v>1</v>
      </c>
      <c r="BZ144" s="6"/>
      <c r="CA144" s="6"/>
      <c r="CB144" s="10">
        <v>2</v>
      </c>
      <c r="CC144" s="6"/>
      <c r="CD144" s="6"/>
      <c r="CE144" s="10">
        <v>1</v>
      </c>
      <c r="CF144" s="6"/>
      <c r="CG144" s="6"/>
      <c r="CH144" s="10">
        <v>1</v>
      </c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10">
        <v>1</v>
      </c>
      <c r="CV144" s="10">
        <v>1</v>
      </c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</row>
    <row r="145" ht="15" hidden="1">
      <c r="A145" s="6" t="s">
        <v>579</v>
      </c>
      <c r="B145" s="6">
        <f t="shared" si="68"/>
        <v>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</row>
    <row r="146" ht="15">
      <c r="A146" s="6" t="s">
        <v>583</v>
      </c>
      <c r="B146" s="6">
        <f t="shared" si="68"/>
        <v>6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10">
        <v>1</v>
      </c>
      <c r="AS146" s="6"/>
      <c r="AT146" s="6"/>
      <c r="AU146" s="6"/>
      <c r="AV146" s="10">
        <v>1</v>
      </c>
      <c r="AW146" s="10">
        <v>1</v>
      </c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10">
        <v>1</v>
      </c>
      <c r="BP146" s="6"/>
      <c r="BQ146" s="10">
        <v>1</v>
      </c>
      <c r="BR146" s="6"/>
      <c r="BS146" s="6"/>
      <c r="BT146" s="6"/>
      <c r="BU146" s="6"/>
      <c r="BV146" s="6"/>
      <c r="BW146" s="6"/>
      <c r="BX146" s="6"/>
      <c r="BY146" s="10">
        <v>1</v>
      </c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10">
        <v>1</v>
      </c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</row>
    <row r="147" ht="15">
      <c r="A147" s="6" t="s">
        <v>587</v>
      </c>
      <c r="B147" s="6">
        <f t="shared" si="68"/>
        <v>64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10">
        <v>1</v>
      </c>
      <c r="BH147" s="6"/>
      <c r="BI147" s="6"/>
      <c r="BJ147" s="10">
        <v>2</v>
      </c>
      <c r="BK147" s="10">
        <v>3</v>
      </c>
      <c r="BL147" s="10">
        <v>4</v>
      </c>
      <c r="BM147" s="10">
        <v>5</v>
      </c>
      <c r="BN147" s="10">
        <v>3</v>
      </c>
      <c r="BO147" s="10">
        <v>4</v>
      </c>
      <c r="BP147" s="10">
        <v>4</v>
      </c>
      <c r="BQ147" s="10">
        <v>3</v>
      </c>
      <c r="BR147" s="10">
        <v>2</v>
      </c>
      <c r="BS147" s="10">
        <v>4</v>
      </c>
      <c r="BT147" s="10">
        <v>2</v>
      </c>
      <c r="BU147" s="6"/>
      <c r="BV147" s="10">
        <v>2</v>
      </c>
      <c r="BW147" s="10">
        <v>2</v>
      </c>
      <c r="BX147" s="10">
        <v>4</v>
      </c>
      <c r="BY147" s="10">
        <v>1</v>
      </c>
      <c r="BZ147" s="10">
        <v>1</v>
      </c>
      <c r="CA147" s="10">
        <v>4</v>
      </c>
      <c r="CB147" s="6"/>
      <c r="CC147" s="10">
        <v>4</v>
      </c>
      <c r="CD147" s="10">
        <v>6</v>
      </c>
      <c r="CE147" s="10">
        <v>3</v>
      </c>
      <c r="CF147" s="6"/>
      <c r="CG147" s="6"/>
      <c r="CH147" s="10">
        <v>1</v>
      </c>
      <c r="CI147" s="10">
        <v>1</v>
      </c>
      <c r="CJ147" s="6"/>
      <c r="CK147" s="6"/>
      <c r="CL147" s="10">
        <v>2</v>
      </c>
      <c r="CM147" s="6"/>
      <c r="CN147" s="6"/>
      <c r="CO147" s="6"/>
      <c r="CP147" s="10">
        <v>1</v>
      </c>
      <c r="CQ147" s="6"/>
      <c r="CR147" s="6"/>
      <c r="CS147" s="10">
        <v>1</v>
      </c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</row>
    <row r="148" ht="15">
      <c r="A148" s="6" t="s">
        <v>591</v>
      </c>
      <c r="B148" s="6">
        <f t="shared" si="68"/>
        <v>14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10">
        <v>1</v>
      </c>
      <c r="AY148" s="6"/>
      <c r="AZ148" s="6"/>
      <c r="BA148" s="6"/>
      <c r="BB148" s="6"/>
      <c r="BC148" s="6"/>
      <c r="BD148" s="6"/>
      <c r="BE148" s="6"/>
      <c r="BF148" s="6"/>
      <c r="BG148" s="6"/>
      <c r="BH148" s="10">
        <v>1</v>
      </c>
      <c r="BI148" s="10">
        <v>1</v>
      </c>
      <c r="BJ148" s="10">
        <v>1</v>
      </c>
      <c r="BK148" s="6"/>
      <c r="BL148" s="6"/>
      <c r="BM148" s="6"/>
      <c r="BN148" s="6"/>
      <c r="BO148" s="6"/>
      <c r="BP148" s="6"/>
      <c r="BQ148" s="10">
        <v>1</v>
      </c>
      <c r="BR148" s="6"/>
      <c r="BS148" s="6"/>
      <c r="BT148" s="10">
        <v>2</v>
      </c>
      <c r="BU148" s="6"/>
      <c r="BV148" s="10">
        <v>2</v>
      </c>
      <c r="BW148" s="6"/>
      <c r="BX148" s="10">
        <v>2</v>
      </c>
      <c r="BY148" s="6"/>
      <c r="BZ148" s="10">
        <v>1</v>
      </c>
      <c r="CA148" s="6"/>
      <c r="CB148" s="6"/>
      <c r="CC148" s="6"/>
      <c r="CD148" s="10">
        <v>1</v>
      </c>
      <c r="CE148" s="10">
        <v>1</v>
      </c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</row>
    <row r="149" ht="15">
      <c r="A149" s="6" t="s">
        <v>595</v>
      </c>
      <c r="B149" s="6">
        <f t="shared" si="68"/>
        <v>25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10">
        <v>2</v>
      </c>
      <c r="BH149" s="10">
        <v>9</v>
      </c>
      <c r="BI149" s="10">
        <v>1</v>
      </c>
      <c r="BJ149" s="6"/>
      <c r="BK149" s="10">
        <v>7</v>
      </c>
      <c r="BL149" s="10">
        <v>2</v>
      </c>
      <c r="BM149" s="6"/>
      <c r="BN149" s="6"/>
      <c r="BO149" s="6"/>
      <c r="BP149" s="6"/>
      <c r="BQ149" s="6"/>
      <c r="BR149" s="6"/>
      <c r="BS149" s="10">
        <v>1</v>
      </c>
      <c r="BT149" s="6"/>
      <c r="BU149" s="6"/>
      <c r="BV149" s="6"/>
      <c r="BW149" s="6"/>
      <c r="BX149" s="6"/>
      <c r="BY149" s="10">
        <v>1</v>
      </c>
      <c r="BZ149" s="10">
        <v>2</v>
      </c>
      <c r="CA149" s="6"/>
      <c r="CB149" s="6"/>
      <c r="CC149" s="6"/>
      <c r="CD149" s="6"/>
      <c r="CE149" s="6"/>
      <c r="CF149" s="6"/>
      <c r="CG149" s="10">
        <v>1</v>
      </c>
      <c r="CH149" s="6"/>
      <c r="CI149" s="6"/>
      <c r="CJ149" s="6"/>
      <c r="CK149" s="6"/>
      <c r="CL149" s="6"/>
      <c r="CM149" s="6"/>
      <c r="CN149" s="6"/>
      <c r="CO149" s="6"/>
      <c r="CP149" s="6"/>
      <c r="CQ149" s="10">
        <v>1</v>
      </c>
      <c r="CR149" s="10">
        <v>1</v>
      </c>
      <c r="CS149" s="10">
        <v>1</v>
      </c>
      <c r="CT149" s="10">
        <v>1</v>
      </c>
      <c r="CU149" s="6"/>
      <c r="CV149" s="6"/>
      <c r="CW149" s="10">
        <v>1</v>
      </c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</row>
    <row r="150" ht="15">
      <c r="A150" s="6" t="s">
        <v>599</v>
      </c>
      <c r="B150" s="6">
        <f t="shared" si="68"/>
        <v>68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0">
        <v>1</v>
      </c>
      <c r="AT150" s="6"/>
      <c r="AU150" s="6"/>
      <c r="AV150" s="6"/>
      <c r="AW150" s="10">
        <v>1</v>
      </c>
      <c r="AX150" s="6"/>
      <c r="AY150" s="6"/>
      <c r="AZ150" s="6"/>
      <c r="BA150" s="6"/>
      <c r="BB150" s="6"/>
      <c r="BC150" s="6"/>
      <c r="BD150" s="10">
        <v>1</v>
      </c>
      <c r="BE150" s="6"/>
      <c r="BF150" s="6"/>
      <c r="BG150" s="6"/>
      <c r="BH150" s="6"/>
      <c r="BI150" s="6"/>
      <c r="BJ150" s="6"/>
      <c r="BK150" s="6"/>
      <c r="BL150" s="6"/>
      <c r="BM150" s="10">
        <v>1</v>
      </c>
      <c r="BN150" s="10">
        <v>1</v>
      </c>
      <c r="BO150" s="10">
        <v>2</v>
      </c>
      <c r="BP150" s="10">
        <v>6</v>
      </c>
      <c r="BQ150" s="10">
        <v>1</v>
      </c>
      <c r="BR150" s="10">
        <v>2</v>
      </c>
      <c r="BS150" s="6"/>
      <c r="BT150" s="10">
        <v>2</v>
      </c>
      <c r="BU150" s="10">
        <v>3</v>
      </c>
      <c r="BV150" s="10">
        <v>2</v>
      </c>
      <c r="BW150" s="6"/>
      <c r="BX150" s="10">
        <v>2</v>
      </c>
      <c r="BY150" s="10">
        <v>2</v>
      </c>
      <c r="BZ150" s="10">
        <v>3</v>
      </c>
      <c r="CA150" s="10">
        <v>12</v>
      </c>
      <c r="CB150" s="10">
        <v>4</v>
      </c>
      <c r="CC150" s="10">
        <v>5</v>
      </c>
      <c r="CD150" s="10">
        <v>5</v>
      </c>
      <c r="CE150" s="10">
        <v>3</v>
      </c>
      <c r="CF150" s="10">
        <v>9</v>
      </c>
      <c r="CG150" s="10">
        <v>17</v>
      </c>
      <c r="CH150" s="10">
        <v>13</v>
      </c>
      <c r="CI150" s="10">
        <v>12</v>
      </c>
      <c r="CJ150" s="10">
        <v>3</v>
      </c>
      <c r="CK150" s="10">
        <v>2</v>
      </c>
      <c r="CL150" s="10">
        <v>8</v>
      </c>
      <c r="CM150" s="10">
        <v>6</v>
      </c>
      <c r="CN150" s="10">
        <v>3</v>
      </c>
      <c r="CO150" s="10">
        <v>12</v>
      </c>
      <c r="CP150" s="10">
        <v>11</v>
      </c>
      <c r="CQ150" s="10">
        <v>6</v>
      </c>
      <c r="CR150" s="10">
        <v>2</v>
      </c>
      <c r="CS150" s="10">
        <v>1</v>
      </c>
      <c r="CT150" s="6"/>
      <c r="CU150" s="6"/>
      <c r="CV150" s="6"/>
      <c r="CW150" s="10">
        <v>3</v>
      </c>
      <c r="CX150" s="6"/>
      <c r="CY150" s="10">
        <v>1</v>
      </c>
      <c r="CZ150" s="10">
        <v>2</v>
      </c>
      <c r="DA150" s="10">
        <v>1</v>
      </c>
      <c r="DB150" s="6"/>
      <c r="DC150" s="6"/>
      <c r="DD150" s="10">
        <v>1</v>
      </c>
      <c r="DE150" s="6"/>
      <c r="DF150" s="6"/>
      <c r="DG150" s="6"/>
      <c r="DH150" s="10">
        <v>2</v>
      </c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10">
        <v>1</v>
      </c>
      <c r="EH150" s="10"/>
      <c r="EI150" s="10"/>
      <c r="EJ150" s="10"/>
      <c r="EK150" s="10"/>
      <c r="EL150" s="10"/>
    </row>
    <row r="151" ht="15">
      <c r="A151" s="6" t="s">
        <v>603</v>
      </c>
      <c r="B151" s="6">
        <f t="shared" si="68"/>
        <v>8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10">
        <v>1</v>
      </c>
      <c r="BB151" s="6"/>
      <c r="BC151" s="6"/>
      <c r="BD151" s="6"/>
      <c r="BE151" s="10">
        <v>2</v>
      </c>
      <c r="BF151" s="6"/>
      <c r="BG151" s="6"/>
      <c r="BH151" s="6"/>
      <c r="BI151" s="6"/>
      <c r="BJ151" s="6"/>
      <c r="BK151" s="6"/>
      <c r="BL151" s="10">
        <v>1</v>
      </c>
      <c r="BM151" s="6"/>
      <c r="BN151" s="10">
        <v>1</v>
      </c>
      <c r="BO151" s="10">
        <v>2</v>
      </c>
      <c r="BP151" s="6"/>
      <c r="BQ151" s="6"/>
      <c r="BR151" s="6"/>
      <c r="BS151" s="6"/>
      <c r="BT151" s="6"/>
      <c r="BU151" s="6"/>
      <c r="BV151" s="10">
        <v>1</v>
      </c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10">
        <v>2</v>
      </c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</row>
    <row r="152" ht="15">
      <c r="A152" s="6" t="s">
        <v>607</v>
      </c>
      <c r="B152" s="6">
        <f t="shared" si="68"/>
        <v>457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10">
        <v>3</v>
      </c>
      <c r="AY152" s="10">
        <v>5</v>
      </c>
      <c r="AZ152" s="10">
        <v>2</v>
      </c>
      <c r="BA152" s="10">
        <v>3</v>
      </c>
      <c r="BB152" s="6"/>
      <c r="BC152" s="10">
        <v>3</v>
      </c>
      <c r="BD152" s="10">
        <v>3</v>
      </c>
      <c r="BE152" s="6"/>
      <c r="BF152" s="10">
        <v>1</v>
      </c>
      <c r="BG152" s="10">
        <v>7</v>
      </c>
      <c r="BH152" s="10">
        <v>2</v>
      </c>
      <c r="BI152" s="10">
        <v>6</v>
      </c>
      <c r="BJ152" s="10">
        <v>7</v>
      </c>
      <c r="BK152" s="10">
        <v>3</v>
      </c>
      <c r="BL152" s="10">
        <v>13</v>
      </c>
      <c r="BM152" s="10">
        <v>23</v>
      </c>
      <c r="BN152" s="10">
        <v>6</v>
      </c>
      <c r="BO152" s="10">
        <v>27</v>
      </c>
      <c r="BP152" s="10">
        <v>13</v>
      </c>
      <c r="BQ152" s="10">
        <v>13</v>
      </c>
      <c r="BR152" s="10">
        <v>10</v>
      </c>
      <c r="BS152" s="10">
        <v>14</v>
      </c>
      <c r="BT152" s="10">
        <v>13</v>
      </c>
      <c r="BU152" s="10">
        <v>12</v>
      </c>
      <c r="BV152" s="10">
        <v>3</v>
      </c>
      <c r="BW152" s="10">
        <v>8</v>
      </c>
      <c r="BX152" s="10">
        <v>8</v>
      </c>
      <c r="BY152" s="10">
        <v>12</v>
      </c>
      <c r="BZ152" s="10">
        <v>20</v>
      </c>
      <c r="CA152" s="10">
        <v>45</v>
      </c>
      <c r="CB152" s="10">
        <v>26</v>
      </c>
      <c r="CC152" s="10">
        <v>27</v>
      </c>
      <c r="CD152" s="10">
        <v>39</v>
      </c>
      <c r="CE152" s="10">
        <v>43</v>
      </c>
      <c r="CF152" s="10">
        <v>37</v>
      </c>
      <c r="CG152" s="10">
        <v>34</v>
      </c>
      <c r="CH152" s="10">
        <v>26</v>
      </c>
      <c r="CI152" s="10">
        <v>18</v>
      </c>
      <c r="CJ152" s="10">
        <v>25</v>
      </c>
      <c r="CK152" s="10">
        <v>14</v>
      </c>
      <c r="CL152" s="10">
        <v>14</v>
      </c>
      <c r="CM152" s="10">
        <v>17</v>
      </c>
      <c r="CN152" s="10">
        <v>8</v>
      </c>
      <c r="CO152" s="10">
        <v>37</v>
      </c>
      <c r="CP152" s="10">
        <v>36</v>
      </c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</row>
    <row r="153" ht="15">
      <c r="A153" s="6" t="s">
        <v>611</v>
      </c>
      <c r="B153" s="6">
        <f t="shared" si="68"/>
        <v>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10">
        <v>1</v>
      </c>
      <c r="BH153" s="10">
        <v>1</v>
      </c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10">
        <v>3</v>
      </c>
      <c r="EH153" s="10"/>
      <c r="EI153" s="10"/>
      <c r="EJ153" s="10"/>
      <c r="EK153" s="10"/>
      <c r="EL153" s="10"/>
    </row>
    <row r="154" ht="15">
      <c r="A154" s="6" t="s">
        <v>615</v>
      </c>
      <c r="B154" s="6">
        <f t="shared" si="68"/>
        <v>840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10">
        <v>1</v>
      </c>
      <c r="AW154" s="10">
        <v>1</v>
      </c>
      <c r="AX154" s="6"/>
      <c r="AY154" s="6"/>
      <c r="AZ154" s="10">
        <v>2</v>
      </c>
      <c r="BA154" s="6"/>
      <c r="BB154" s="6"/>
      <c r="BC154" s="10">
        <v>1</v>
      </c>
      <c r="BD154" s="6"/>
      <c r="BE154" s="10">
        <v>3</v>
      </c>
      <c r="BF154" s="10">
        <v>4</v>
      </c>
      <c r="BG154" s="10">
        <v>5</v>
      </c>
      <c r="BH154" s="10">
        <v>13</v>
      </c>
      <c r="BI154" s="10">
        <v>5</v>
      </c>
      <c r="BJ154" s="10">
        <v>15</v>
      </c>
      <c r="BK154" s="10">
        <v>11</v>
      </c>
      <c r="BL154" s="10">
        <v>15</v>
      </c>
      <c r="BM154" s="10">
        <v>34</v>
      </c>
      <c r="BN154" s="10">
        <v>26</v>
      </c>
      <c r="BO154" s="10">
        <v>50</v>
      </c>
      <c r="BP154" s="10">
        <v>27</v>
      </c>
      <c r="BQ154" s="10">
        <v>33</v>
      </c>
      <c r="BR154" s="10">
        <v>36</v>
      </c>
      <c r="BS154" s="10">
        <v>41</v>
      </c>
      <c r="BT154" s="10">
        <v>31</v>
      </c>
      <c r="BU154" s="10">
        <v>41</v>
      </c>
      <c r="BV154" s="10">
        <v>35</v>
      </c>
      <c r="BW154" s="10">
        <v>41</v>
      </c>
      <c r="BX154" s="10">
        <v>24</v>
      </c>
      <c r="BY154" s="10">
        <v>47</v>
      </c>
      <c r="BZ154" s="10">
        <v>47</v>
      </c>
      <c r="CA154" s="10">
        <v>25</v>
      </c>
      <c r="CB154" s="10">
        <v>59</v>
      </c>
      <c r="CC154" s="10">
        <v>28</v>
      </c>
      <c r="CD154" s="10">
        <v>32</v>
      </c>
      <c r="CE154" s="10">
        <v>38</v>
      </c>
      <c r="CF154" s="10">
        <v>69</v>
      </c>
      <c r="CG154" s="10">
        <v>50</v>
      </c>
      <c r="CH154" s="10">
        <v>30</v>
      </c>
      <c r="CI154" s="10">
        <v>47</v>
      </c>
      <c r="CJ154" s="10">
        <v>142</v>
      </c>
      <c r="CK154" s="10">
        <v>122</v>
      </c>
      <c r="CL154" s="10">
        <v>128</v>
      </c>
      <c r="CM154" s="10">
        <v>169</v>
      </c>
      <c r="CN154" s="10">
        <v>141</v>
      </c>
      <c r="CO154" s="10">
        <v>196</v>
      </c>
      <c r="CP154" s="10">
        <v>140</v>
      </c>
      <c r="CQ154" s="10">
        <v>53</v>
      </c>
      <c r="CR154" s="10">
        <v>74</v>
      </c>
      <c r="CS154" s="10">
        <v>78</v>
      </c>
      <c r="CT154" s="10">
        <v>50</v>
      </c>
      <c r="CU154" s="10">
        <v>47</v>
      </c>
      <c r="CV154" s="10">
        <v>33</v>
      </c>
      <c r="CW154" s="10">
        <v>34</v>
      </c>
      <c r="CX154" s="10">
        <v>26</v>
      </c>
      <c r="CY154" s="10">
        <v>21</v>
      </c>
      <c r="CZ154" s="10">
        <v>19</v>
      </c>
      <c r="DA154" s="10">
        <v>37</v>
      </c>
      <c r="DB154" s="10">
        <v>34</v>
      </c>
      <c r="DC154" s="10">
        <v>31</v>
      </c>
      <c r="DD154" s="10">
        <v>31</v>
      </c>
      <c r="DE154" s="10">
        <v>6</v>
      </c>
      <c r="DF154" s="10">
        <v>7</v>
      </c>
      <c r="DG154" s="10">
        <v>11</v>
      </c>
      <c r="DH154" s="10">
        <v>6</v>
      </c>
      <c r="DI154" s="10">
        <v>2</v>
      </c>
      <c r="DJ154" s="10">
        <v>1</v>
      </c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10">
        <v>1</v>
      </c>
      <c r="EH154" s="10"/>
      <c r="EI154" s="10"/>
      <c r="EJ154" s="10"/>
      <c r="EK154" s="10"/>
      <c r="EL154" s="10"/>
    </row>
    <row r="155" ht="15">
      <c r="A155" s="6" t="s">
        <v>619</v>
      </c>
      <c r="B155" s="6">
        <f t="shared" si="68"/>
        <v>33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10">
        <v>2</v>
      </c>
      <c r="BO155" s="10">
        <v>4</v>
      </c>
      <c r="BP155" s="6"/>
      <c r="BQ155" s="10">
        <v>1</v>
      </c>
      <c r="BR155" s="10">
        <v>1</v>
      </c>
      <c r="BS155" s="6"/>
      <c r="BT155" s="6"/>
      <c r="BU155" s="6"/>
      <c r="BV155" s="10">
        <v>2</v>
      </c>
      <c r="BW155" s="10">
        <v>2</v>
      </c>
      <c r="BX155" s="6"/>
      <c r="BY155" s="10">
        <v>1</v>
      </c>
      <c r="BZ155" s="6"/>
      <c r="CA155" s="6"/>
      <c r="CB155" s="10">
        <v>1</v>
      </c>
      <c r="CC155" s="6"/>
      <c r="CD155" s="10">
        <v>1</v>
      </c>
      <c r="CE155" s="10">
        <v>1</v>
      </c>
      <c r="CF155" s="10">
        <v>17</v>
      </c>
      <c r="CG155" s="10">
        <v>31</v>
      </c>
      <c r="CH155" s="10">
        <v>22</v>
      </c>
      <c r="CI155" s="10">
        <v>24</v>
      </c>
      <c r="CJ155" s="10">
        <v>10</v>
      </c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10">
        <v>1</v>
      </c>
      <c r="CZ155" s="6"/>
      <c r="DA155" s="6"/>
      <c r="DB155" s="6"/>
      <c r="DC155" s="6"/>
      <c r="DD155" s="10">
        <v>1</v>
      </c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10">
        <v>1</v>
      </c>
      <c r="EH155" s="10"/>
      <c r="EI155" s="10"/>
      <c r="EJ155" s="10"/>
      <c r="EK155" s="10"/>
      <c r="EL155" s="10"/>
    </row>
    <row r="156" ht="15">
      <c r="A156" s="6" t="s">
        <v>627</v>
      </c>
      <c r="B156" s="6">
        <f t="shared" si="68"/>
        <v>6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10">
        <v>1</v>
      </c>
      <c r="CA156" s="6"/>
      <c r="CB156" s="10">
        <v>2</v>
      </c>
      <c r="CC156" s="10">
        <v>2</v>
      </c>
      <c r="CD156" s="10">
        <v>1</v>
      </c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</row>
    <row r="157" ht="15">
      <c r="A157" s="6" t="s">
        <v>631</v>
      </c>
      <c r="B157" s="6">
        <f t="shared" si="68"/>
        <v>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10">
        <v>1</v>
      </c>
      <c r="BY157" s="6"/>
      <c r="BZ157" s="6"/>
      <c r="CA157" s="6"/>
      <c r="CB157" s="6"/>
      <c r="CC157" s="6"/>
      <c r="CD157" s="6"/>
      <c r="CE157" s="10">
        <v>1</v>
      </c>
      <c r="CF157" s="6"/>
      <c r="CG157" s="6"/>
      <c r="CH157" s="6"/>
      <c r="CI157" s="6"/>
      <c r="CJ157" s="6"/>
      <c r="CK157" s="6"/>
      <c r="CL157" s="10">
        <v>2</v>
      </c>
      <c r="CM157" s="6"/>
      <c r="CN157" s="6"/>
      <c r="CO157" s="10">
        <v>1</v>
      </c>
      <c r="CP157" s="6"/>
      <c r="CQ157" s="10">
        <v>2</v>
      </c>
      <c r="CR157" s="6"/>
      <c r="CS157" s="10">
        <v>1</v>
      </c>
      <c r="CT157" s="10">
        <v>1</v>
      </c>
      <c r="CU157" s="6"/>
      <c r="CV157" s="6"/>
      <c r="CW157" s="10">
        <v>1</v>
      </c>
      <c r="CX157" s="6"/>
      <c r="CY157" s="10">
        <v>1</v>
      </c>
      <c r="CZ157" s="6"/>
      <c r="DA157" s="6"/>
      <c r="DB157" s="10">
        <v>2</v>
      </c>
      <c r="DC157" s="10">
        <v>3</v>
      </c>
      <c r="DD157" s="10">
        <v>2</v>
      </c>
      <c r="DE157" s="10">
        <v>1</v>
      </c>
      <c r="DF157" s="10">
        <v>2</v>
      </c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</row>
    <row r="158" ht="15" hidden="1">
      <c r="A158" s="6" t="s">
        <v>635</v>
      </c>
      <c r="B158" s="6">
        <f t="shared" si="68"/>
        <v>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10">
        <v>1</v>
      </c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</row>
    <row r="159" ht="15" hidden="1">
      <c r="A159" s="6" t="s">
        <v>639</v>
      </c>
      <c r="B159" s="6">
        <f t="shared" si="68"/>
        <v>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10">
        <v>1</v>
      </c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</row>
    <row r="160" ht="15">
      <c r="A160" s="6" t="s">
        <v>643</v>
      </c>
      <c r="B160" s="6">
        <f t="shared" si="68"/>
        <v>47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10">
        <v>4</v>
      </c>
      <c r="BW160" s="10">
        <v>9</v>
      </c>
      <c r="BX160" s="10">
        <v>2</v>
      </c>
      <c r="BY160" s="10">
        <v>1</v>
      </c>
      <c r="BZ160" s="10">
        <v>1</v>
      </c>
      <c r="CA160" s="10">
        <v>6</v>
      </c>
      <c r="CB160" s="10">
        <v>8</v>
      </c>
      <c r="CC160" s="10">
        <v>5</v>
      </c>
      <c r="CD160" s="10">
        <v>6</v>
      </c>
      <c r="CE160" s="10">
        <v>1</v>
      </c>
      <c r="CF160" s="10">
        <v>4</v>
      </c>
      <c r="CG160" s="10">
        <v>1</v>
      </c>
      <c r="CH160" s="10">
        <v>1</v>
      </c>
      <c r="CI160" s="10">
        <v>2</v>
      </c>
      <c r="CJ160" s="6"/>
      <c r="CK160" s="6"/>
      <c r="CL160" s="10">
        <v>2</v>
      </c>
      <c r="CM160" s="10">
        <v>3</v>
      </c>
      <c r="CN160" s="10">
        <v>1</v>
      </c>
      <c r="CO160" s="6"/>
      <c r="CP160" s="10">
        <v>1</v>
      </c>
      <c r="CQ160" s="10">
        <v>2</v>
      </c>
      <c r="CR160" s="6"/>
      <c r="CS160" s="10">
        <v>1</v>
      </c>
      <c r="CT160" s="10">
        <v>1</v>
      </c>
      <c r="CU160" s="6"/>
      <c r="CV160" s="10">
        <v>4</v>
      </c>
      <c r="CW160" s="10">
        <v>1</v>
      </c>
      <c r="CX160" s="6"/>
      <c r="CY160" s="6"/>
      <c r="CZ160" s="10">
        <v>1</v>
      </c>
      <c r="DA160" s="6"/>
      <c r="DB160" s="10">
        <v>1</v>
      </c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</row>
    <row r="161" ht="15">
      <c r="A161" s="6" t="s">
        <v>647</v>
      </c>
      <c r="B161" s="6">
        <f t="shared" si="68"/>
        <v>6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10">
        <v>1</v>
      </c>
      <c r="BU161" s="6"/>
      <c r="BV161" s="6"/>
      <c r="BW161" s="6"/>
      <c r="BX161" s="10">
        <v>1</v>
      </c>
      <c r="BY161" s="10">
        <v>2</v>
      </c>
      <c r="BZ161" s="10">
        <v>1</v>
      </c>
      <c r="CA161" s="6"/>
      <c r="CB161" s="6"/>
      <c r="CC161" s="6"/>
      <c r="CD161" s="10">
        <v>1</v>
      </c>
      <c r="CE161" s="6"/>
      <c r="CF161" s="6"/>
      <c r="CG161" s="10">
        <v>1</v>
      </c>
      <c r="CH161" s="6"/>
      <c r="CI161" s="10">
        <v>2</v>
      </c>
      <c r="CJ161" s="6"/>
      <c r="CK161" s="10">
        <v>1</v>
      </c>
      <c r="CL161" s="10">
        <v>2</v>
      </c>
      <c r="CM161" s="10">
        <v>1</v>
      </c>
      <c r="CN161" s="10">
        <v>2</v>
      </c>
      <c r="CO161" s="6"/>
      <c r="CP161" s="6"/>
      <c r="CQ161" s="6"/>
      <c r="CR161" s="6"/>
      <c r="CS161" s="6"/>
      <c r="CT161" s="10">
        <v>1</v>
      </c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</row>
    <row r="162" ht="15">
      <c r="A162" s="6" t="s">
        <v>651</v>
      </c>
      <c r="B162" s="6">
        <f t="shared" si="68"/>
        <v>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10">
        <v>1</v>
      </c>
      <c r="BU162" s="6"/>
      <c r="BV162" s="6"/>
      <c r="BW162" s="6"/>
      <c r="BX162" s="10">
        <v>2</v>
      </c>
      <c r="BY162" s="10">
        <v>2</v>
      </c>
      <c r="BZ162" s="6"/>
      <c r="CA162" s="6"/>
      <c r="CB162" s="6"/>
      <c r="CC162" s="6"/>
      <c r="CD162" s="6"/>
      <c r="CE162" s="6"/>
      <c r="CF162" s="10">
        <v>1</v>
      </c>
      <c r="CG162" s="10">
        <v>1</v>
      </c>
      <c r="CH162" s="10">
        <v>2</v>
      </c>
      <c r="CI162" s="10">
        <v>3</v>
      </c>
      <c r="CJ162" s="10">
        <v>1</v>
      </c>
      <c r="CK162" s="6"/>
      <c r="CL162" s="6"/>
      <c r="CM162" s="10">
        <v>1</v>
      </c>
      <c r="CN162" s="10">
        <v>3</v>
      </c>
      <c r="CO162" s="6"/>
      <c r="CP162" s="6"/>
      <c r="CQ162" s="10">
        <v>3</v>
      </c>
      <c r="CR162" s="10">
        <v>1</v>
      </c>
      <c r="CS162" s="6"/>
      <c r="CT162" s="6"/>
      <c r="CU162" s="6"/>
      <c r="CV162" s="10">
        <v>2</v>
      </c>
      <c r="CW162" s="10">
        <v>1</v>
      </c>
      <c r="CX162" s="6"/>
      <c r="CY162" s="10">
        <v>1</v>
      </c>
      <c r="CZ162" s="6"/>
      <c r="DA162" s="6"/>
      <c r="DB162" s="6"/>
      <c r="DC162" s="6"/>
      <c r="DD162" s="6"/>
      <c r="DE162" s="6"/>
      <c r="DF162" s="6"/>
      <c r="DG162" s="6"/>
      <c r="DH162" s="10">
        <v>1</v>
      </c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</row>
    <row r="163" ht="15" hidden="1">
      <c r="A163" s="6" t="s">
        <v>655</v>
      </c>
      <c r="B163" s="6">
        <f t="shared" si="68"/>
        <v>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10">
        <v>1</v>
      </c>
      <c r="CU163" s="6"/>
      <c r="CV163" s="6"/>
      <c r="CW163" s="6"/>
      <c r="CX163" s="6"/>
      <c r="CY163" s="6"/>
      <c r="CZ163" s="10">
        <v>1</v>
      </c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</row>
    <row r="164" ht="15" hidden="1">
      <c r="A164" s="6" t="s">
        <v>659</v>
      </c>
      <c r="B164" s="6">
        <f t="shared" ref="B164:B227" si="69">SUM(C164:CF164)</f>
        <v>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10">
        <v>1</v>
      </c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</row>
    <row r="165" ht="15">
      <c r="A165" s="6" t="s">
        <v>663</v>
      </c>
      <c r="B165" s="6">
        <f t="shared" si="69"/>
        <v>710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10">
        <v>1</v>
      </c>
      <c r="AW165" s="6"/>
      <c r="AX165" s="6"/>
      <c r="AY165" s="10">
        <v>1</v>
      </c>
      <c r="AZ165" s="6"/>
      <c r="BA165" s="6"/>
      <c r="BB165" s="10">
        <v>1</v>
      </c>
      <c r="BC165" s="6"/>
      <c r="BD165" s="6"/>
      <c r="BE165" s="10">
        <v>7</v>
      </c>
      <c r="BF165" s="6"/>
      <c r="BG165" s="10">
        <v>13</v>
      </c>
      <c r="BH165" s="10">
        <v>2</v>
      </c>
      <c r="BI165" s="6"/>
      <c r="BJ165" s="6"/>
      <c r="BK165" s="10">
        <v>10</v>
      </c>
      <c r="BL165" s="10">
        <v>7</v>
      </c>
      <c r="BM165" s="10">
        <v>4</v>
      </c>
      <c r="BN165" s="10">
        <v>6</v>
      </c>
      <c r="BO165" s="10">
        <v>5</v>
      </c>
      <c r="BP165" s="10">
        <v>10</v>
      </c>
      <c r="BQ165" s="10">
        <v>5</v>
      </c>
      <c r="BR165" s="10">
        <v>11</v>
      </c>
      <c r="BS165" s="10">
        <v>13</v>
      </c>
      <c r="BT165" s="10">
        <v>19</v>
      </c>
      <c r="BU165" s="10">
        <v>28</v>
      </c>
      <c r="BV165" s="10">
        <v>36</v>
      </c>
      <c r="BW165" s="10">
        <v>41</v>
      </c>
      <c r="BX165" s="10">
        <v>31</v>
      </c>
      <c r="BY165" s="10">
        <v>46</v>
      </c>
      <c r="BZ165" s="10">
        <v>30</v>
      </c>
      <c r="CA165" s="10">
        <v>45</v>
      </c>
      <c r="CB165" s="10">
        <v>48</v>
      </c>
      <c r="CC165" s="10">
        <v>57</v>
      </c>
      <c r="CD165" s="10">
        <v>49</v>
      </c>
      <c r="CE165" s="10">
        <v>84</v>
      </c>
      <c r="CF165" s="10">
        <v>100</v>
      </c>
      <c r="CG165" s="10">
        <v>62</v>
      </c>
      <c r="CH165" s="10">
        <v>60</v>
      </c>
      <c r="CI165" s="10">
        <v>52</v>
      </c>
      <c r="CJ165" s="10">
        <v>47</v>
      </c>
      <c r="CK165" s="10">
        <v>37</v>
      </c>
      <c r="CL165" s="10">
        <v>69</v>
      </c>
      <c r="CM165" s="10">
        <v>84</v>
      </c>
      <c r="CN165" s="10">
        <v>67</v>
      </c>
      <c r="CO165" s="10">
        <v>82</v>
      </c>
      <c r="CP165" s="10">
        <v>77</v>
      </c>
      <c r="CQ165" s="10">
        <v>71</v>
      </c>
      <c r="CR165" s="10">
        <v>114</v>
      </c>
      <c r="CS165" s="10">
        <v>65</v>
      </c>
      <c r="CT165" s="10">
        <v>32</v>
      </c>
      <c r="CU165" s="10">
        <v>37</v>
      </c>
      <c r="CV165" s="10">
        <v>20</v>
      </c>
      <c r="CW165" s="10">
        <v>27</v>
      </c>
      <c r="CX165" s="10">
        <v>32</v>
      </c>
      <c r="CY165" s="10">
        <v>29</v>
      </c>
      <c r="CZ165" s="10">
        <v>26</v>
      </c>
      <c r="DA165" s="10">
        <v>24</v>
      </c>
      <c r="DB165" s="10">
        <v>24</v>
      </c>
      <c r="DC165" s="10">
        <v>23</v>
      </c>
      <c r="DD165" s="10">
        <v>13</v>
      </c>
      <c r="DE165" s="10">
        <v>21</v>
      </c>
      <c r="DF165" s="10">
        <v>17</v>
      </c>
      <c r="DG165" s="10">
        <v>21</v>
      </c>
      <c r="DH165" s="10">
        <v>8</v>
      </c>
      <c r="DI165" s="10">
        <v>4</v>
      </c>
      <c r="DJ165" s="10">
        <v>14</v>
      </c>
      <c r="DK165" s="10">
        <v>5</v>
      </c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</row>
    <row r="166" ht="15">
      <c r="A166" s="6" t="s">
        <v>667</v>
      </c>
      <c r="B166" s="6">
        <f t="shared" si="69"/>
        <v>501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10">
        <v>1</v>
      </c>
      <c r="U166" s="6"/>
      <c r="V166" s="10">
        <v>1</v>
      </c>
      <c r="W166" s="6"/>
      <c r="X166" s="6"/>
      <c r="Y166" s="6"/>
      <c r="Z166" s="6"/>
      <c r="AA166" s="6"/>
      <c r="AB166" s="6"/>
      <c r="AC166" s="10">
        <v>1</v>
      </c>
      <c r="AD166" s="6"/>
      <c r="AE166" s="10">
        <v>3</v>
      </c>
      <c r="AF166" s="6"/>
      <c r="AG166" s="6"/>
      <c r="AH166" s="6"/>
      <c r="AI166" s="6"/>
      <c r="AJ166" s="6"/>
      <c r="AK166" s="10">
        <v>1</v>
      </c>
      <c r="AL166" s="10">
        <v>1</v>
      </c>
      <c r="AM166" s="6"/>
      <c r="AN166" s="6"/>
      <c r="AO166" s="10">
        <v>1</v>
      </c>
      <c r="AP166" s="6"/>
      <c r="AQ166" s="6"/>
      <c r="AR166" s="6"/>
      <c r="AS166" s="10">
        <v>1</v>
      </c>
      <c r="AT166" s="10">
        <v>1</v>
      </c>
      <c r="AU166" s="10">
        <v>2</v>
      </c>
      <c r="AV166" s="10">
        <v>1</v>
      </c>
      <c r="AW166" s="6"/>
      <c r="AX166" s="10">
        <v>1</v>
      </c>
      <c r="AY166" s="6"/>
      <c r="AZ166" s="6"/>
      <c r="BA166" s="6"/>
      <c r="BB166" s="6"/>
      <c r="BC166" s="6"/>
      <c r="BD166" s="10">
        <v>2</v>
      </c>
      <c r="BE166" s="10">
        <v>4</v>
      </c>
      <c r="BF166" s="10">
        <v>3</v>
      </c>
      <c r="BG166" s="10">
        <v>6</v>
      </c>
      <c r="BH166" s="10">
        <v>6</v>
      </c>
      <c r="BI166" s="10">
        <v>9</v>
      </c>
      <c r="BJ166" s="10">
        <v>7</v>
      </c>
      <c r="BK166" s="10">
        <v>3</v>
      </c>
      <c r="BL166" s="10">
        <v>7</v>
      </c>
      <c r="BM166" s="10">
        <v>4</v>
      </c>
      <c r="BN166" s="10">
        <v>4</v>
      </c>
      <c r="BO166" s="10">
        <v>10</v>
      </c>
      <c r="BP166" s="10">
        <v>19</v>
      </c>
      <c r="BQ166" s="10">
        <v>30</v>
      </c>
      <c r="BR166" s="10">
        <v>29</v>
      </c>
      <c r="BS166" s="10">
        <v>14</v>
      </c>
      <c r="BT166" s="10">
        <v>18</v>
      </c>
      <c r="BU166" s="10">
        <v>17</v>
      </c>
      <c r="BV166" s="10">
        <v>29</v>
      </c>
      <c r="BW166" s="10">
        <v>20</v>
      </c>
      <c r="BX166" s="10">
        <v>20</v>
      </c>
      <c r="BY166" s="10">
        <v>17</v>
      </c>
      <c r="BZ166" s="10">
        <v>26</v>
      </c>
      <c r="CA166" s="10">
        <v>24</v>
      </c>
      <c r="CB166" s="10">
        <v>44</v>
      </c>
      <c r="CC166" s="10">
        <v>33</v>
      </c>
      <c r="CD166" s="10">
        <v>34</v>
      </c>
      <c r="CE166" s="10">
        <v>36</v>
      </c>
      <c r="CF166" s="10">
        <v>11</v>
      </c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</row>
    <row r="167" ht="15">
      <c r="A167" s="6" t="s">
        <v>671</v>
      </c>
      <c r="B167" s="6">
        <f t="shared" si="69"/>
        <v>3456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10">
        <v>1</v>
      </c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10">
        <v>1</v>
      </c>
      <c r="BL167" s="6"/>
      <c r="BM167" s="6"/>
      <c r="BN167" s="6"/>
      <c r="BO167" s="6"/>
      <c r="BP167" s="6"/>
      <c r="BQ167" s="10">
        <v>1</v>
      </c>
      <c r="BR167" s="6"/>
      <c r="BS167" s="6"/>
      <c r="BT167" s="6"/>
      <c r="BU167" s="10">
        <v>59</v>
      </c>
      <c r="BV167" s="10">
        <v>160</v>
      </c>
      <c r="BW167" s="10">
        <v>156</v>
      </c>
      <c r="BX167" s="10">
        <v>220</v>
      </c>
      <c r="BY167" s="10">
        <v>205</v>
      </c>
      <c r="BZ167" s="10">
        <v>279</v>
      </c>
      <c r="CA167" s="10">
        <v>279</v>
      </c>
      <c r="CB167" s="10">
        <v>408</v>
      </c>
      <c r="CC167" s="10">
        <v>465</v>
      </c>
      <c r="CD167" s="10">
        <v>497</v>
      </c>
      <c r="CE167" s="10">
        <v>484</v>
      </c>
      <c r="CF167" s="10">
        <v>241</v>
      </c>
      <c r="CG167" s="6"/>
      <c r="CH167" s="6"/>
      <c r="CI167" s="10">
        <v>1</v>
      </c>
      <c r="CJ167" s="6"/>
      <c r="CK167" s="6"/>
      <c r="CL167" s="6"/>
      <c r="CM167" s="10">
        <v>1</v>
      </c>
      <c r="CN167" s="6"/>
      <c r="CO167" s="10">
        <v>1</v>
      </c>
      <c r="CP167" s="10">
        <v>1</v>
      </c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10"/>
      <c r="EE167" s="10"/>
      <c r="EF167" s="10">
        <v>1</v>
      </c>
      <c r="EG167" s="10">
        <v>6</v>
      </c>
      <c r="EH167" s="10"/>
      <c r="EI167" s="10"/>
      <c r="EJ167" s="10"/>
      <c r="EK167" s="10"/>
      <c r="EL167" s="10"/>
    </row>
    <row r="168" ht="15">
      <c r="A168" s="6" t="s">
        <v>679</v>
      </c>
      <c r="B168" s="6">
        <f t="shared" si="69"/>
        <v>7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10">
        <v>1</v>
      </c>
      <c r="BG168" s="6"/>
      <c r="BH168" s="10">
        <v>1</v>
      </c>
      <c r="BI168" s="10">
        <v>2</v>
      </c>
      <c r="BJ168" s="6"/>
      <c r="BK168" s="6"/>
      <c r="BL168" s="10">
        <v>1</v>
      </c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10">
        <v>1</v>
      </c>
      <c r="BZ168" s="6"/>
      <c r="CA168" s="6"/>
      <c r="CB168" s="10">
        <v>1</v>
      </c>
      <c r="CC168" s="6"/>
      <c r="CD168" s="6"/>
      <c r="CE168" s="6"/>
      <c r="CF168" s="6"/>
      <c r="CG168" s="10">
        <v>1</v>
      </c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10">
        <v>1</v>
      </c>
      <c r="EH168" s="10"/>
      <c r="EI168" s="10"/>
      <c r="EJ168" s="10"/>
      <c r="EK168" s="10"/>
      <c r="EL168" s="10"/>
    </row>
    <row r="169" ht="15" hidden="1">
      <c r="A169" s="6" t="s">
        <v>683</v>
      </c>
      <c r="B169" s="6">
        <f t="shared" si="69"/>
        <v>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10">
        <v>2</v>
      </c>
      <c r="CX169" s="10">
        <v>1</v>
      </c>
      <c r="CY169" s="10">
        <v>1</v>
      </c>
      <c r="CZ169" s="10">
        <v>1</v>
      </c>
      <c r="DA169" s="10">
        <v>3</v>
      </c>
      <c r="DB169" s="10">
        <v>8</v>
      </c>
      <c r="DC169" s="10">
        <v>1</v>
      </c>
      <c r="DD169" s="10">
        <v>1</v>
      </c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10">
        <v>9</v>
      </c>
      <c r="EH169" s="10"/>
      <c r="EI169" s="10"/>
      <c r="EJ169" s="10"/>
      <c r="EK169" s="10"/>
      <c r="EL169" s="10"/>
    </row>
    <row r="170" ht="15">
      <c r="A170" s="6" t="s">
        <v>687</v>
      </c>
      <c r="B170" s="6">
        <f t="shared" si="69"/>
        <v>82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10">
        <v>1</v>
      </c>
      <c r="BP170" s="6"/>
      <c r="BQ170" s="6"/>
      <c r="BR170" s="10">
        <v>1</v>
      </c>
      <c r="BS170" s="10">
        <v>4</v>
      </c>
      <c r="BT170" s="10">
        <v>10</v>
      </c>
      <c r="BU170" s="10">
        <v>9</v>
      </c>
      <c r="BV170" s="10">
        <v>10</v>
      </c>
      <c r="BW170" s="10">
        <v>12</v>
      </c>
      <c r="BX170" s="10">
        <v>1</v>
      </c>
      <c r="BY170" s="6"/>
      <c r="BZ170" s="6"/>
      <c r="CA170" s="10">
        <v>2</v>
      </c>
      <c r="CB170" s="10">
        <v>3</v>
      </c>
      <c r="CC170" s="10">
        <v>1</v>
      </c>
      <c r="CD170" s="10">
        <v>2</v>
      </c>
      <c r="CE170" s="10">
        <v>7</v>
      </c>
      <c r="CF170" s="10">
        <v>19</v>
      </c>
      <c r="CG170" s="10">
        <v>4</v>
      </c>
      <c r="CH170" s="10">
        <v>3</v>
      </c>
      <c r="CI170" s="10">
        <v>1</v>
      </c>
      <c r="CJ170" s="10">
        <v>2</v>
      </c>
      <c r="CK170" s="6"/>
      <c r="CL170" s="10">
        <v>1</v>
      </c>
      <c r="CM170" s="10">
        <v>2</v>
      </c>
      <c r="CN170" s="6"/>
      <c r="CO170" s="10">
        <v>4</v>
      </c>
      <c r="CP170" s="6"/>
      <c r="CQ170" s="6"/>
      <c r="CR170" s="6"/>
      <c r="CS170" s="10">
        <v>3</v>
      </c>
      <c r="CT170" s="10">
        <v>2</v>
      </c>
      <c r="CU170" s="6"/>
      <c r="CV170" s="10">
        <v>1</v>
      </c>
      <c r="CW170" s="10">
        <v>5</v>
      </c>
      <c r="CX170" s="10">
        <v>1</v>
      </c>
      <c r="CY170" s="10">
        <v>4</v>
      </c>
      <c r="CZ170" s="10">
        <v>3</v>
      </c>
      <c r="DA170" s="10">
        <v>1</v>
      </c>
      <c r="DB170" s="10">
        <v>8</v>
      </c>
      <c r="DC170" s="10">
        <v>9</v>
      </c>
      <c r="DD170" s="10">
        <v>10</v>
      </c>
      <c r="DE170" s="10">
        <v>5</v>
      </c>
      <c r="DF170" s="10">
        <v>3</v>
      </c>
      <c r="DG170" s="10">
        <v>7</v>
      </c>
      <c r="DH170" s="10">
        <v>1</v>
      </c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</row>
    <row r="171" ht="15">
      <c r="A171" s="6" t="s">
        <v>691</v>
      </c>
      <c r="B171" s="6">
        <f t="shared" si="69"/>
        <v>20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10">
        <v>1</v>
      </c>
      <c r="BV171" s="6"/>
      <c r="BW171" s="10">
        <v>1</v>
      </c>
      <c r="BX171" s="10">
        <v>1</v>
      </c>
      <c r="BY171" s="10">
        <v>1</v>
      </c>
      <c r="BZ171" s="10">
        <v>3</v>
      </c>
      <c r="CA171" s="10">
        <v>1</v>
      </c>
      <c r="CB171" s="10">
        <v>2</v>
      </c>
      <c r="CC171" s="6"/>
      <c r="CD171" s="10">
        <v>4</v>
      </c>
      <c r="CE171" s="10">
        <v>3</v>
      </c>
      <c r="CF171" s="10">
        <v>3</v>
      </c>
      <c r="CG171" s="10">
        <v>3</v>
      </c>
      <c r="CH171" s="10">
        <v>2</v>
      </c>
      <c r="CI171" s="6"/>
      <c r="CJ171" s="6"/>
      <c r="CK171" s="10">
        <v>1</v>
      </c>
      <c r="CL171" s="10">
        <v>1</v>
      </c>
      <c r="CM171" s="6"/>
      <c r="CN171" s="10">
        <v>1</v>
      </c>
      <c r="CO171" s="10">
        <v>2</v>
      </c>
      <c r="CP171" s="10">
        <v>2</v>
      </c>
      <c r="CQ171" s="6"/>
      <c r="CR171" s="10">
        <v>2</v>
      </c>
      <c r="CS171" s="10">
        <v>1</v>
      </c>
      <c r="CT171" s="10">
        <v>1</v>
      </c>
      <c r="CU171" s="6"/>
      <c r="CV171" s="10">
        <v>4</v>
      </c>
      <c r="CW171" s="10">
        <v>1</v>
      </c>
      <c r="CX171" s="10">
        <v>5</v>
      </c>
      <c r="CY171" s="10">
        <v>1</v>
      </c>
      <c r="CZ171" s="10">
        <v>2</v>
      </c>
      <c r="DA171" s="10">
        <v>1</v>
      </c>
      <c r="DB171" s="10">
        <v>2</v>
      </c>
      <c r="DC171" s="10">
        <v>6</v>
      </c>
      <c r="DD171" s="10">
        <v>4</v>
      </c>
      <c r="DE171" s="10">
        <v>2</v>
      </c>
      <c r="DF171" s="10">
        <v>1</v>
      </c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</row>
    <row r="172" ht="15" hidden="1">
      <c r="A172" s="6" t="s">
        <v>695</v>
      </c>
      <c r="B172" s="6">
        <f t="shared" si="69"/>
        <v>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10">
        <v>1</v>
      </c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</row>
    <row r="173" ht="15">
      <c r="A173" s="6" t="s">
        <v>699</v>
      </c>
      <c r="B173" s="6">
        <f t="shared" si="69"/>
        <v>1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10">
        <v>1</v>
      </c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10">
        <v>1</v>
      </c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</row>
    <row r="174" ht="15" hidden="1">
      <c r="A174" s="6" t="s">
        <v>703</v>
      </c>
      <c r="B174" s="6">
        <f t="shared" si="69"/>
        <v>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10">
        <v>1</v>
      </c>
      <c r="CH174" s="10">
        <v>1</v>
      </c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10">
        <v>3</v>
      </c>
      <c r="EH174" s="10"/>
      <c r="EI174" s="10"/>
      <c r="EJ174" s="10"/>
      <c r="EK174" s="10"/>
      <c r="EL174" s="10"/>
    </row>
    <row r="175" ht="15">
      <c r="A175" s="6" t="s">
        <v>707</v>
      </c>
      <c r="B175" s="6">
        <f t="shared" si="69"/>
        <v>19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10">
        <v>1</v>
      </c>
      <c r="BN175" s="10">
        <v>5</v>
      </c>
      <c r="BO175" s="10">
        <v>2</v>
      </c>
      <c r="BP175" s="10">
        <v>2</v>
      </c>
      <c r="BQ175" s="10">
        <v>1</v>
      </c>
      <c r="BR175" s="6"/>
      <c r="BS175" s="10">
        <v>2</v>
      </c>
      <c r="BT175" s="6"/>
      <c r="BU175" s="6"/>
      <c r="BV175" s="6"/>
      <c r="BW175" s="6"/>
      <c r="BX175" s="6"/>
      <c r="BY175" s="6"/>
      <c r="BZ175" s="6"/>
      <c r="CA175" s="10">
        <v>1</v>
      </c>
      <c r="CB175" s="10">
        <v>2</v>
      </c>
      <c r="CC175" s="6"/>
      <c r="CD175" s="10">
        <v>1</v>
      </c>
      <c r="CE175" s="10">
        <v>2</v>
      </c>
      <c r="CF175" s="6"/>
      <c r="CG175" s="6"/>
      <c r="CH175" s="10">
        <v>2</v>
      </c>
      <c r="CI175" s="10">
        <v>1</v>
      </c>
      <c r="CJ175" s="10">
        <v>1</v>
      </c>
      <c r="CK175" s="6"/>
      <c r="CL175" s="10">
        <v>1</v>
      </c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10">
        <v>1</v>
      </c>
      <c r="DA175" s="6"/>
      <c r="DB175" s="6"/>
      <c r="DC175" s="6"/>
      <c r="DD175" s="6"/>
      <c r="DE175" s="10">
        <v>1</v>
      </c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</row>
    <row r="176" ht="15">
      <c r="A176" s="6" t="s">
        <v>711</v>
      </c>
      <c r="B176" s="6">
        <f t="shared" si="69"/>
        <v>23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10">
        <v>2</v>
      </c>
      <c r="BD176" s="6"/>
      <c r="BE176" s="10">
        <v>1</v>
      </c>
      <c r="BF176" s="10">
        <v>4</v>
      </c>
      <c r="BG176" s="6"/>
      <c r="BH176" s="6"/>
      <c r="BI176" s="6"/>
      <c r="BJ176" s="6"/>
      <c r="BK176" s="6"/>
      <c r="BL176" s="10">
        <v>1</v>
      </c>
      <c r="BM176" s="6"/>
      <c r="BN176" s="6"/>
      <c r="BO176" s="6"/>
      <c r="BP176" s="10">
        <v>1</v>
      </c>
      <c r="BQ176" s="6"/>
      <c r="BR176" s="6"/>
      <c r="BS176" s="6"/>
      <c r="BT176" s="10">
        <v>1</v>
      </c>
      <c r="BU176" s="10">
        <v>1</v>
      </c>
      <c r="BV176" s="10">
        <v>1</v>
      </c>
      <c r="BW176" s="6"/>
      <c r="BX176" s="10">
        <v>1</v>
      </c>
      <c r="BY176" s="6"/>
      <c r="BZ176" s="10">
        <v>1</v>
      </c>
      <c r="CA176" s="10">
        <v>2</v>
      </c>
      <c r="CB176" s="10">
        <v>2</v>
      </c>
      <c r="CC176" s="6"/>
      <c r="CD176" s="10">
        <v>2</v>
      </c>
      <c r="CE176" s="10">
        <v>3</v>
      </c>
      <c r="CF176" s="6"/>
      <c r="CG176" s="10">
        <v>3</v>
      </c>
      <c r="CH176" s="6"/>
      <c r="CI176" s="10">
        <v>2</v>
      </c>
      <c r="CJ176" s="10">
        <v>1</v>
      </c>
      <c r="CK176" s="10">
        <v>1</v>
      </c>
      <c r="CL176" s="6"/>
      <c r="CM176" s="6"/>
      <c r="CN176" s="6"/>
      <c r="CO176" s="10">
        <v>1</v>
      </c>
      <c r="CP176" s="10">
        <v>3</v>
      </c>
      <c r="CQ176" s="10">
        <v>6</v>
      </c>
      <c r="CR176" s="10">
        <v>1</v>
      </c>
      <c r="CS176" s="10">
        <v>3</v>
      </c>
      <c r="CT176" s="10">
        <v>4</v>
      </c>
      <c r="CU176" s="10">
        <v>2</v>
      </c>
      <c r="CV176" s="10">
        <v>1</v>
      </c>
      <c r="CW176" s="10">
        <v>1</v>
      </c>
      <c r="CX176" s="10">
        <v>3</v>
      </c>
      <c r="CY176" s="10">
        <v>3</v>
      </c>
      <c r="CZ176" s="10">
        <v>2</v>
      </c>
      <c r="DA176" s="10">
        <v>3</v>
      </c>
      <c r="DB176" s="10">
        <v>1</v>
      </c>
      <c r="DC176" s="6"/>
      <c r="DD176" s="10">
        <v>1</v>
      </c>
      <c r="DE176" s="10">
        <v>2</v>
      </c>
      <c r="DF176" s="6"/>
      <c r="DG176" s="10">
        <v>1</v>
      </c>
      <c r="DH176" s="10">
        <v>1</v>
      </c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10">
        <v>1</v>
      </c>
      <c r="EH176" s="10"/>
      <c r="EI176" s="10"/>
      <c r="EJ176" s="10"/>
      <c r="EK176" s="10"/>
      <c r="EL176" s="10"/>
    </row>
    <row r="177" ht="15">
      <c r="A177" s="6" t="s">
        <v>715</v>
      </c>
      <c r="B177" s="6">
        <f t="shared" si="69"/>
        <v>10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10">
        <v>1</v>
      </c>
      <c r="BM177" s="6"/>
      <c r="BN177" s="6"/>
      <c r="BO177" s="6"/>
      <c r="BP177" s="6"/>
      <c r="BQ177" s="6"/>
      <c r="BR177" s="6"/>
      <c r="BS177" s="6"/>
      <c r="BT177" s="10">
        <v>3</v>
      </c>
      <c r="BU177" s="6"/>
      <c r="BV177" s="10">
        <v>1</v>
      </c>
      <c r="BW177" s="6"/>
      <c r="BX177" s="6"/>
      <c r="BY177" s="6"/>
      <c r="BZ177" s="6"/>
      <c r="CA177" s="10">
        <v>2</v>
      </c>
      <c r="CB177" s="6"/>
      <c r="CC177" s="10">
        <v>1</v>
      </c>
      <c r="CD177" s="6"/>
      <c r="CE177" s="6"/>
      <c r="CF177" s="10">
        <v>2</v>
      </c>
      <c r="CG177" s="10">
        <v>1</v>
      </c>
      <c r="CH177" s="10">
        <v>2</v>
      </c>
      <c r="CI177" s="10">
        <v>1</v>
      </c>
      <c r="CJ177" s="6"/>
      <c r="CK177" s="10">
        <v>1</v>
      </c>
      <c r="CL177" s="6"/>
      <c r="CM177" s="6"/>
      <c r="CN177" s="6"/>
      <c r="CO177" s="10">
        <v>1</v>
      </c>
      <c r="CP177" s="6"/>
      <c r="CQ177" s="6"/>
      <c r="CR177" s="6"/>
      <c r="CS177" s="6"/>
      <c r="CT177" s="6"/>
      <c r="CU177" s="6"/>
      <c r="CV177" s="6"/>
      <c r="CW177" s="10">
        <v>1</v>
      </c>
      <c r="CX177" s="6"/>
      <c r="CY177" s="6"/>
      <c r="CZ177" s="6"/>
      <c r="DA177" s="6"/>
      <c r="DB177" s="6"/>
      <c r="DC177" s="10">
        <v>1</v>
      </c>
      <c r="DD177" s="6"/>
      <c r="DE177" s="6"/>
      <c r="DF177" s="10">
        <v>1</v>
      </c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</row>
    <row r="178" ht="15" hidden="1">
      <c r="A178" s="6" t="s">
        <v>719</v>
      </c>
      <c r="B178" s="6">
        <f t="shared" si="69"/>
        <v>0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10">
        <v>1</v>
      </c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10">
        <v>2</v>
      </c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</row>
    <row r="179" ht="15">
      <c r="A179" s="6" t="s">
        <v>723</v>
      </c>
      <c r="B179" s="6">
        <f t="shared" si="69"/>
        <v>19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10">
        <v>2</v>
      </c>
      <c r="BE179" s="10">
        <v>1</v>
      </c>
      <c r="BF179" s="6"/>
      <c r="BG179" s="10">
        <v>3</v>
      </c>
      <c r="BH179" s="6"/>
      <c r="BI179" s="6"/>
      <c r="BJ179" s="6"/>
      <c r="BK179" s="6"/>
      <c r="BL179" s="10">
        <v>1</v>
      </c>
      <c r="BM179" s="6"/>
      <c r="BN179" s="10">
        <v>2</v>
      </c>
      <c r="BO179" s="10">
        <v>1</v>
      </c>
      <c r="BP179" s="6"/>
      <c r="BQ179" s="6"/>
      <c r="BR179" s="10">
        <v>1</v>
      </c>
      <c r="BS179" s="10">
        <v>1</v>
      </c>
      <c r="BT179" s="6"/>
      <c r="BU179" s="6"/>
      <c r="BV179" s="6"/>
      <c r="BW179" s="6"/>
      <c r="BX179" s="6"/>
      <c r="BY179" s="6"/>
      <c r="BZ179" s="10">
        <v>2</v>
      </c>
      <c r="CA179" s="10">
        <v>1</v>
      </c>
      <c r="CB179" s="10">
        <v>3</v>
      </c>
      <c r="CC179" s="10">
        <v>1</v>
      </c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10">
        <v>4</v>
      </c>
      <c r="EH179" s="10"/>
      <c r="EI179" s="10"/>
      <c r="EJ179" s="10"/>
      <c r="EK179" s="10"/>
      <c r="EL179" s="10"/>
    </row>
    <row r="180" ht="15">
      <c r="A180" s="6" t="s">
        <v>727</v>
      </c>
      <c r="B180" s="6">
        <f t="shared" si="69"/>
        <v>9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10">
        <v>1</v>
      </c>
      <c r="BQ180" s="10">
        <v>2</v>
      </c>
      <c r="BR180" s="10">
        <v>1</v>
      </c>
      <c r="BS180" s="6"/>
      <c r="BT180" s="10">
        <v>1</v>
      </c>
      <c r="BU180" s="6"/>
      <c r="BV180" s="10">
        <v>1</v>
      </c>
      <c r="BW180" s="6"/>
      <c r="BX180" s="6"/>
      <c r="BY180" s="6"/>
      <c r="BZ180" s="6"/>
      <c r="CA180" s="10">
        <v>1</v>
      </c>
      <c r="CB180" s="6"/>
      <c r="CC180" s="10">
        <v>1</v>
      </c>
      <c r="CD180" s="10">
        <v>1</v>
      </c>
      <c r="CE180" s="6"/>
      <c r="CF180" s="6"/>
      <c r="CG180" s="10">
        <v>2</v>
      </c>
      <c r="CH180" s="10">
        <v>1</v>
      </c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</row>
    <row r="181" ht="15">
      <c r="A181" s="6" t="s">
        <v>731</v>
      </c>
      <c r="B181" s="6">
        <f t="shared" si="69"/>
        <v>1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10">
        <v>1</v>
      </c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10">
        <v>1</v>
      </c>
      <c r="CX181" s="6"/>
      <c r="CY181" s="6"/>
      <c r="CZ181" s="6"/>
      <c r="DA181" s="10">
        <v>7</v>
      </c>
      <c r="DB181" s="6"/>
      <c r="DC181" s="6"/>
      <c r="DD181" s="6"/>
      <c r="DE181" s="10">
        <v>2</v>
      </c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</row>
    <row r="182" ht="15">
      <c r="A182" s="6" t="s">
        <v>735</v>
      </c>
      <c r="B182" s="6">
        <f t="shared" si="69"/>
        <v>24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10">
        <v>2</v>
      </c>
      <c r="BL182" s="10">
        <v>1</v>
      </c>
      <c r="BM182" s="10">
        <v>3</v>
      </c>
      <c r="BN182" s="10">
        <v>1</v>
      </c>
      <c r="BO182" s="6"/>
      <c r="BP182" s="10">
        <v>1</v>
      </c>
      <c r="BQ182" s="10">
        <v>1</v>
      </c>
      <c r="BR182" s="6"/>
      <c r="BS182" s="10">
        <v>1</v>
      </c>
      <c r="BT182" s="10">
        <v>2</v>
      </c>
      <c r="BU182" s="10">
        <v>3</v>
      </c>
      <c r="BV182" s="10">
        <v>2</v>
      </c>
      <c r="BW182" s="10">
        <v>1</v>
      </c>
      <c r="BX182" s="10">
        <v>1</v>
      </c>
      <c r="BY182" s="6"/>
      <c r="BZ182" s="6"/>
      <c r="CA182" s="10">
        <v>1</v>
      </c>
      <c r="CB182" s="10">
        <v>1</v>
      </c>
      <c r="CC182" s="10">
        <v>1</v>
      </c>
      <c r="CD182" s="6"/>
      <c r="CE182" s="6"/>
      <c r="CF182" s="10">
        <v>2</v>
      </c>
      <c r="CG182" s="10">
        <v>2</v>
      </c>
      <c r="CH182" s="10">
        <v>1</v>
      </c>
      <c r="CI182" s="10">
        <v>1</v>
      </c>
      <c r="CJ182" s="10">
        <v>4</v>
      </c>
      <c r="CK182" s="6"/>
      <c r="CL182" s="10">
        <v>1</v>
      </c>
      <c r="CM182" s="6"/>
      <c r="CN182" s="6"/>
      <c r="CO182" s="6"/>
      <c r="CP182" s="6"/>
      <c r="CQ182" s="10">
        <v>1</v>
      </c>
      <c r="CR182" s="6"/>
      <c r="CS182" s="6"/>
      <c r="CT182" s="6"/>
      <c r="CU182" s="6"/>
      <c r="CV182" s="10">
        <v>1</v>
      </c>
      <c r="CW182" s="10">
        <v>1</v>
      </c>
      <c r="CX182" s="6"/>
      <c r="CY182" s="6"/>
      <c r="CZ182" s="6"/>
      <c r="DA182" s="6"/>
      <c r="DB182" s="10">
        <v>1</v>
      </c>
      <c r="DC182" s="6"/>
      <c r="DD182" s="10">
        <v>1</v>
      </c>
      <c r="DE182" s="10">
        <v>3</v>
      </c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</row>
    <row r="183" ht="15">
      <c r="A183" s="6" t="s">
        <v>739</v>
      </c>
      <c r="B183" s="6">
        <f t="shared" si="69"/>
        <v>57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10">
        <v>2</v>
      </c>
      <c r="BL183" s="10">
        <v>3</v>
      </c>
      <c r="BM183" s="6"/>
      <c r="BN183" s="10">
        <v>3</v>
      </c>
      <c r="BO183" s="10">
        <v>7</v>
      </c>
      <c r="BP183" s="10">
        <v>1</v>
      </c>
      <c r="BQ183" s="10">
        <v>3</v>
      </c>
      <c r="BR183" s="10">
        <v>6</v>
      </c>
      <c r="BS183" s="10">
        <v>4</v>
      </c>
      <c r="BT183" s="10">
        <v>1</v>
      </c>
      <c r="BU183" s="10">
        <v>1</v>
      </c>
      <c r="BV183" s="10">
        <v>3</v>
      </c>
      <c r="BW183" s="10">
        <v>2</v>
      </c>
      <c r="BX183" s="10">
        <v>3</v>
      </c>
      <c r="BY183" s="10">
        <v>2</v>
      </c>
      <c r="BZ183" s="10">
        <v>2</v>
      </c>
      <c r="CA183" s="10">
        <v>1</v>
      </c>
      <c r="CB183" s="10">
        <v>2</v>
      </c>
      <c r="CC183" s="6"/>
      <c r="CD183" s="10">
        <v>1</v>
      </c>
      <c r="CE183" s="10">
        <v>4</v>
      </c>
      <c r="CF183" s="10">
        <v>6</v>
      </c>
      <c r="CG183" s="10">
        <v>4</v>
      </c>
      <c r="CH183" s="10">
        <v>3</v>
      </c>
      <c r="CI183" s="10">
        <v>3</v>
      </c>
      <c r="CJ183" s="10">
        <v>1</v>
      </c>
      <c r="CK183" s="10">
        <v>2</v>
      </c>
      <c r="CL183" s="10">
        <v>1</v>
      </c>
      <c r="CM183" s="6"/>
      <c r="CN183" s="10">
        <v>2</v>
      </c>
      <c r="CO183" s="6"/>
      <c r="CP183" s="6"/>
      <c r="CQ183" s="10">
        <v>1</v>
      </c>
      <c r="CR183" s="6"/>
      <c r="CS183" s="10">
        <v>1</v>
      </c>
      <c r="CT183" s="10">
        <v>2</v>
      </c>
      <c r="CU183" s="10">
        <v>1</v>
      </c>
      <c r="CV183" s="6"/>
      <c r="CW183" s="10">
        <v>2</v>
      </c>
      <c r="CX183" s="6"/>
      <c r="CY183" s="10">
        <v>2</v>
      </c>
      <c r="CZ183" s="6"/>
      <c r="DA183" s="6"/>
      <c r="DB183" s="10">
        <v>6</v>
      </c>
      <c r="DC183" s="10">
        <v>1</v>
      </c>
      <c r="DD183" s="10">
        <v>1</v>
      </c>
      <c r="DE183" s="10">
        <v>1</v>
      </c>
      <c r="DF183" s="6"/>
      <c r="DG183" s="10">
        <v>1</v>
      </c>
      <c r="DH183" s="10">
        <v>4</v>
      </c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</row>
    <row r="184" ht="15">
      <c r="A184" s="6" t="s">
        <v>743</v>
      </c>
      <c r="B184" s="6">
        <f t="shared" si="69"/>
        <v>9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10">
        <v>1</v>
      </c>
      <c r="BL184" s="10">
        <v>1</v>
      </c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10">
        <v>1</v>
      </c>
      <c r="BX184" s="10">
        <v>1</v>
      </c>
      <c r="BY184" s="6"/>
      <c r="BZ184" s="10">
        <v>1</v>
      </c>
      <c r="CA184" s="6"/>
      <c r="CB184" s="6"/>
      <c r="CC184" s="6"/>
      <c r="CD184" s="6"/>
      <c r="CE184" s="10">
        <v>1</v>
      </c>
      <c r="CF184" s="10">
        <v>3</v>
      </c>
      <c r="CG184" s="6"/>
      <c r="CH184" s="6"/>
      <c r="CI184" s="10">
        <v>1</v>
      </c>
      <c r="CJ184" s="6"/>
      <c r="CK184" s="10">
        <v>2</v>
      </c>
      <c r="CL184" s="6"/>
      <c r="CM184" s="10">
        <v>1</v>
      </c>
      <c r="CN184" s="10">
        <v>1</v>
      </c>
      <c r="CO184" s="6"/>
      <c r="CP184" s="10">
        <v>2</v>
      </c>
      <c r="CQ184" s="10">
        <v>1</v>
      </c>
      <c r="CR184" s="6"/>
      <c r="CS184" s="6"/>
      <c r="CT184" s="6"/>
      <c r="CU184" s="6"/>
      <c r="CV184" s="6"/>
      <c r="CW184" s="10">
        <v>2</v>
      </c>
      <c r="CX184" s="10">
        <v>1</v>
      </c>
      <c r="CY184" s="10">
        <v>1</v>
      </c>
      <c r="CZ184" s="6"/>
      <c r="DA184" s="6"/>
      <c r="DB184" s="6"/>
      <c r="DC184" s="10">
        <v>1</v>
      </c>
      <c r="DD184" s="6"/>
      <c r="DE184" s="10">
        <v>2</v>
      </c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</row>
    <row r="185" ht="15">
      <c r="A185" s="6" t="s">
        <v>747</v>
      </c>
      <c r="B185" s="6">
        <f t="shared" si="69"/>
        <v>197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10">
        <v>2</v>
      </c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10">
        <v>1</v>
      </c>
      <c r="AZ185" s="6"/>
      <c r="BA185" s="6"/>
      <c r="BB185" s="6"/>
      <c r="BC185" s="6"/>
      <c r="BD185" s="10">
        <v>1</v>
      </c>
      <c r="BE185" s="10">
        <v>1</v>
      </c>
      <c r="BF185" s="6"/>
      <c r="BG185" s="10">
        <v>1</v>
      </c>
      <c r="BH185" s="10">
        <v>3</v>
      </c>
      <c r="BI185" s="10">
        <v>1</v>
      </c>
      <c r="BJ185" s="10">
        <v>1</v>
      </c>
      <c r="BK185" s="10">
        <v>6</v>
      </c>
      <c r="BL185" s="10">
        <v>8</v>
      </c>
      <c r="BM185" s="10">
        <v>2</v>
      </c>
      <c r="BN185" s="10">
        <v>1</v>
      </c>
      <c r="BO185" s="10">
        <v>6</v>
      </c>
      <c r="BP185" s="10">
        <v>7</v>
      </c>
      <c r="BQ185" s="10">
        <v>8</v>
      </c>
      <c r="BR185" s="10">
        <v>4</v>
      </c>
      <c r="BS185" s="10">
        <v>5</v>
      </c>
      <c r="BT185" s="10">
        <v>19</v>
      </c>
      <c r="BU185" s="10">
        <v>6</v>
      </c>
      <c r="BV185" s="10">
        <v>14</v>
      </c>
      <c r="BW185" s="10">
        <v>6</v>
      </c>
      <c r="BX185" s="10">
        <v>14</v>
      </c>
      <c r="BY185" s="10">
        <v>4</v>
      </c>
      <c r="BZ185" s="10">
        <v>16</v>
      </c>
      <c r="CA185" s="10">
        <v>10</v>
      </c>
      <c r="CB185" s="10">
        <v>13</v>
      </c>
      <c r="CC185" s="10">
        <v>19</v>
      </c>
      <c r="CD185" s="10">
        <v>4</v>
      </c>
      <c r="CE185" s="10">
        <v>9</v>
      </c>
      <c r="CF185" s="10">
        <v>5</v>
      </c>
      <c r="CG185" s="10">
        <v>6</v>
      </c>
      <c r="CH185" s="10">
        <v>13</v>
      </c>
      <c r="CI185" s="10">
        <v>9</v>
      </c>
      <c r="CJ185" s="10">
        <v>4</v>
      </c>
      <c r="CK185" s="10">
        <v>6</v>
      </c>
      <c r="CL185" s="10">
        <v>19</v>
      </c>
      <c r="CM185" s="10">
        <v>6</v>
      </c>
      <c r="CN185" s="10">
        <v>5</v>
      </c>
      <c r="CO185" s="10">
        <v>6</v>
      </c>
      <c r="CP185" s="10">
        <v>3</v>
      </c>
      <c r="CQ185" s="10">
        <v>9</v>
      </c>
      <c r="CR185" s="10">
        <v>19</v>
      </c>
      <c r="CS185" s="10">
        <v>19</v>
      </c>
      <c r="CT185" s="10">
        <v>7</v>
      </c>
      <c r="CU185" s="10">
        <v>13</v>
      </c>
      <c r="CV185" s="10">
        <v>12</v>
      </c>
      <c r="CW185" s="10">
        <v>13</v>
      </c>
      <c r="CX185" s="10">
        <v>8</v>
      </c>
      <c r="CY185" s="10">
        <v>23</v>
      </c>
      <c r="CZ185" s="10">
        <v>16</v>
      </c>
      <c r="DA185" s="10">
        <v>15</v>
      </c>
      <c r="DB185" s="10">
        <v>17</v>
      </c>
      <c r="DC185" s="10">
        <v>17</v>
      </c>
      <c r="DD185" s="10">
        <v>23</v>
      </c>
      <c r="DE185" s="10">
        <v>34</v>
      </c>
      <c r="DF185" s="10">
        <v>23</v>
      </c>
      <c r="DG185" s="10">
        <v>15</v>
      </c>
      <c r="DH185" s="10">
        <v>9</v>
      </c>
      <c r="DI185" s="10">
        <v>4</v>
      </c>
      <c r="DJ185" s="10">
        <v>8</v>
      </c>
      <c r="DK185" s="10">
        <v>6</v>
      </c>
      <c r="DL185" s="10">
        <v>13</v>
      </c>
      <c r="DM185" s="10">
        <v>4</v>
      </c>
      <c r="DN185" s="10">
        <v>5</v>
      </c>
      <c r="DO185" s="10">
        <v>3</v>
      </c>
      <c r="DP185" s="10">
        <v>8</v>
      </c>
      <c r="DQ185" s="10">
        <v>9</v>
      </c>
      <c r="DR185" s="10">
        <v>7</v>
      </c>
      <c r="DS185" s="10">
        <v>7</v>
      </c>
      <c r="DT185" s="10">
        <v>4</v>
      </c>
      <c r="DU185" s="10">
        <v>3</v>
      </c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10">
        <v>2</v>
      </c>
      <c r="EH185" s="10"/>
      <c r="EI185" s="10"/>
      <c r="EJ185" s="10"/>
      <c r="EK185" s="10"/>
      <c r="EL185" s="10"/>
    </row>
    <row r="186" ht="15">
      <c r="A186" s="6" t="s">
        <v>751</v>
      </c>
      <c r="B186" s="6">
        <f t="shared" si="69"/>
        <v>36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10">
        <v>1</v>
      </c>
      <c r="BM186" s="6"/>
      <c r="BN186" s="6"/>
      <c r="BO186" s="6"/>
      <c r="BP186" s="6"/>
      <c r="BQ186" s="6"/>
      <c r="BR186" s="10">
        <v>1</v>
      </c>
      <c r="BS186" s="10">
        <v>8</v>
      </c>
      <c r="BT186" s="10">
        <v>3</v>
      </c>
      <c r="BU186" s="6"/>
      <c r="BV186" s="10">
        <v>1</v>
      </c>
      <c r="BW186" s="10">
        <v>4</v>
      </c>
      <c r="BX186" s="10">
        <v>4</v>
      </c>
      <c r="BY186" s="6"/>
      <c r="BZ186" s="10">
        <v>2</v>
      </c>
      <c r="CA186" s="10">
        <v>1</v>
      </c>
      <c r="CB186" s="10">
        <v>4</v>
      </c>
      <c r="CC186" s="10">
        <v>2</v>
      </c>
      <c r="CD186" s="10">
        <v>3</v>
      </c>
      <c r="CE186" s="10">
        <v>2</v>
      </c>
      <c r="CF186" s="6"/>
      <c r="CG186" s="10">
        <v>2</v>
      </c>
      <c r="CH186" s="10">
        <v>2</v>
      </c>
      <c r="CI186" s="10">
        <v>3</v>
      </c>
      <c r="CJ186" s="10">
        <v>1</v>
      </c>
      <c r="CK186" s="10">
        <v>3</v>
      </c>
      <c r="CL186" s="6"/>
      <c r="CM186" s="10">
        <v>3</v>
      </c>
      <c r="CN186" s="10">
        <v>3</v>
      </c>
      <c r="CO186" s="10">
        <v>1</v>
      </c>
      <c r="CP186" s="10">
        <v>4</v>
      </c>
      <c r="CQ186" s="10">
        <v>1</v>
      </c>
      <c r="CR186" s="10">
        <v>1</v>
      </c>
      <c r="CS186" s="10">
        <v>1</v>
      </c>
      <c r="CT186" s="10">
        <v>3</v>
      </c>
      <c r="CU186" s="6"/>
      <c r="CV186" s="10">
        <v>2</v>
      </c>
      <c r="CW186" s="10">
        <v>4</v>
      </c>
      <c r="CX186" s="6"/>
      <c r="CY186" s="10">
        <v>1</v>
      </c>
      <c r="CZ186" s="10">
        <v>2</v>
      </c>
      <c r="DA186" s="10">
        <v>1</v>
      </c>
      <c r="DB186" s="10">
        <v>6</v>
      </c>
      <c r="DC186" s="10">
        <v>12</v>
      </c>
      <c r="DD186" s="6"/>
      <c r="DE186" s="6"/>
      <c r="DF186" s="10">
        <v>1</v>
      </c>
      <c r="DG186" s="6"/>
      <c r="DH186" s="10">
        <v>1</v>
      </c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</row>
    <row r="187" ht="15">
      <c r="A187" s="6" t="s">
        <v>755</v>
      </c>
      <c r="B187" s="6">
        <f t="shared" si="69"/>
        <v>42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10">
        <v>3</v>
      </c>
      <c r="BC187" s="6"/>
      <c r="BD187" s="6"/>
      <c r="BE187" s="6"/>
      <c r="BF187" s="10">
        <v>1</v>
      </c>
      <c r="BG187" s="10">
        <v>2</v>
      </c>
      <c r="BH187" s="6"/>
      <c r="BI187" s="10">
        <v>7</v>
      </c>
      <c r="BJ187" s="10">
        <v>3</v>
      </c>
      <c r="BK187" s="10">
        <v>2</v>
      </c>
      <c r="BL187" s="6"/>
      <c r="BM187" s="6"/>
      <c r="BN187" s="6"/>
      <c r="BO187" s="10">
        <v>1</v>
      </c>
      <c r="BP187" s="10">
        <v>1</v>
      </c>
      <c r="BQ187" s="6"/>
      <c r="BR187" s="6"/>
      <c r="BS187" s="6"/>
      <c r="BT187" s="10">
        <v>3</v>
      </c>
      <c r="BU187" s="10">
        <v>2</v>
      </c>
      <c r="BV187" s="10">
        <v>1</v>
      </c>
      <c r="BW187" s="10">
        <v>1</v>
      </c>
      <c r="BX187" s="10">
        <v>1</v>
      </c>
      <c r="BY187" s="10">
        <v>1</v>
      </c>
      <c r="BZ187" s="6"/>
      <c r="CA187" s="10">
        <v>3</v>
      </c>
      <c r="CB187" s="10">
        <v>4</v>
      </c>
      <c r="CC187" s="10">
        <v>3</v>
      </c>
      <c r="CD187" s="6"/>
      <c r="CE187" s="6"/>
      <c r="CF187" s="10">
        <v>3</v>
      </c>
      <c r="CG187" s="10">
        <v>13</v>
      </c>
      <c r="CH187" s="10">
        <v>8</v>
      </c>
      <c r="CI187" s="10">
        <v>6</v>
      </c>
      <c r="CJ187" s="10">
        <v>6</v>
      </c>
      <c r="CK187" s="10">
        <v>7</v>
      </c>
      <c r="CL187" s="10">
        <v>5</v>
      </c>
      <c r="CM187" s="10">
        <v>3</v>
      </c>
      <c r="CN187" s="10">
        <v>2</v>
      </c>
      <c r="CO187" s="10">
        <v>4</v>
      </c>
      <c r="CP187" s="10">
        <v>15</v>
      </c>
      <c r="CQ187" s="10">
        <v>6</v>
      </c>
      <c r="CR187" s="10">
        <v>9</v>
      </c>
      <c r="CS187" s="10">
        <v>13</v>
      </c>
      <c r="CT187" s="10">
        <v>9</v>
      </c>
      <c r="CU187" s="10">
        <v>5</v>
      </c>
      <c r="CV187" s="10">
        <v>7</v>
      </c>
      <c r="CW187" s="10">
        <v>2</v>
      </c>
      <c r="CX187" s="10">
        <v>8</v>
      </c>
      <c r="CY187" s="10">
        <v>2</v>
      </c>
      <c r="CZ187" s="10">
        <v>3</v>
      </c>
      <c r="DA187" s="10">
        <v>5</v>
      </c>
      <c r="DB187" s="10">
        <v>2</v>
      </c>
      <c r="DC187" s="10">
        <v>6</v>
      </c>
      <c r="DD187" s="10">
        <v>5</v>
      </c>
      <c r="DE187" s="10">
        <v>1</v>
      </c>
      <c r="DF187" s="10">
        <v>1</v>
      </c>
      <c r="DG187" s="10">
        <v>1</v>
      </c>
      <c r="DH187" s="10">
        <v>1</v>
      </c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</row>
    <row r="188" ht="15">
      <c r="A188" s="6" t="s">
        <v>759</v>
      </c>
      <c r="B188" s="6">
        <f t="shared" si="69"/>
        <v>1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10">
        <v>1</v>
      </c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10">
        <v>1</v>
      </c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</row>
    <row r="189" ht="15" hidden="1">
      <c r="A189" s="6" t="s">
        <v>763</v>
      </c>
      <c r="B189" s="6">
        <f t="shared" si="69"/>
        <v>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10">
        <v>1</v>
      </c>
      <c r="DB189" s="10">
        <v>1</v>
      </c>
      <c r="DC189" s="10">
        <v>3</v>
      </c>
      <c r="DD189" s="10">
        <v>4</v>
      </c>
      <c r="DE189" s="10">
        <v>3</v>
      </c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</row>
    <row r="190" ht="15">
      <c r="A190" s="6" t="s">
        <v>767</v>
      </c>
      <c r="B190" s="6">
        <f t="shared" si="69"/>
        <v>9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10">
        <v>1</v>
      </c>
      <c r="BQ190" s="6"/>
      <c r="BR190" s="10">
        <v>2</v>
      </c>
      <c r="BS190" s="10">
        <v>2</v>
      </c>
      <c r="BT190" s="6"/>
      <c r="BU190" s="10">
        <v>1</v>
      </c>
      <c r="BV190" s="6"/>
      <c r="BW190" s="10">
        <v>1</v>
      </c>
      <c r="BX190" s="10">
        <v>1</v>
      </c>
      <c r="BY190" s="6"/>
      <c r="BZ190" s="6"/>
      <c r="CA190" s="10">
        <v>1</v>
      </c>
      <c r="CB190" s="6"/>
      <c r="CC190" s="6"/>
      <c r="CD190" s="6"/>
      <c r="CE190" s="6"/>
      <c r="CF190" s="6"/>
      <c r="CG190" s="10">
        <v>2</v>
      </c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10">
        <v>1</v>
      </c>
      <c r="CT190" s="10">
        <v>3</v>
      </c>
      <c r="CU190" s="6"/>
      <c r="CV190" s="6"/>
      <c r="CW190" s="6"/>
      <c r="CX190" s="6"/>
      <c r="CY190" s="10">
        <v>3</v>
      </c>
      <c r="CZ190" s="10">
        <v>1</v>
      </c>
      <c r="DA190" s="6"/>
      <c r="DB190" s="6"/>
      <c r="DC190" s="6"/>
      <c r="DD190" s="6"/>
      <c r="DE190" s="6"/>
      <c r="DF190" s="6"/>
      <c r="DG190" s="10">
        <v>1</v>
      </c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</row>
    <row r="191" ht="15" hidden="1">
      <c r="A191" s="6" t="s">
        <v>771</v>
      </c>
      <c r="B191" s="6">
        <f t="shared" si="69"/>
        <v>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10">
        <v>1</v>
      </c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</row>
    <row r="192" ht="15">
      <c r="A192" s="6" t="s">
        <v>775</v>
      </c>
      <c r="B192" s="6">
        <f t="shared" si="69"/>
        <v>22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10">
        <v>1</v>
      </c>
      <c r="BI192" s="6"/>
      <c r="BJ192" s="10">
        <v>1</v>
      </c>
      <c r="BK192" s="6"/>
      <c r="BL192" s="10">
        <v>1</v>
      </c>
      <c r="BM192" s="10">
        <v>1</v>
      </c>
      <c r="BN192" s="6"/>
      <c r="BO192" s="6"/>
      <c r="BP192" s="6"/>
      <c r="BQ192" s="10">
        <v>1</v>
      </c>
      <c r="BR192" s="10">
        <v>1</v>
      </c>
      <c r="BS192" s="10">
        <v>1</v>
      </c>
      <c r="BT192" s="10">
        <v>4</v>
      </c>
      <c r="BU192" s="6"/>
      <c r="BV192" s="10">
        <v>1</v>
      </c>
      <c r="BW192" s="10">
        <v>2</v>
      </c>
      <c r="BX192" s="6"/>
      <c r="BY192" s="6"/>
      <c r="BZ192" s="6"/>
      <c r="CA192" s="10">
        <v>1</v>
      </c>
      <c r="CB192" s="10">
        <v>4</v>
      </c>
      <c r="CC192" s="6"/>
      <c r="CD192" s="6"/>
      <c r="CE192" s="10">
        <v>1</v>
      </c>
      <c r="CF192" s="10">
        <v>2</v>
      </c>
      <c r="CG192" s="6"/>
      <c r="CH192" s="10">
        <v>5</v>
      </c>
      <c r="CI192" s="6"/>
      <c r="CJ192" s="10">
        <v>1</v>
      </c>
      <c r="CK192" s="10">
        <v>1</v>
      </c>
      <c r="CL192" s="10">
        <v>4</v>
      </c>
      <c r="CM192" s="6"/>
      <c r="CN192" s="6"/>
      <c r="CO192" s="6"/>
      <c r="CP192" s="6"/>
      <c r="CQ192" s="6"/>
      <c r="CR192" s="10">
        <v>1</v>
      </c>
      <c r="CS192" s="10">
        <v>2</v>
      </c>
      <c r="CT192" s="6"/>
      <c r="CU192" s="10">
        <v>1</v>
      </c>
      <c r="CV192" s="10">
        <v>1</v>
      </c>
      <c r="CW192" s="6"/>
      <c r="CX192" s="10">
        <v>1</v>
      </c>
      <c r="CY192" s="10">
        <v>1</v>
      </c>
      <c r="CZ192" s="10">
        <v>2</v>
      </c>
      <c r="DA192" s="10">
        <v>1</v>
      </c>
      <c r="DB192" s="6"/>
      <c r="DC192" s="10">
        <v>1</v>
      </c>
      <c r="DD192" s="6"/>
      <c r="DE192" s="10">
        <v>2</v>
      </c>
      <c r="DF192" s="6"/>
      <c r="DG192" s="6"/>
      <c r="DH192" s="10">
        <v>2</v>
      </c>
      <c r="DI192" s="6"/>
      <c r="DJ192" s="10">
        <v>1</v>
      </c>
      <c r="DK192" s="6"/>
      <c r="DL192" s="6"/>
      <c r="DM192" s="10">
        <v>1</v>
      </c>
      <c r="DN192" s="10">
        <v>1</v>
      </c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</row>
    <row r="193" ht="15">
      <c r="A193" s="6" t="s">
        <v>779</v>
      </c>
      <c r="B193" s="6">
        <f t="shared" si="69"/>
        <v>19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10">
        <v>4</v>
      </c>
      <c r="BX193" s="10">
        <v>1</v>
      </c>
      <c r="BY193" s="10">
        <v>5</v>
      </c>
      <c r="BZ193" s="10">
        <v>1</v>
      </c>
      <c r="CA193" s="10">
        <v>1</v>
      </c>
      <c r="CB193" s="10">
        <v>1</v>
      </c>
      <c r="CC193" s="10">
        <v>3</v>
      </c>
      <c r="CD193" s="10">
        <v>1</v>
      </c>
      <c r="CE193" s="10">
        <v>1</v>
      </c>
      <c r="CF193" s="10">
        <v>1</v>
      </c>
      <c r="CG193" s="6"/>
      <c r="CH193" s="10">
        <v>3</v>
      </c>
      <c r="CI193" s="10">
        <v>1</v>
      </c>
      <c r="CJ193" s="10">
        <v>3</v>
      </c>
      <c r="CK193" s="6"/>
      <c r="CL193" s="10">
        <v>1</v>
      </c>
      <c r="CM193" s="6"/>
      <c r="CN193" s="10">
        <v>2</v>
      </c>
      <c r="CO193" s="10">
        <v>2</v>
      </c>
      <c r="CP193" s="6"/>
      <c r="CQ193" s="10">
        <v>1</v>
      </c>
      <c r="CR193" s="6"/>
      <c r="CS193" s="10">
        <v>4</v>
      </c>
      <c r="CT193" s="6"/>
      <c r="CU193" s="6"/>
      <c r="CV193" s="10">
        <v>1</v>
      </c>
      <c r="CW193" s="10">
        <v>3</v>
      </c>
      <c r="CX193" s="6"/>
      <c r="CY193" s="6"/>
      <c r="CZ193" s="6"/>
      <c r="DA193" s="6"/>
      <c r="DB193" s="10">
        <v>1</v>
      </c>
      <c r="DC193" s="6"/>
      <c r="DD193" s="10">
        <v>1</v>
      </c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</row>
    <row r="194" ht="15" hidden="1">
      <c r="A194" s="6" t="s">
        <v>783</v>
      </c>
      <c r="B194" s="6">
        <f t="shared" si="69"/>
        <v>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10">
        <v>1</v>
      </c>
      <c r="CT194" s="10">
        <v>1</v>
      </c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</row>
    <row r="195" ht="15" hidden="1">
      <c r="A195" s="6" t="s">
        <v>787</v>
      </c>
      <c r="B195" s="6">
        <f t="shared" si="69"/>
        <v>0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10">
        <v>2</v>
      </c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</row>
    <row r="196" ht="15">
      <c r="A196" s="6" t="s">
        <v>791</v>
      </c>
      <c r="B196" s="6">
        <f t="shared" si="69"/>
        <v>10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10">
        <v>1</v>
      </c>
      <c r="BQ196" s="6"/>
      <c r="BR196" s="6"/>
      <c r="BS196" s="10">
        <v>2</v>
      </c>
      <c r="BT196" s="6"/>
      <c r="BU196" s="6"/>
      <c r="BV196" s="10">
        <v>3</v>
      </c>
      <c r="BW196" s="10">
        <v>1</v>
      </c>
      <c r="BX196" s="6"/>
      <c r="BY196" s="6"/>
      <c r="BZ196" s="6"/>
      <c r="CA196" s="6"/>
      <c r="CB196" s="10">
        <v>1</v>
      </c>
      <c r="CC196" s="10">
        <v>1</v>
      </c>
      <c r="CD196" s="10">
        <v>1</v>
      </c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10">
        <v>1</v>
      </c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</row>
    <row r="197" ht="15">
      <c r="A197" s="6" t="s">
        <v>795</v>
      </c>
      <c r="B197" s="6">
        <f t="shared" si="69"/>
        <v>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10">
        <v>1</v>
      </c>
      <c r="BU197" s="6"/>
      <c r="BV197" s="6"/>
      <c r="BW197" s="6"/>
      <c r="BX197" s="6"/>
      <c r="BY197" s="6"/>
      <c r="BZ197" s="6"/>
      <c r="CA197" s="6"/>
      <c r="CB197" s="10">
        <v>1</v>
      </c>
      <c r="CC197" s="6"/>
      <c r="CD197" s="10">
        <v>3</v>
      </c>
      <c r="CE197" s="10">
        <v>1</v>
      </c>
      <c r="CF197" s="6"/>
      <c r="CG197" s="6"/>
      <c r="CH197" s="6"/>
      <c r="CI197" s="6"/>
      <c r="CJ197" s="6"/>
      <c r="CK197" s="6"/>
      <c r="CL197" s="6"/>
      <c r="CM197" s="6"/>
      <c r="CN197" s="6"/>
      <c r="CO197" s="10">
        <v>1</v>
      </c>
      <c r="CP197" s="6"/>
      <c r="CQ197" s="6"/>
      <c r="CR197" s="6"/>
      <c r="CS197" s="10">
        <v>2</v>
      </c>
      <c r="CT197" s="6"/>
      <c r="CU197" s="6"/>
      <c r="CV197" s="6"/>
      <c r="CW197" s="10">
        <v>1</v>
      </c>
      <c r="CX197" s="6"/>
      <c r="CY197" s="6"/>
      <c r="CZ197" s="6"/>
      <c r="DA197" s="6"/>
      <c r="DB197" s="6"/>
      <c r="DC197" s="10">
        <v>2</v>
      </c>
      <c r="DD197" s="10">
        <v>1</v>
      </c>
      <c r="DE197" s="10">
        <v>1</v>
      </c>
      <c r="DF197" s="10">
        <v>1</v>
      </c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</row>
    <row r="198" ht="15">
      <c r="A198" s="6" t="s">
        <v>799</v>
      </c>
      <c r="B198" s="6">
        <f t="shared" si="69"/>
        <v>4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10">
        <v>1</v>
      </c>
      <c r="BO198" s="6"/>
      <c r="BP198" s="6"/>
      <c r="BQ198" s="6"/>
      <c r="BR198" s="6"/>
      <c r="BS198" s="10">
        <v>1</v>
      </c>
      <c r="BT198" s="6"/>
      <c r="BU198" s="6"/>
      <c r="BV198" s="6"/>
      <c r="BW198" s="6"/>
      <c r="BX198" s="6"/>
      <c r="BY198" s="6"/>
      <c r="BZ198" s="6"/>
      <c r="CA198" s="6"/>
      <c r="CB198" s="6"/>
      <c r="CC198" s="10">
        <v>2</v>
      </c>
      <c r="CD198" s="6"/>
      <c r="CE198" s="6"/>
      <c r="CF198" s="6"/>
      <c r="CG198" s="6"/>
      <c r="CH198" s="10">
        <v>1</v>
      </c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10">
        <v>1</v>
      </c>
      <c r="EH198" s="10"/>
      <c r="EI198" s="10"/>
      <c r="EJ198" s="10"/>
      <c r="EK198" s="10"/>
      <c r="EL198" s="10"/>
    </row>
    <row r="199" ht="15" hidden="1">
      <c r="A199" s="6" t="s">
        <v>803</v>
      </c>
      <c r="B199" s="6">
        <f t="shared" si="69"/>
        <v>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</row>
    <row r="200" ht="15">
      <c r="A200" s="6" t="s">
        <v>807</v>
      </c>
      <c r="B200" s="6">
        <f t="shared" si="69"/>
        <v>3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10">
        <v>1</v>
      </c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10">
        <v>1</v>
      </c>
      <c r="BW200" s="10">
        <v>1</v>
      </c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</row>
    <row r="201" ht="15">
      <c r="A201" s="6" t="s">
        <v>811</v>
      </c>
      <c r="B201" s="6">
        <f t="shared" si="69"/>
        <v>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10">
        <v>1</v>
      </c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</row>
    <row r="202" ht="15">
      <c r="A202" s="6" t="s">
        <v>815</v>
      </c>
      <c r="B202" s="6">
        <f t="shared" si="69"/>
        <v>6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10">
        <v>1</v>
      </c>
      <c r="BJ202" s="6"/>
      <c r="BK202" s="6"/>
      <c r="BL202" s="10">
        <v>1</v>
      </c>
      <c r="BM202" s="6"/>
      <c r="BN202" s="6"/>
      <c r="BO202" s="6"/>
      <c r="BP202" s="6"/>
      <c r="BQ202" s="6"/>
      <c r="BR202" s="10">
        <v>1</v>
      </c>
      <c r="BS202" s="6"/>
      <c r="BT202" s="6"/>
      <c r="BU202" s="6"/>
      <c r="BV202" s="10">
        <v>3</v>
      </c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10">
        <v>2</v>
      </c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</row>
    <row r="203" ht="15">
      <c r="A203" s="6" t="s">
        <v>819</v>
      </c>
      <c r="B203" s="6">
        <f t="shared" si="69"/>
        <v>3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0">
        <v>1</v>
      </c>
      <c r="BT203" s="6"/>
      <c r="BU203" s="6"/>
      <c r="BV203" s="10">
        <v>1</v>
      </c>
      <c r="BW203" s="6"/>
      <c r="BX203" s="6"/>
      <c r="BY203" s="6"/>
      <c r="BZ203" s="6"/>
      <c r="CA203" s="6"/>
      <c r="CB203" s="6"/>
      <c r="CC203" s="6"/>
      <c r="CD203" s="10">
        <v>1</v>
      </c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</row>
    <row r="204" ht="15">
      <c r="A204" s="6" t="s">
        <v>823</v>
      </c>
      <c r="B204" s="6">
        <f t="shared" si="69"/>
        <v>2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10">
        <v>1</v>
      </c>
      <c r="BW204" s="6"/>
      <c r="BX204" s="6"/>
      <c r="BY204" s="6"/>
      <c r="BZ204" s="6"/>
      <c r="CA204" s="6"/>
      <c r="CB204" s="6"/>
      <c r="CC204" s="6"/>
      <c r="CD204" s="6"/>
      <c r="CE204" s="6"/>
      <c r="CF204" s="10">
        <v>1</v>
      </c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</row>
    <row r="205" ht="15">
      <c r="A205" s="6" t="s">
        <v>827</v>
      </c>
      <c r="B205" s="6">
        <f t="shared" si="69"/>
        <v>55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10">
        <v>1</v>
      </c>
      <c r="AZ205" s="6"/>
      <c r="BA205" s="6"/>
      <c r="BB205" s="6"/>
      <c r="BC205" s="6"/>
      <c r="BD205" s="6"/>
      <c r="BE205" s="10">
        <v>4</v>
      </c>
      <c r="BF205" s="10">
        <v>1</v>
      </c>
      <c r="BG205" s="6"/>
      <c r="BH205" s="10">
        <v>2</v>
      </c>
      <c r="BI205" s="10">
        <v>3</v>
      </c>
      <c r="BJ205" s="6"/>
      <c r="BK205" s="10">
        <v>1</v>
      </c>
      <c r="BL205" s="10">
        <v>2</v>
      </c>
      <c r="BM205" s="6"/>
      <c r="BN205" s="10">
        <v>2</v>
      </c>
      <c r="BO205" s="6"/>
      <c r="BP205" s="10">
        <v>1</v>
      </c>
      <c r="BQ205" s="10">
        <v>2</v>
      </c>
      <c r="BR205" s="10">
        <v>5</v>
      </c>
      <c r="BS205" s="10">
        <v>4</v>
      </c>
      <c r="BT205" s="10">
        <v>3</v>
      </c>
      <c r="BU205" s="10">
        <v>5</v>
      </c>
      <c r="BV205" s="10">
        <v>1</v>
      </c>
      <c r="BW205" s="6"/>
      <c r="BX205" s="6"/>
      <c r="BY205" s="6"/>
      <c r="BZ205" s="10">
        <v>1</v>
      </c>
      <c r="CA205" s="10">
        <v>1</v>
      </c>
      <c r="CB205" s="10">
        <v>3</v>
      </c>
      <c r="CC205" s="10">
        <v>6</v>
      </c>
      <c r="CD205" s="10">
        <v>1</v>
      </c>
      <c r="CE205" s="10">
        <v>2</v>
      </c>
      <c r="CF205" s="10">
        <v>4</v>
      </c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</row>
    <row r="206" ht="15">
      <c r="A206" s="6" t="s">
        <v>831</v>
      </c>
      <c r="B206" s="6">
        <f t="shared" si="69"/>
        <v>46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10">
        <v>2</v>
      </c>
      <c r="AU206" s="6"/>
      <c r="AV206" s="6"/>
      <c r="AW206" s="6"/>
      <c r="AX206" s="6"/>
      <c r="AY206" s="6"/>
      <c r="AZ206" s="10">
        <v>2</v>
      </c>
      <c r="BA206" s="10">
        <v>1</v>
      </c>
      <c r="BB206" s="10">
        <v>1</v>
      </c>
      <c r="BC206" s="10">
        <v>1</v>
      </c>
      <c r="BD206" s="10">
        <v>1</v>
      </c>
      <c r="BE206" s="10">
        <v>5</v>
      </c>
      <c r="BF206" s="10">
        <v>9</v>
      </c>
      <c r="BG206" s="10">
        <v>1</v>
      </c>
      <c r="BH206" s="6"/>
      <c r="BI206" s="10">
        <v>1</v>
      </c>
      <c r="BJ206" s="6"/>
      <c r="BK206" s="6"/>
      <c r="BL206" s="6"/>
      <c r="BM206" s="10">
        <v>1</v>
      </c>
      <c r="BN206" s="10">
        <v>1</v>
      </c>
      <c r="BO206" s="10">
        <v>2</v>
      </c>
      <c r="BP206" s="6"/>
      <c r="BQ206" s="10">
        <v>1</v>
      </c>
      <c r="BR206" s="6"/>
      <c r="BS206" s="6"/>
      <c r="BT206" s="10">
        <v>1</v>
      </c>
      <c r="BU206" s="10">
        <v>2</v>
      </c>
      <c r="BV206" s="6"/>
      <c r="BW206" s="10">
        <v>2</v>
      </c>
      <c r="BX206" s="6"/>
      <c r="BY206" s="6"/>
      <c r="BZ206" s="6"/>
      <c r="CA206" s="6"/>
      <c r="CB206" s="10">
        <v>3</v>
      </c>
      <c r="CC206" s="10">
        <v>1</v>
      </c>
      <c r="CD206" s="10">
        <v>1</v>
      </c>
      <c r="CE206" s="10">
        <v>5</v>
      </c>
      <c r="CF206" s="10">
        <v>2</v>
      </c>
      <c r="CG206" s="10">
        <v>3</v>
      </c>
      <c r="CH206" s="10">
        <v>2</v>
      </c>
      <c r="CI206" s="10">
        <v>2</v>
      </c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</row>
    <row r="207" ht="15" hidden="1">
      <c r="A207" s="6" t="s">
        <v>835</v>
      </c>
      <c r="B207" s="6">
        <f t="shared" si="69"/>
        <v>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10">
        <v>1</v>
      </c>
      <c r="CW207" s="10">
        <v>1</v>
      </c>
      <c r="CX207" s="6"/>
      <c r="CY207" s="6"/>
      <c r="CZ207" s="10">
        <v>3</v>
      </c>
      <c r="DA207" s="6"/>
      <c r="DB207" s="6"/>
      <c r="DC207" s="6"/>
      <c r="DD207" s="6"/>
      <c r="DE207" s="10">
        <v>7</v>
      </c>
      <c r="DF207" s="6"/>
      <c r="DG207" s="10">
        <v>6</v>
      </c>
      <c r="DH207" s="10">
        <v>5</v>
      </c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</row>
    <row r="208" ht="15">
      <c r="A208" s="6" t="s">
        <v>843</v>
      </c>
      <c r="B208" s="6">
        <f t="shared" si="69"/>
        <v>126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10">
        <v>12</v>
      </c>
      <c r="BL208" s="10">
        <v>1</v>
      </c>
      <c r="BM208" s="10">
        <v>3</v>
      </c>
      <c r="BN208" s="10">
        <v>6</v>
      </c>
      <c r="BO208" s="10">
        <v>3</v>
      </c>
      <c r="BP208" s="10">
        <v>8</v>
      </c>
      <c r="BQ208" s="10">
        <v>15</v>
      </c>
      <c r="BR208" s="10">
        <v>7</v>
      </c>
      <c r="BS208" s="10">
        <v>11</v>
      </c>
      <c r="BT208" s="10">
        <v>17</v>
      </c>
      <c r="BU208" s="10">
        <v>8</v>
      </c>
      <c r="BV208" s="10">
        <v>11</v>
      </c>
      <c r="BW208" s="10">
        <v>16</v>
      </c>
      <c r="BX208" s="10">
        <v>3</v>
      </c>
      <c r="BY208" s="6"/>
      <c r="BZ208" s="6"/>
      <c r="CA208" s="6"/>
      <c r="CB208" s="6"/>
      <c r="CC208" s="6"/>
      <c r="CD208" s="10">
        <v>1</v>
      </c>
      <c r="CE208" s="10">
        <v>2</v>
      </c>
      <c r="CF208" s="10">
        <v>2</v>
      </c>
      <c r="CG208" s="10">
        <v>3</v>
      </c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</row>
    <row r="209" ht="15">
      <c r="A209" s="6" t="s">
        <v>847</v>
      </c>
      <c r="B209" s="6">
        <f t="shared" si="69"/>
        <v>34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10">
        <v>2</v>
      </c>
      <c r="BQ209" s="10">
        <v>2</v>
      </c>
      <c r="BR209" s="10">
        <v>3</v>
      </c>
      <c r="BS209" s="10">
        <v>3</v>
      </c>
      <c r="BT209" s="10">
        <v>4</v>
      </c>
      <c r="BU209" s="10">
        <v>4</v>
      </c>
      <c r="BV209" s="10">
        <v>9</v>
      </c>
      <c r="BW209" s="10">
        <v>7</v>
      </c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</row>
    <row r="210" ht="15">
      <c r="A210" s="6" t="s">
        <v>855</v>
      </c>
      <c r="B210" s="6">
        <f t="shared" si="69"/>
        <v>1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10">
        <v>1</v>
      </c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</row>
    <row r="211" ht="15">
      <c r="A211" s="6" t="s">
        <v>859</v>
      </c>
      <c r="B211" s="6">
        <f t="shared" si="69"/>
        <v>340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10">
        <v>2</v>
      </c>
      <c r="BI211" s="10">
        <v>1</v>
      </c>
      <c r="BJ211" s="10">
        <v>9</v>
      </c>
      <c r="BK211" s="10">
        <v>4</v>
      </c>
      <c r="BL211" s="10">
        <v>2</v>
      </c>
      <c r="BM211" s="10">
        <v>8</v>
      </c>
      <c r="BN211" s="10">
        <v>14</v>
      </c>
      <c r="BO211" s="10">
        <v>8</v>
      </c>
      <c r="BP211" s="10">
        <v>11</v>
      </c>
      <c r="BQ211" s="10">
        <v>15</v>
      </c>
      <c r="BR211" s="10">
        <v>11</v>
      </c>
      <c r="BS211" s="10">
        <v>8</v>
      </c>
      <c r="BT211" s="10">
        <v>21</v>
      </c>
      <c r="BU211" s="10">
        <v>29</v>
      </c>
      <c r="BV211" s="10">
        <v>30</v>
      </c>
      <c r="BW211" s="10">
        <v>29</v>
      </c>
      <c r="BX211" s="10">
        <v>18</v>
      </c>
      <c r="BY211" s="10">
        <v>9</v>
      </c>
      <c r="BZ211" s="10">
        <v>18</v>
      </c>
      <c r="CA211" s="10">
        <v>18</v>
      </c>
      <c r="CB211" s="10">
        <v>20</v>
      </c>
      <c r="CC211" s="10">
        <v>10</v>
      </c>
      <c r="CD211" s="10">
        <v>22</v>
      </c>
      <c r="CE211" s="10">
        <v>16</v>
      </c>
      <c r="CF211" s="10">
        <v>7</v>
      </c>
      <c r="CG211" s="10">
        <v>3</v>
      </c>
      <c r="CH211" s="10">
        <v>2</v>
      </c>
      <c r="CI211" s="10">
        <v>4</v>
      </c>
      <c r="CJ211" s="6"/>
      <c r="CK211" s="10">
        <v>2</v>
      </c>
      <c r="CL211" s="10">
        <v>1</v>
      </c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10">
        <v>1</v>
      </c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</row>
    <row r="212" ht="15">
      <c r="A212" s="6" t="s">
        <v>863</v>
      </c>
      <c r="B212" s="6">
        <f t="shared" si="69"/>
        <v>123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10">
        <v>1</v>
      </c>
      <c r="BI212" s="6"/>
      <c r="BJ212" s="6"/>
      <c r="BK212" s="10">
        <v>2</v>
      </c>
      <c r="BL212" s="10">
        <v>3</v>
      </c>
      <c r="BM212" s="6"/>
      <c r="BN212" s="10">
        <v>4</v>
      </c>
      <c r="BO212" s="10">
        <v>8</v>
      </c>
      <c r="BP212" s="10">
        <v>12</v>
      </c>
      <c r="BQ212" s="10">
        <v>6</v>
      </c>
      <c r="BR212" s="10">
        <v>24</v>
      </c>
      <c r="BS212" s="10">
        <v>9</v>
      </c>
      <c r="BT212" s="10">
        <v>13</v>
      </c>
      <c r="BU212" s="10">
        <v>11</v>
      </c>
      <c r="BV212" s="10">
        <v>5</v>
      </c>
      <c r="BW212" s="10">
        <v>8</v>
      </c>
      <c r="BX212" s="10">
        <v>6</v>
      </c>
      <c r="BY212" s="10">
        <v>1</v>
      </c>
      <c r="BZ212" s="6"/>
      <c r="CA212" s="10">
        <v>3</v>
      </c>
      <c r="CB212" s="10">
        <v>4</v>
      </c>
      <c r="CC212" s="10">
        <v>1</v>
      </c>
      <c r="CD212" s="6"/>
      <c r="CE212" s="10">
        <v>1</v>
      </c>
      <c r="CF212" s="10">
        <v>1</v>
      </c>
      <c r="CG212" s="6"/>
      <c r="CH212" s="10">
        <v>4</v>
      </c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</row>
    <row r="213" ht="15">
      <c r="A213" s="6" t="s">
        <v>867</v>
      </c>
      <c r="B213" s="6">
        <f t="shared" si="69"/>
        <v>1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10">
        <v>1</v>
      </c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</row>
    <row r="214" ht="15">
      <c r="A214" s="6" t="s">
        <v>871</v>
      </c>
      <c r="B214" s="6">
        <f t="shared" si="69"/>
        <v>147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10">
        <v>2</v>
      </c>
      <c r="AX214" s="6"/>
      <c r="AY214" s="6"/>
      <c r="AZ214" s="6"/>
      <c r="BA214" s="6"/>
      <c r="BB214" s="6"/>
      <c r="BC214" s="6"/>
      <c r="BD214" s="10">
        <v>1</v>
      </c>
      <c r="BE214" s="10">
        <v>3</v>
      </c>
      <c r="BF214" s="6"/>
      <c r="BG214" s="10">
        <v>1</v>
      </c>
      <c r="BH214" s="10">
        <v>2</v>
      </c>
      <c r="BI214" s="10">
        <v>1</v>
      </c>
      <c r="BJ214" s="10">
        <v>1</v>
      </c>
      <c r="BK214" s="10">
        <v>2</v>
      </c>
      <c r="BL214" s="10">
        <v>1</v>
      </c>
      <c r="BM214" s="10">
        <v>3</v>
      </c>
      <c r="BN214" s="10">
        <v>3</v>
      </c>
      <c r="BO214" s="10">
        <v>4</v>
      </c>
      <c r="BP214" s="10">
        <v>8</v>
      </c>
      <c r="BQ214" s="10">
        <v>13</v>
      </c>
      <c r="BR214" s="10">
        <v>15</v>
      </c>
      <c r="BS214" s="10">
        <v>9</v>
      </c>
      <c r="BT214" s="10">
        <v>11</v>
      </c>
      <c r="BU214" s="10">
        <v>23</v>
      </c>
      <c r="BV214" s="10">
        <v>7</v>
      </c>
      <c r="BW214" s="10">
        <v>16</v>
      </c>
      <c r="BX214" s="10">
        <v>3</v>
      </c>
      <c r="BY214" s="6"/>
      <c r="BZ214" s="10">
        <v>4</v>
      </c>
      <c r="CA214" s="10">
        <v>1</v>
      </c>
      <c r="CB214" s="10">
        <v>3</v>
      </c>
      <c r="CC214" s="10">
        <v>2</v>
      </c>
      <c r="CD214" s="10">
        <v>2</v>
      </c>
      <c r="CE214" s="10">
        <v>5</v>
      </c>
      <c r="CF214" s="10">
        <v>1</v>
      </c>
      <c r="CG214" s="6"/>
      <c r="CH214" s="10">
        <v>3</v>
      </c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</row>
    <row r="215" ht="15">
      <c r="A215" s="6" t="s">
        <v>875</v>
      </c>
      <c r="B215" s="6">
        <f t="shared" si="69"/>
        <v>3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10">
        <v>1</v>
      </c>
      <c r="BW215" s="6"/>
      <c r="BX215" s="6"/>
      <c r="BY215" s="6"/>
      <c r="BZ215" s="6"/>
      <c r="CA215" s="6"/>
      <c r="CB215" s="6"/>
      <c r="CC215" s="6"/>
      <c r="CD215" s="6"/>
      <c r="CE215" s="10">
        <v>1</v>
      </c>
      <c r="CF215" s="10">
        <v>1</v>
      </c>
      <c r="CG215" s="10">
        <v>2</v>
      </c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</row>
    <row r="216" ht="15">
      <c r="A216" s="6" t="s">
        <v>879</v>
      </c>
      <c r="B216" s="6">
        <f t="shared" si="69"/>
        <v>238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10">
        <v>1</v>
      </c>
      <c r="AH216" s="6"/>
      <c r="AI216" s="6"/>
      <c r="AJ216" s="6"/>
      <c r="AK216" s="6"/>
      <c r="AL216" s="6"/>
      <c r="AM216" s="10">
        <v>1</v>
      </c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10">
        <v>1</v>
      </c>
      <c r="AZ216" s="6"/>
      <c r="BA216" s="6"/>
      <c r="BB216" s="6"/>
      <c r="BC216" s="6"/>
      <c r="BD216" s="10">
        <v>3</v>
      </c>
      <c r="BE216" s="10">
        <v>8</v>
      </c>
      <c r="BF216" s="10">
        <v>2</v>
      </c>
      <c r="BG216" s="10">
        <v>7</v>
      </c>
      <c r="BH216" s="10">
        <v>12</v>
      </c>
      <c r="BI216" s="10">
        <v>2</v>
      </c>
      <c r="BJ216" s="10">
        <v>8</v>
      </c>
      <c r="BK216" s="10">
        <v>7</v>
      </c>
      <c r="BL216" s="10">
        <v>3</v>
      </c>
      <c r="BM216" s="10">
        <v>5</v>
      </c>
      <c r="BN216" s="10">
        <v>11</v>
      </c>
      <c r="BO216" s="10">
        <v>5</v>
      </c>
      <c r="BP216" s="10">
        <v>14</v>
      </c>
      <c r="BQ216" s="10">
        <v>13</v>
      </c>
      <c r="BR216" s="10">
        <v>13</v>
      </c>
      <c r="BS216" s="10">
        <v>11</v>
      </c>
      <c r="BT216" s="10">
        <v>9</v>
      </c>
      <c r="BU216" s="10">
        <v>24</v>
      </c>
      <c r="BV216" s="10">
        <v>32</v>
      </c>
      <c r="BW216" s="10">
        <v>15</v>
      </c>
      <c r="BX216" s="10">
        <v>6</v>
      </c>
      <c r="BY216" s="10">
        <v>3</v>
      </c>
      <c r="BZ216" s="10">
        <v>5</v>
      </c>
      <c r="CA216" s="10">
        <v>1</v>
      </c>
      <c r="CB216" s="10">
        <v>4</v>
      </c>
      <c r="CC216" s="10">
        <v>3</v>
      </c>
      <c r="CD216" s="10">
        <v>3</v>
      </c>
      <c r="CE216" s="10">
        <v>3</v>
      </c>
      <c r="CF216" s="10">
        <v>3</v>
      </c>
      <c r="CG216" s="10">
        <v>2</v>
      </c>
      <c r="CH216" s="10">
        <v>4</v>
      </c>
      <c r="CI216" s="10">
        <v>6</v>
      </c>
      <c r="CJ216" s="10">
        <v>3</v>
      </c>
      <c r="CK216" s="10">
        <v>2</v>
      </c>
      <c r="CL216" s="10">
        <v>5</v>
      </c>
      <c r="CM216" s="10">
        <v>1</v>
      </c>
      <c r="CN216" s="6"/>
      <c r="CO216" s="10">
        <v>2</v>
      </c>
      <c r="CP216" s="10">
        <v>3</v>
      </c>
      <c r="CQ216" s="10">
        <v>10</v>
      </c>
      <c r="CR216" s="10">
        <v>3</v>
      </c>
      <c r="CS216" s="10">
        <v>1</v>
      </c>
      <c r="CT216" s="10">
        <v>9</v>
      </c>
      <c r="CU216" s="10">
        <v>10</v>
      </c>
      <c r="CV216" s="10">
        <v>8</v>
      </c>
      <c r="CW216" s="10">
        <v>10</v>
      </c>
      <c r="CX216" s="10">
        <v>5</v>
      </c>
      <c r="CY216" s="6"/>
      <c r="CZ216" s="10">
        <v>3</v>
      </c>
      <c r="DA216" s="10">
        <v>16</v>
      </c>
      <c r="DB216" s="10">
        <v>11</v>
      </c>
      <c r="DC216" s="10">
        <v>15</v>
      </c>
      <c r="DD216" s="10">
        <v>45</v>
      </c>
      <c r="DE216" s="10">
        <v>29</v>
      </c>
      <c r="DF216" s="10">
        <v>15</v>
      </c>
      <c r="DG216" s="10">
        <v>6</v>
      </c>
      <c r="DH216" s="6"/>
      <c r="DI216" s="10">
        <v>8</v>
      </c>
      <c r="DJ216" s="6"/>
      <c r="DK216" s="10">
        <v>1</v>
      </c>
      <c r="DL216" s="10">
        <v>2</v>
      </c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10">
        <v>1</v>
      </c>
      <c r="DZ216" s="6"/>
      <c r="EA216" s="6"/>
      <c r="EB216" s="6"/>
      <c r="EC216" s="6"/>
      <c r="ED216" s="6"/>
      <c r="EE216" s="6"/>
      <c r="EF216" s="6"/>
      <c r="EG216" s="10">
        <v>1</v>
      </c>
      <c r="EH216" s="10"/>
      <c r="EI216" s="10"/>
      <c r="EJ216" s="10"/>
      <c r="EK216" s="10"/>
      <c r="EL216" s="10"/>
    </row>
    <row r="217" ht="15">
      <c r="A217" s="6" t="s">
        <v>883</v>
      </c>
      <c r="B217" s="6">
        <f t="shared" si="69"/>
        <v>297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10">
        <v>1</v>
      </c>
      <c r="BE217" s="10">
        <v>5</v>
      </c>
      <c r="BF217" s="6"/>
      <c r="BG217" s="6"/>
      <c r="BH217" s="10">
        <v>12</v>
      </c>
      <c r="BI217" s="10">
        <v>2</v>
      </c>
      <c r="BJ217" s="10">
        <v>4</v>
      </c>
      <c r="BK217" s="10">
        <v>3</v>
      </c>
      <c r="BL217" s="10">
        <v>6</v>
      </c>
      <c r="BM217" s="10">
        <v>14</v>
      </c>
      <c r="BN217" s="10">
        <v>20</v>
      </c>
      <c r="BO217" s="10">
        <v>14</v>
      </c>
      <c r="BP217" s="10">
        <v>22</v>
      </c>
      <c r="BQ217" s="10">
        <v>13</v>
      </c>
      <c r="BR217" s="10">
        <v>21</v>
      </c>
      <c r="BS217" s="10">
        <v>15</v>
      </c>
      <c r="BT217" s="10">
        <v>30</v>
      </c>
      <c r="BU217" s="10">
        <v>21</v>
      </c>
      <c r="BV217" s="10">
        <v>44</v>
      </c>
      <c r="BW217" s="10">
        <v>30</v>
      </c>
      <c r="BX217" s="10">
        <v>5</v>
      </c>
      <c r="BY217" s="10">
        <v>2</v>
      </c>
      <c r="BZ217" s="6"/>
      <c r="CA217" s="10">
        <v>2</v>
      </c>
      <c r="CB217" s="10">
        <v>3</v>
      </c>
      <c r="CC217" s="10">
        <v>1</v>
      </c>
      <c r="CD217" s="10">
        <v>3</v>
      </c>
      <c r="CE217" s="10">
        <v>1</v>
      </c>
      <c r="CF217" s="10">
        <v>3</v>
      </c>
      <c r="CG217" s="10">
        <v>1</v>
      </c>
      <c r="CH217" s="10">
        <v>1</v>
      </c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</row>
    <row r="218" ht="15">
      <c r="A218" s="6" t="s">
        <v>887</v>
      </c>
      <c r="B218" s="6">
        <f t="shared" si="69"/>
        <v>12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10">
        <v>1</v>
      </c>
      <c r="BQ218" s="6"/>
      <c r="BR218" s="6"/>
      <c r="BS218" s="6"/>
      <c r="BT218" s="6"/>
      <c r="BU218" s="6"/>
      <c r="BV218" s="10">
        <v>1</v>
      </c>
      <c r="BW218" s="10">
        <v>1</v>
      </c>
      <c r="BX218" s="6"/>
      <c r="BY218" s="6"/>
      <c r="BZ218" s="10">
        <v>1</v>
      </c>
      <c r="CA218" s="6"/>
      <c r="CB218" s="10">
        <v>2</v>
      </c>
      <c r="CC218" s="10">
        <v>1</v>
      </c>
      <c r="CD218" s="10">
        <v>3</v>
      </c>
      <c r="CE218" s="10">
        <v>2</v>
      </c>
      <c r="CF218" s="6"/>
      <c r="CG218" s="10">
        <v>1</v>
      </c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</row>
    <row r="219" ht="15">
      <c r="A219" s="6" t="s">
        <v>891</v>
      </c>
      <c r="B219" s="6">
        <f t="shared" si="69"/>
        <v>38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10">
        <v>3</v>
      </c>
      <c r="BS219" s="10">
        <v>4</v>
      </c>
      <c r="BT219" s="10">
        <v>5</v>
      </c>
      <c r="BU219" s="10">
        <v>4</v>
      </c>
      <c r="BV219" s="10">
        <v>5</v>
      </c>
      <c r="BW219" s="10">
        <v>3</v>
      </c>
      <c r="BX219" s="10">
        <v>1</v>
      </c>
      <c r="BY219" s="6"/>
      <c r="BZ219" s="6"/>
      <c r="CA219" s="10">
        <v>2</v>
      </c>
      <c r="CB219" s="6"/>
      <c r="CC219" s="10">
        <v>1</v>
      </c>
      <c r="CD219" s="10">
        <v>2</v>
      </c>
      <c r="CE219" s="10">
        <v>2</v>
      </c>
      <c r="CF219" s="10">
        <v>6</v>
      </c>
      <c r="CG219" s="10">
        <v>3</v>
      </c>
      <c r="CH219" s="10">
        <v>3</v>
      </c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</row>
    <row r="220" ht="15">
      <c r="A220" s="6" t="s">
        <v>895</v>
      </c>
      <c r="B220" s="6">
        <f t="shared" si="69"/>
        <v>85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10">
        <v>3</v>
      </c>
      <c r="BM220" s="10">
        <v>3</v>
      </c>
      <c r="BN220" s="10">
        <v>3</v>
      </c>
      <c r="BO220" s="10">
        <v>5</v>
      </c>
      <c r="BP220" s="10">
        <v>6</v>
      </c>
      <c r="BQ220" s="10">
        <v>3</v>
      </c>
      <c r="BR220" s="10">
        <v>5</v>
      </c>
      <c r="BS220" s="10">
        <v>5</v>
      </c>
      <c r="BT220" s="10">
        <v>3</v>
      </c>
      <c r="BU220" s="10">
        <v>7</v>
      </c>
      <c r="BV220" s="10">
        <v>8</v>
      </c>
      <c r="BW220" s="10">
        <v>8</v>
      </c>
      <c r="BX220" s="10">
        <v>3</v>
      </c>
      <c r="BY220" s="10">
        <v>4</v>
      </c>
      <c r="BZ220" s="10">
        <v>2</v>
      </c>
      <c r="CA220" s="6"/>
      <c r="CB220" s="6"/>
      <c r="CC220" s="10">
        <v>1</v>
      </c>
      <c r="CD220" s="10">
        <v>5</v>
      </c>
      <c r="CE220" s="10">
        <v>1</v>
      </c>
      <c r="CF220" s="10">
        <v>10</v>
      </c>
      <c r="CG220" s="6"/>
      <c r="CH220" s="10">
        <v>2</v>
      </c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</row>
    <row r="221" ht="15">
      <c r="A221" s="6" t="s">
        <v>899</v>
      </c>
      <c r="B221" s="6">
        <f t="shared" si="69"/>
        <v>55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10">
        <v>3</v>
      </c>
      <c r="BT221" s="10">
        <v>12</v>
      </c>
      <c r="BU221" s="10">
        <v>8</v>
      </c>
      <c r="BV221" s="10">
        <v>8</v>
      </c>
      <c r="BW221" s="10">
        <v>1</v>
      </c>
      <c r="BX221" s="10">
        <v>3</v>
      </c>
      <c r="BY221" s="10">
        <v>2</v>
      </c>
      <c r="BZ221" s="10">
        <v>3</v>
      </c>
      <c r="CA221" s="10">
        <v>2</v>
      </c>
      <c r="CB221" s="10">
        <v>2</v>
      </c>
      <c r="CC221" s="6"/>
      <c r="CD221" s="10">
        <v>7</v>
      </c>
      <c r="CE221" s="10">
        <v>3</v>
      </c>
      <c r="CF221" s="10">
        <v>1</v>
      </c>
      <c r="CG221" s="6"/>
      <c r="CH221" s="10">
        <v>6</v>
      </c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</row>
    <row r="222" ht="15">
      <c r="A222" s="6" t="s">
        <v>903</v>
      </c>
      <c r="B222" s="6">
        <f t="shared" si="69"/>
        <v>23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10">
        <v>4</v>
      </c>
      <c r="BR222" s="10">
        <v>5</v>
      </c>
      <c r="BS222" s="10">
        <v>4</v>
      </c>
      <c r="BT222" s="10">
        <v>5</v>
      </c>
      <c r="BU222" s="10">
        <v>1</v>
      </c>
      <c r="BV222" s="10">
        <v>2</v>
      </c>
      <c r="BW222" s="10">
        <v>2</v>
      </c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</row>
    <row r="223" ht="15">
      <c r="A223" s="6" t="s">
        <v>907</v>
      </c>
      <c r="B223" s="6">
        <f t="shared" si="69"/>
        <v>20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10">
        <v>1</v>
      </c>
      <c r="BQ223" s="10">
        <v>1</v>
      </c>
      <c r="BR223" s="10">
        <v>2</v>
      </c>
      <c r="BS223" s="6"/>
      <c r="BT223" s="10">
        <v>5</v>
      </c>
      <c r="BU223" s="10">
        <v>5</v>
      </c>
      <c r="BV223" s="10">
        <v>1</v>
      </c>
      <c r="BW223" s="10">
        <v>3</v>
      </c>
      <c r="BX223" s="6"/>
      <c r="BY223" s="6"/>
      <c r="BZ223" s="6"/>
      <c r="CA223" s="10">
        <v>1</v>
      </c>
      <c r="CB223" s="10">
        <v>1</v>
      </c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</row>
    <row r="224" ht="15">
      <c r="A224" s="6" t="s">
        <v>911</v>
      </c>
      <c r="B224" s="6">
        <f t="shared" si="69"/>
        <v>243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10">
        <v>1</v>
      </c>
      <c r="BD224" s="6"/>
      <c r="BE224" s="6"/>
      <c r="BF224" s="10">
        <v>4</v>
      </c>
      <c r="BG224" s="10">
        <v>5</v>
      </c>
      <c r="BH224" s="10">
        <v>2</v>
      </c>
      <c r="BI224" s="10">
        <v>10</v>
      </c>
      <c r="BJ224" s="10">
        <v>6</v>
      </c>
      <c r="BK224" s="10">
        <v>6</v>
      </c>
      <c r="BL224" s="10">
        <v>3</v>
      </c>
      <c r="BM224" s="6"/>
      <c r="BN224" s="10">
        <v>8</v>
      </c>
      <c r="BO224" s="10">
        <v>11</v>
      </c>
      <c r="BP224" s="10">
        <v>8</v>
      </c>
      <c r="BQ224" s="10">
        <v>7</v>
      </c>
      <c r="BR224" s="10">
        <v>7</v>
      </c>
      <c r="BS224" s="10">
        <v>3</v>
      </c>
      <c r="BT224" s="10">
        <v>8</v>
      </c>
      <c r="BU224" s="10">
        <v>4</v>
      </c>
      <c r="BV224" s="10">
        <v>1</v>
      </c>
      <c r="BW224" s="10">
        <v>7</v>
      </c>
      <c r="BX224" s="10">
        <v>16</v>
      </c>
      <c r="BY224" s="10">
        <v>17</v>
      </c>
      <c r="BZ224" s="10">
        <v>5</v>
      </c>
      <c r="CA224" s="10">
        <v>19</v>
      </c>
      <c r="CB224" s="10">
        <v>11</v>
      </c>
      <c r="CC224" s="10">
        <v>23</v>
      </c>
      <c r="CD224" s="10">
        <v>13</v>
      </c>
      <c r="CE224" s="10">
        <v>19</v>
      </c>
      <c r="CF224" s="10">
        <v>19</v>
      </c>
      <c r="CG224" s="10">
        <v>12</v>
      </c>
      <c r="CH224" s="10">
        <v>7</v>
      </c>
      <c r="CI224" s="10">
        <v>1</v>
      </c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</row>
    <row r="225" ht="15">
      <c r="A225" s="6" t="s">
        <v>915</v>
      </c>
      <c r="B225" s="6">
        <f t="shared" si="69"/>
        <v>3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10">
        <v>3</v>
      </c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</row>
    <row r="226" ht="15">
      <c r="A226" s="6" t="s">
        <v>919</v>
      </c>
      <c r="B226" s="6">
        <f t="shared" si="69"/>
        <v>1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10">
        <v>1</v>
      </c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</row>
    <row r="227" ht="15" hidden="1">
      <c r="A227" s="6" t="s">
        <v>923</v>
      </c>
      <c r="B227" s="6">
        <f t="shared" si="69"/>
        <v>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</row>
    <row r="228" ht="15">
      <c r="A228" s="6" t="s">
        <v>927</v>
      </c>
      <c r="B228" s="6">
        <f t="shared" ref="B228:B291" si="70">SUM(C228:CF228)</f>
        <v>22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10">
        <v>1</v>
      </c>
      <c r="BL228" s="6"/>
      <c r="BM228" s="6"/>
      <c r="BN228" s="6"/>
      <c r="BO228" s="10">
        <v>1</v>
      </c>
      <c r="BP228" s="6"/>
      <c r="BQ228" s="10">
        <v>2</v>
      </c>
      <c r="BR228" s="6"/>
      <c r="BS228" s="10">
        <v>1</v>
      </c>
      <c r="BT228" s="10">
        <v>2</v>
      </c>
      <c r="BU228" s="10">
        <v>4</v>
      </c>
      <c r="BV228" s="10">
        <v>2</v>
      </c>
      <c r="BW228" s="10">
        <v>3</v>
      </c>
      <c r="BX228" s="10">
        <v>1</v>
      </c>
      <c r="BY228" s="10">
        <v>2</v>
      </c>
      <c r="BZ228" s="10">
        <v>1</v>
      </c>
      <c r="CA228" s="6"/>
      <c r="CB228" s="6"/>
      <c r="CC228" s="6"/>
      <c r="CD228" s="6"/>
      <c r="CE228" s="10">
        <v>2</v>
      </c>
      <c r="CF228" s="6"/>
      <c r="CG228" s="10">
        <v>2</v>
      </c>
      <c r="CH228" s="10">
        <v>3</v>
      </c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</row>
    <row r="229" ht="15">
      <c r="A229" s="6" t="s">
        <v>931</v>
      </c>
      <c r="B229" s="6">
        <f t="shared" si="70"/>
        <v>1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10">
        <v>1</v>
      </c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</row>
    <row r="230" ht="15">
      <c r="A230" s="6" t="s">
        <v>935</v>
      </c>
      <c r="B230" s="6">
        <f t="shared" si="70"/>
        <v>9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10">
        <v>1</v>
      </c>
      <c r="BK230" s="6"/>
      <c r="BL230" s="6"/>
      <c r="BM230" s="6"/>
      <c r="BN230" s="6"/>
      <c r="BO230" s="10">
        <v>3</v>
      </c>
      <c r="BP230" s="6"/>
      <c r="BQ230" s="10">
        <v>1</v>
      </c>
      <c r="BR230" s="6"/>
      <c r="BS230" s="6"/>
      <c r="BT230" s="10">
        <v>1</v>
      </c>
      <c r="BU230" s="6"/>
      <c r="BV230" s="6"/>
      <c r="BW230" s="6"/>
      <c r="BX230" s="6"/>
      <c r="BY230" s="6"/>
      <c r="BZ230" s="6"/>
      <c r="CA230" s="6"/>
      <c r="CB230" s="10">
        <v>1</v>
      </c>
      <c r="CC230" s="6"/>
      <c r="CD230" s="6"/>
      <c r="CE230" s="10">
        <v>1</v>
      </c>
      <c r="CF230" s="10">
        <v>1</v>
      </c>
      <c r="CG230" s="6"/>
      <c r="CH230" s="10">
        <v>2</v>
      </c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</row>
    <row r="231" ht="15">
      <c r="A231" s="6" t="s">
        <v>939</v>
      </c>
      <c r="B231" s="6">
        <f t="shared" si="70"/>
        <v>4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10">
        <v>1</v>
      </c>
      <c r="BO231" s="6"/>
      <c r="BP231" s="6"/>
      <c r="BQ231" s="6"/>
      <c r="BR231" s="6"/>
      <c r="BS231" s="6"/>
      <c r="BT231" s="10">
        <v>1</v>
      </c>
      <c r="BU231" s="6"/>
      <c r="BV231" s="6"/>
      <c r="BW231" s="10">
        <v>1</v>
      </c>
      <c r="BX231" s="6"/>
      <c r="BY231" s="6"/>
      <c r="BZ231" s="10">
        <v>1</v>
      </c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</row>
    <row r="232" ht="15">
      <c r="A232" s="6" t="s">
        <v>943</v>
      </c>
      <c r="B232" s="6">
        <f t="shared" si="70"/>
        <v>1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10">
        <v>1</v>
      </c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</row>
    <row r="233" ht="15">
      <c r="A233" s="6" t="s">
        <v>947</v>
      </c>
      <c r="B233" s="6">
        <f t="shared" si="70"/>
        <v>77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10">
        <v>1</v>
      </c>
      <c r="BJ233" s="6"/>
      <c r="BK233" s="10">
        <v>6</v>
      </c>
      <c r="BL233" s="10">
        <v>5</v>
      </c>
      <c r="BM233" s="10">
        <v>2</v>
      </c>
      <c r="BN233" s="10">
        <v>6</v>
      </c>
      <c r="BO233" s="10">
        <v>4</v>
      </c>
      <c r="BP233" s="10">
        <v>3</v>
      </c>
      <c r="BQ233" s="10">
        <v>4</v>
      </c>
      <c r="BR233" s="10">
        <v>2</v>
      </c>
      <c r="BS233" s="10">
        <v>5</v>
      </c>
      <c r="BT233" s="10">
        <v>2</v>
      </c>
      <c r="BU233" s="10">
        <v>1</v>
      </c>
      <c r="BV233" s="10">
        <v>4</v>
      </c>
      <c r="BW233" s="10">
        <v>3</v>
      </c>
      <c r="BX233" s="10">
        <v>3</v>
      </c>
      <c r="BY233" s="10">
        <v>4</v>
      </c>
      <c r="BZ233" s="10">
        <v>3</v>
      </c>
      <c r="CA233" s="6"/>
      <c r="CB233" s="10">
        <v>1</v>
      </c>
      <c r="CC233" s="10">
        <v>2</v>
      </c>
      <c r="CD233" s="10">
        <v>4</v>
      </c>
      <c r="CE233" s="10">
        <v>4</v>
      </c>
      <c r="CF233" s="10">
        <v>8</v>
      </c>
      <c r="CG233" s="10">
        <v>5</v>
      </c>
      <c r="CH233" s="10">
        <v>4</v>
      </c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</row>
    <row r="234" ht="15">
      <c r="A234" s="6" t="s">
        <v>951</v>
      </c>
      <c r="B234" s="6">
        <f t="shared" si="70"/>
        <v>45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10">
        <v>1</v>
      </c>
      <c r="BI234" s="6"/>
      <c r="BJ234" s="6"/>
      <c r="BK234" s="10">
        <v>1</v>
      </c>
      <c r="BL234" s="10">
        <v>1</v>
      </c>
      <c r="BM234" s="10">
        <v>2</v>
      </c>
      <c r="BN234" s="6"/>
      <c r="BO234" s="6"/>
      <c r="BP234" s="10">
        <v>2</v>
      </c>
      <c r="BQ234" s="10">
        <v>5</v>
      </c>
      <c r="BR234" s="10">
        <v>2</v>
      </c>
      <c r="BS234" s="10">
        <v>3</v>
      </c>
      <c r="BT234" s="10">
        <v>5</v>
      </c>
      <c r="BU234" s="10">
        <v>7</v>
      </c>
      <c r="BV234" s="10">
        <v>2</v>
      </c>
      <c r="BW234" s="10">
        <v>4</v>
      </c>
      <c r="BX234" s="10">
        <v>4</v>
      </c>
      <c r="BY234" s="10">
        <v>1</v>
      </c>
      <c r="BZ234" s="6"/>
      <c r="CA234" s="10">
        <v>2</v>
      </c>
      <c r="CB234" s="6"/>
      <c r="CC234" s="6"/>
      <c r="CD234" s="10">
        <v>1</v>
      </c>
      <c r="CE234" s="10">
        <v>1</v>
      </c>
      <c r="CF234" s="10">
        <v>1</v>
      </c>
      <c r="CG234" s="10">
        <v>1</v>
      </c>
      <c r="CH234" s="6"/>
      <c r="CI234" s="6"/>
      <c r="CJ234" s="6"/>
      <c r="CK234" s="6"/>
      <c r="CL234" s="6"/>
      <c r="CM234" s="10">
        <v>1</v>
      </c>
      <c r="CN234" s="6"/>
      <c r="CO234" s="6"/>
      <c r="CP234" s="6"/>
      <c r="CQ234" s="10">
        <v>2</v>
      </c>
      <c r="CR234" s="6"/>
      <c r="CS234" s="6"/>
      <c r="CT234" s="10">
        <v>3</v>
      </c>
      <c r="CU234" s="10">
        <v>4</v>
      </c>
      <c r="CV234" s="10">
        <v>2</v>
      </c>
      <c r="CW234" s="6"/>
      <c r="CX234" s="10">
        <v>4</v>
      </c>
      <c r="CY234" s="10">
        <v>1</v>
      </c>
      <c r="CZ234" s="10">
        <v>2</v>
      </c>
      <c r="DA234" s="10">
        <v>1</v>
      </c>
      <c r="DB234" s="6"/>
      <c r="DC234" s="10">
        <v>1</v>
      </c>
      <c r="DD234" s="10">
        <v>1</v>
      </c>
      <c r="DE234" s="6"/>
      <c r="DF234" s="6"/>
      <c r="DG234" s="10">
        <v>1</v>
      </c>
      <c r="DH234" s="10">
        <v>1</v>
      </c>
      <c r="DI234" s="6"/>
      <c r="DJ234" s="6"/>
      <c r="DK234" s="6"/>
      <c r="DL234" s="6"/>
      <c r="DM234" s="6"/>
      <c r="DN234" s="6"/>
      <c r="DO234" s="6"/>
      <c r="DP234" s="10">
        <v>1</v>
      </c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</row>
    <row r="235" ht="15">
      <c r="A235" s="6" t="s">
        <v>959</v>
      </c>
      <c r="B235" s="6">
        <f t="shared" si="70"/>
        <v>52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10">
        <v>3</v>
      </c>
      <c r="BF235" s="6"/>
      <c r="BG235" s="10">
        <v>1</v>
      </c>
      <c r="BH235" s="10">
        <v>3</v>
      </c>
      <c r="BI235" s="10">
        <v>1</v>
      </c>
      <c r="BJ235" s="10">
        <v>5</v>
      </c>
      <c r="BK235" s="10">
        <v>2</v>
      </c>
      <c r="BL235" s="6"/>
      <c r="BM235" s="10">
        <v>1</v>
      </c>
      <c r="BN235" s="6"/>
      <c r="BO235" s="10">
        <v>4</v>
      </c>
      <c r="BP235" s="10">
        <v>6</v>
      </c>
      <c r="BQ235" s="10">
        <v>1</v>
      </c>
      <c r="BR235" s="10">
        <v>1</v>
      </c>
      <c r="BS235" s="6"/>
      <c r="BT235" s="6"/>
      <c r="BU235" s="10">
        <v>1</v>
      </c>
      <c r="BV235" s="10">
        <v>2</v>
      </c>
      <c r="BW235" s="10">
        <v>4</v>
      </c>
      <c r="BX235" s="6"/>
      <c r="BY235" s="6"/>
      <c r="BZ235" s="10">
        <v>1</v>
      </c>
      <c r="CA235" s="6"/>
      <c r="CB235" s="10">
        <v>1</v>
      </c>
      <c r="CC235" s="6"/>
      <c r="CD235" s="10">
        <v>7</v>
      </c>
      <c r="CE235" s="10">
        <v>6</v>
      </c>
      <c r="CF235" s="10">
        <v>2</v>
      </c>
      <c r="CG235" s="10">
        <v>2</v>
      </c>
      <c r="CH235" s="10">
        <v>7</v>
      </c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</row>
    <row r="236" ht="15" hidden="1">
      <c r="A236" s="6" t="s">
        <v>963</v>
      </c>
      <c r="B236" s="6">
        <f t="shared" si="70"/>
        <v>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</row>
    <row r="237" ht="15">
      <c r="A237" s="6" t="s">
        <v>975</v>
      </c>
      <c r="B237" s="6">
        <f t="shared" si="70"/>
        <v>36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10">
        <v>9</v>
      </c>
      <c r="BR237" s="10">
        <v>2</v>
      </c>
      <c r="BS237" s="10">
        <v>3</v>
      </c>
      <c r="BT237" s="10">
        <v>2</v>
      </c>
      <c r="BU237" s="10">
        <v>4</v>
      </c>
      <c r="BV237" s="10">
        <v>4</v>
      </c>
      <c r="BW237" s="10">
        <v>3</v>
      </c>
      <c r="BX237" s="10">
        <v>3</v>
      </c>
      <c r="BY237" s="6"/>
      <c r="BZ237" s="10">
        <v>1</v>
      </c>
      <c r="CA237" s="10">
        <v>2</v>
      </c>
      <c r="CB237" s="6"/>
      <c r="CC237" s="10">
        <v>1</v>
      </c>
      <c r="CD237" s="10">
        <v>1</v>
      </c>
      <c r="CE237" s="6"/>
      <c r="CF237" s="10">
        <v>1</v>
      </c>
      <c r="CG237" s="10">
        <v>1</v>
      </c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</row>
    <row r="238" ht="15">
      <c r="A238" s="6" t="s">
        <v>979</v>
      </c>
      <c r="B238" s="6">
        <f t="shared" si="70"/>
        <v>60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10">
        <v>2</v>
      </c>
      <c r="BL238" s="10">
        <v>4</v>
      </c>
      <c r="BM238" s="10">
        <v>3</v>
      </c>
      <c r="BN238" s="10">
        <v>1</v>
      </c>
      <c r="BO238" s="6"/>
      <c r="BP238" s="10">
        <v>2</v>
      </c>
      <c r="BQ238" s="10">
        <v>2</v>
      </c>
      <c r="BR238" s="10">
        <v>7</v>
      </c>
      <c r="BS238" s="10">
        <v>1</v>
      </c>
      <c r="BT238" s="10">
        <v>1</v>
      </c>
      <c r="BU238" s="10">
        <v>1</v>
      </c>
      <c r="BV238" s="6"/>
      <c r="BW238" s="10">
        <v>1</v>
      </c>
      <c r="BX238" s="10">
        <v>5</v>
      </c>
      <c r="BY238" s="10">
        <v>1</v>
      </c>
      <c r="BZ238" s="10">
        <v>2</v>
      </c>
      <c r="CA238" s="10">
        <v>7</v>
      </c>
      <c r="CB238" s="10">
        <v>4</v>
      </c>
      <c r="CC238" s="10">
        <v>2</v>
      </c>
      <c r="CD238" s="10">
        <v>5</v>
      </c>
      <c r="CE238" s="10">
        <v>6</v>
      </c>
      <c r="CF238" s="10">
        <v>3</v>
      </c>
      <c r="CG238" s="10">
        <v>2</v>
      </c>
      <c r="CH238" s="10">
        <v>6</v>
      </c>
      <c r="CI238" s="6"/>
      <c r="CJ238" s="10">
        <v>2</v>
      </c>
      <c r="CK238" s="10">
        <v>1</v>
      </c>
      <c r="CL238" s="10">
        <v>3</v>
      </c>
      <c r="CM238" s="6"/>
      <c r="CN238" s="10">
        <v>3</v>
      </c>
      <c r="CO238" s="10">
        <v>3</v>
      </c>
      <c r="CP238" s="10">
        <v>4</v>
      </c>
      <c r="CQ238" s="10">
        <v>3</v>
      </c>
      <c r="CR238" s="6"/>
      <c r="CS238" s="10">
        <v>2</v>
      </c>
      <c r="CT238" s="10">
        <v>1</v>
      </c>
      <c r="CU238" s="10">
        <v>4</v>
      </c>
      <c r="CV238" s="10">
        <v>7</v>
      </c>
      <c r="CW238" s="6"/>
      <c r="CX238" s="10">
        <v>1</v>
      </c>
      <c r="CY238" s="10">
        <v>5</v>
      </c>
      <c r="CZ238" s="10">
        <v>1</v>
      </c>
      <c r="DA238" s="6"/>
      <c r="DB238" s="10">
        <v>1</v>
      </c>
      <c r="DC238" s="10">
        <v>1</v>
      </c>
      <c r="DD238" s="6"/>
      <c r="DE238" s="10">
        <v>1</v>
      </c>
      <c r="DF238" s="6"/>
      <c r="DG238" s="6"/>
      <c r="DH238" s="6"/>
      <c r="DI238" s="10">
        <v>1</v>
      </c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</row>
    <row r="239" ht="15">
      <c r="A239" s="6" t="s">
        <v>983</v>
      </c>
      <c r="B239" s="6">
        <f t="shared" si="70"/>
        <v>238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10">
        <v>8</v>
      </c>
      <c r="BC239" s="10">
        <v>1</v>
      </c>
      <c r="BD239" s="10">
        <v>5</v>
      </c>
      <c r="BE239" s="10">
        <v>9</v>
      </c>
      <c r="BF239" s="10">
        <v>4</v>
      </c>
      <c r="BG239" s="6"/>
      <c r="BH239" s="6"/>
      <c r="BI239" s="10">
        <v>2</v>
      </c>
      <c r="BJ239" s="6"/>
      <c r="BK239" s="10">
        <v>2</v>
      </c>
      <c r="BL239" s="10">
        <v>5</v>
      </c>
      <c r="BM239" s="6"/>
      <c r="BN239" s="10">
        <v>7</v>
      </c>
      <c r="BO239" s="10">
        <v>4</v>
      </c>
      <c r="BP239" s="10">
        <v>12</v>
      </c>
      <c r="BQ239" s="10">
        <v>16</v>
      </c>
      <c r="BR239" s="10">
        <v>8</v>
      </c>
      <c r="BS239" s="10">
        <v>1</v>
      </c>
      <c r="BT239" s="10">
        <v>3</v>
      </c>
      <c r="BU239" s="10">
        <v>3</v>
      </c>
      <c r="BV239" s="10">
        <v>5</v>
      </c>
      <c r="BW239" s="10">
        <v>12</v>
      </c>
      <c r="BX239" s="10">
        <v>8</v>
      </c>
      <c r="BY239" s="10">
        <v>4</v>
      </c>
      <c r="BZ239" s="10">
        <v>3</v>
      </c>
      <c r="CA239" s="10">
        <v>5</v>
      </c>
      <c r="CB239" s="10">
        <v>30</v>
      </c>
      <c r="CC239" s="10">
        <v>16</v>
      </c>
      <c r="CD239" s="10">
        <v>13</v>
      </c>
      <c r="CE239" s="10">
        <v>25</v>
      </c>
      <c r="CF239" s="10">
        <v>27</v>
      </c>
      <c r="CG239" s="10">
        <v>11</v>
      </c>
      <c r="CH239" s="10">
        <v>4</v>
      </c>
      <c r="CI239" s="10">
        <v>17</v>
      </c>
      <c r="CJ239" s="10">
        <v>4</v>
      </c>
      <c r="CK239" s="10">
        <v>3</v>
      </c>
      <c r="CL239" s="10">
        <v>6</v>
      </c>
      <c r="CM239" s="10">
        <v>3</v>
      </c>
      <c r="CN239" s="10">
        <v>3</v>
      </c>
      <c r="CO239" s="6"/>
      <c r="CP239" s="10">
        <v>5</v>
      </c>
      <c r="CQ239" s="6"/>
      <c r="CR239" s="10">
        <v>1</v>
      </c>
      <c r="CS239" s="10">
        <v>5</v>
      </c>
      <c r="CT239" s="10">
        <v>2</v>
      </c>
      <c r="CU239" s="10">
        <v>5</v>
      </c>
      <c r="CV239" s="10">
        <v>6</v>
      </c>
      <c r="CW239" s="10">
        <v>3</v>
      </c>
      <c r="CX239" s="10">
        <v>6</v>
      </c>
      <c r="CY239" s="10">
        <v>3</v>
      </c>
      <c r="CZ239" s="10">
        <v>2</v>
      </c>
      <c r="DA239" s="10">
        <v>4</v>
      </c>
      <c r="DB239" s="10">
        <v>7</v>
      </c>
      <c r="DC239" s="10">
        <v>3</v>
      </c>
      <c r="DD239" s="10">
        <v>2</v>
      </c>
      <c r="DE239" s="10">
        <v>3</v>
      </c>
      <c r="DF239" s="10">
        <v>1</v>
      </c>
      <c r="DG239" s="6"/>
      <c r="DH239" s="10">
        <v>1</v>
      </c>
      <c r="DI239" s="10">
        <v>2</v>
      </c>
      <c r="DJ239" s="10">
        <v>2</v>
      </c>
      <c r="DK239" s="6"/>
      <c r="DL239" s="10">
        <v>1</v>
      </c>
      <c r="DM239" s="10">
        <v>2</v>
      </c>
      <c r="DN239" s="10">
        <v>1</v>
      </c>
      <c r="DO239" s="10">
        <v>1</v>
      </c>
      <c r="DP239" s="10">
        <v>1</v>
      </c>
      <c r="DQ239" s="10">
        <v>2</v>
      </c>
      <c r="DR239" s="10">
        <v>2</v>
      </c>
      <c r="DS239" s="10">
        <v>2</v>
      </c>
      <c r="DT239" s="10">
        <v>1</v>
      </c>
      <c r="DU239" s="10">
        <v>2</v>
      </c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10">
        <v>3</v>
      </c>
      <c r="EH239" s="10"/>
      <c r="EI239" s="10"/>
      <c r="EJ239" s="10"/>
      <c r="EK239" s="10"/>
      <c r="EL239" s="10"/>
    </row>
    <row r="240" ht="15" hidden="1">
      <c r="A240" s="6" t="s">
        <v>987</v>
      </c>
      <c r="B240" s="6">
        <f t="shared" si="70"/>
        <v>0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10">
        <v>1</v>
      </c>
      <c r="DC240" s="10">
        <v>3</v>
      </c>
      <c r="DD240" s="10">
        <v>1</v>
      </c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</row>
    <row r="241" ht="15" hidden="1">
      <c r="A241" s="6" t="s">
        <v>991</v>
      </c>
      <c r="B241" s="6">
        <f t="shared" si="70"/>
        <v>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10">
        <v>1</v>
      </c>
      <c r="DB241" s="6"/>
      <c r="DC241" s="6"/>
      <c r="DD241" s="6"/>
      <c r="DE241" s="6"/>
      <c r="DF241" s="6"/>
      <c r="DG241" s="6"/>
      <c r="DH241" s="10">
        <v>3</v>
      </c>
      <c r="DI241" s="6"/>
      <c r="DJ241" s="6"/>
      <c r="DK241" s="6"/>
      <c r="DL241" s="6"/>
      <c r="DM241" s="6"/>
      <c r="DN241" s="6"/>
      <c r="DO241" s="6"/>
      <c r="DP241" s="6"/>
      <c r="DQ241" s="10">
        <v>1</v>
      </c>
      <c r="DR241" s="6"/>
      <c r="DS241" s="6"/>
      <c r="DT241" s="6"/>
      <c r="DU241" s="6"/>
      <c r="DV241" s="10">
        <v>1</v>
      </c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</row>
    <row r="242" ht="15">
      <c r="A242" s="6" t="s">
        <v>995</v>
      </c>
      <c r="B242" s="6">
        <f t="shared" si="70"/>
        <v>70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10">
        <v>3</v>
      </c>
      <c r="BF242" s="10">
        <v>1</v>
      </c>
      <c r="BG242" s="6"/>
      <c r="BH242" s="10">
        <v>1</v>
      </c>
      <c r="BI242" s="6"/>
      <c r="BJ242" s="6"/>
      <c r="BK242" s="6"/>
      <c r="BL242" s="6"/>
      <c r="BM242" s="10">
        <v>2</v>
      </c>
      <c r="BN242" s="6"/>
      <c r="BO242" s="6"/>
      <c r="BP242" s="10">
        <v>3</v>
      </c>
      <c r="BQ242" s="10">
        <v>2</v>
      </c>
      <c r="BR242" s="10">
        <v>7</v>
      </c>
      <c r="BS242" s="10">
        <v>11</v>
      </c>
      <c r="BT242" s="10">
        <v>1</v>
      </c>
      <c r="BU242" s="10">
        <v>6</v>
      </c>
      <c r="BV242" s="10">
        <v>5</v>
      </c>
      <c r="BW242" s="10">
        <v>2</v>
      </c>
      <c r="BX242" s="10">
        <v>2</v>
      </c>
      <c r="BY242" s="6"/>
      <c r="BZ242" s="10">
        <v>3</v>
      </c>
      <c r="CA242" s="10">
        <v>3</v>
      </c>
      <c r="CB242" s="10">
        <v>5</v>
      </c>
      <c r="CC242" s="10">
        <v>2</v>
      </c>
      <c r="CD242" s="10">
        <v>1</v>
      </c>
      <c r="CE242" s="10">
        <v>2</v>
      </c>
      <c r="CF242" s="10">
        <v>8</v>
      </c>
      <c r="CG242" s="10">
        <v>2</v>
      </c>
      <c r="CH242" s="10">
        <v>1</v>
      </c>
      <c r="CI242" s="6"/>
      <c r="CJ242" s="6"/>
      <c r="CK242" s="10">
        <v>1</v>
      </c>
      <c r="CL242" s="10">
        <v>2</v>
      </c>
      <c r="CM242" s="6"/>
      <c r="CN242" s="6"/>
      <c r="CO242" s="10">
        <v>1</v>
      </c>
      <c r="CP242" s="6"/>
      <c r="CQ242" s="6"/>
      <c r="CR242" s="10">
        <v>1</v>
      </c>
      <c r="CS242" s="6"/>
      <c r="CT242" s="10">
        <v>3</v>
      </c>
      <c r="CU242" s="10">
        <v>5</v>
      </c>
      <c r="CV242" s="10">
        <v>5</v>
      </c>
      <c r="CW242" s="10">
        <v>16</v>
      </c>
      <c r="CX242" s="10">
        <v>1</v>
      </c>
      <c r="CY242" s="6"/>
      <c r="CZ242" s="10">
        <v>5</v>
      </c>
      <c r="DA242" s="10">
        <v>1</v>
      </c>
      <c r="DB242" s="6"/>
      <c r="DC242" s="10">
        <v>5</v>
      </c>
      <c r="DD242" s="10">
        <v>5</v>
      </c>
      <c r="DE242" s="10">
        <v>2</v>
      </c>
      <c r="DF242" s="10">
        <v>1</v>
      </c>
      <c r="DG242" s="6"/>
      <c r="DH242" s="10">
        <v>2</v>
      </c>
      <c r="DI242" s="10">
        <v>1</v>
      </c>
      <c r="DJ242" s="6"/>
      <c r="DK242" s="10">
        <v>1</v>
      </c>
      <c r="DL242" s="10">
        <v>1</v>
      </c>
      <c r="DM242" s="6"/>
      <c r="DN242" s="6"/>
      <c r="DO242" s="10">
        <v>1</v>
      </c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</row>
    <row r="243" ht="15">
      <c r="A243" s="6" t="s">
        <v>999</v>
      </c>
      <c r="B243" s="6">
        <f t="shared" si="70"/>
        <v>1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10">
        <v>1</v>
      </c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10">
        <v>2</v>
      </c>
      <c r="CL243" s="6"/>
      <c r="CM243" s="6"/>
      <c r="CN243" s="6"/>
      <c r="CO243" s="6"/>
      <c r="CP243" s="6"/>
      <c r="CQ243" s="6"/>
      <c r="CR243" s="10">
        <v>1</v>
      </c>
      <c r="CS243" s="10">
        <v>1</v>
      </c>
      <c r="CT243" s="6"/>
      <c r="CU243" s="10">
        <v>1</v>
      </c>
      <c r="CV243" s="6"/>
      <c r="CW243" s="6"/>
      <c r="CX243" s="6"/>
      <c r="CY243" s="6"/>
      <c r="CZ243" s="6"/>
      <c r="DA243" s="6"/>
      <c r="DB243" s="10">
        <v>1</v>
      </c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</row>
    <row r="244" ht="15">
      <c r="A244" s="6" t="s">
        <v>1003</v>
      </c>
      <c r="B244" s="6">
        <f t="shared" si="70"/>
        <v>18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10">
        <v>1</v>
      </c>
      <c r="BL244" s="6"/>
      <c r="BM244" s="6"/>
      <c r="BN244" s="6"/>
      <c r="BO244" s="10">
        <v>2</v>
      </c>
      <c r="BP244" s="10">
        <v>1</v>
      </c>
      <c r="BQ244" s="6"/>
      <c r="BR244" s="6"/>
      <c r="BS244" s="10">
        <v>3</v>
      </c>
      <c r="BT244" s="6"/>
      <c r="BU244" s="10">
        <v>2</v>
      </c>
      <c r="BV244" s="6"/>
      <c r="BW244" s="6"/>
      <c r="BX244" s="10">
        <v>1</v>
      </c>
      <c r="BY244" s="6"/>
      <c r="BZ244" s="10">
        <v>1</v>
      </c>
      <c r="CA244" s="10">
        <v>2</v>
      </c>
      <c r="CB244" s="10">
        <v>3</v>
      </c>
      <c r="CC244" s="10">
        <v>2</v>
      </c>
      <c r="CD244" s="6"/>
      <c r="CE244" s="6"/>
      <c r="CF244" s="6"/>
      <c r="CG244" s="10">
        <v>2</v>
      </c>
      <c r="CH244" s="6"/>
      <c r="CI244" s="6"/>
      <c r="CJ244" s="10">
        <v>2</v>
      </c>
      <c r="CK244" s="6"/>
      <c r="CL244" s="10">
        <v>1</v>
      </c>
      <c r="CM244" s="6"/>
      <c r="CN244" s="6"/>
      <c r="CO244" s="10">
        <v>1</v>
      </c>
      <c r="CP244" s="10">
        <v>2</v>
      </c>
      <c r="CQ244" s="10">
        <v>1</v>
      </c>
      <c r="CR244" s="6"/>
      <c r="CS244" s="6"/>
      <c r="CT244" s="6"/>
      <c r="CU244" s="6"/>
      <c r="CV244" s="6"/>
      <c r="CW244" s="6"/>
      <c r="CX244" s="6"/>
      <c r="CY244" s="6"/>
      <c r="CZ244" s="10">
        <v>1</v>
      </c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</row>
    <row r="245" ht="15">
      <c r="A245" s="6" t="s">
        <v>1007</v>
      </c>
      <c r="B245" s="6">
        <f t="shared" si="70"/>
        <v>6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10">
        <v>1</v>
      </c>
      <c r="BZ245" s="6"/>
      <c r="CA245" s="10">
        <v>2</v>
      </c>
      <c r="CB245" s="10">
        <v>1</v>
      </c>
      <c r="CC245" s="6"/>
      <c r="CD245" s="6"/>
      <c r="CE245" s="10">
        <v>1</v>
      </c>
      <c r="CF245" s="10">
        <v>1</v>
      </c>
      <c r="CG245" s="6"/>
      <c r="CH245" s="6"/>
      <c r="CI245" s="6"/>
      <c r="CJ245" s="6"/>
      <c r="CK245" s="6"/>
      <c r="CL245" s="6"/>
      <c r="CM245" s="6"/>
      <c r="CN245" s="6"/>
      <c r="CO245" s="10">
        <v>1</v>
      </c>
      <c r="CP245" s="10">
        <v>2</v>
      </c>
      <c r="CQ245" s="10">
        <v>1</v>
      </c>
      <c r="CR245" s="10">
        <v>2</v>
      </c>
      <c r="CS245" s="10">
        <v>8</v>
      </c>
      <c r="CT245" s="10">
        <v>1</v>
      </c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</row>
    <row r="246" ht="15" hidden="1">
      <c r="A246" s="6" t="s">
        <v>1991</v>
      </c>
      <c r="B246" s="6">
        <f t="shared" si="70"/>
        <v>0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10">
        <v>1</v>
      </c>
      <c r="DT246" s="10">
        <v>1</v>
      </c>
      <c r="DU246" s="10">
        <v>1</v>
      </c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</row>
    <row r="247" ht="15" hidden="1">
      <c r="A247" s="6" t="s">
        <v>1011</v>
      </c>
      <c r="B247" s="6">
        <f t="shared" si="70"/>
        <v>0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10">
        <v>1</v>
      </c>
      <c r="CV247" s="10">
        <v>1</v>
      </c>
      <c r="CW247" s="10">
        <v>1</v>
      </c>
      <c r="CX247" s="10">
        <v>2</v>
      </c>
      <c r="CY247" s="10">
        <v>1</v>
      </c>
      <c r="CZ247" s="10">
        <v>1</v>
      </c>
      <c r="DA247" s="6"/>
      <c r="DB247" s="10">
        <v>1</v>
      </c>
      <c r="DC247" s="10">
        <v>2</v>
      </c>
      <c r="DD247" s="10">
        <v>1</v>
      </c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10">
        <v>1</v>
      </c>
      <c r="DP247" s="6"/>
      <c r="DQ247" s="10">
        <v>2</v>
      </c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</row>
    <row r="248" ht="15">
      <c r="A248" s="6" t="s">
        <v>1015</v>
      </c>
      <c r="B248" s="6">
        <f t="shared" si="70"/>
        <v>35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10">
        <v>1</v>
      </c>
      <c r="BL248" s="6"/>
      <c r="BM248" s="10">
        <v>1</v>
      </c>
      <c r="BN248" s="6"/>
      <c r="BO248" s="10">
        <v>1</v>
      </c>
      <c r="BP248" s="6"/>
      <c r="BQ248" s="10">
        <v>1</v>
      </c>
      <c r="BR248" s="10">
        <v>3</v>
      </c>
      <c r="BS248" s="10">
        <v>2</v>
      </c>
      <c r="BT248" s="10">
        <v>2</v>
      </c>
      <c r="BU248" s="6"/>
      <c r="BV248" s="10">
        <v>3</v>
      </c>
      <c r="BW248" s="10">
        <v>2</v>
      </c>
      <c r="BX248" s="10">
        <v>1</v>
      </c>
      <c r="BY248" s="10">
        <v>2</v>
      </c>
      <c r="BZ248" s="10">
        <v>5</v>
      </c>
      <c r="CA248" s="6"/>
      <c r="CB248" s="10">
        <v>1</v>
      </c>
      <c r="CC248" s="6"/>
      <c r="CD248" s="6"/>
      <c r="CE248" s="10">
        <v>8</v>
      </c>
      <c r="CF248" s="10">
        <v>2</v>
      </c>
      <c r="CG248" s="10">
        <v>7</v>
      </c>
      <c r="CH248" s="10">
        <v>1</v>
      </c>
      <c r="CI248" s="10">
        <v>1</v>
      </c>
      <c r="CJ248" s="6"/>
      <c r="CK248" s="6"/>
      <c r="CL248" s="10">
        <v>1</v>
      </c>
      <c r="CM248" s="6"/>
      <c r="CN248" s="10">
        <v>1</v>
      </c>
      <c r="CO248" s="6"/>
      <c r="CP248" s="10">
        <v>1</v>
      </c>
      <c r="CQ248" s="10">
        <v>1</v>
      </c>
      <c r="CR248" s="10">
        <v>1</v>
      </c>
      <c r="CS248" s="6"/>
      <c r="CT248" s="10">
        <v>1</v>
      </c>
      <c r="CU248" s="6"/>
      <c r="CV248" s="6"/>
      <c r="CW248" s="10">
        <v>1</v>
      </c>
      <c r="CX248" s="6"/>
      <c r="CY248" s="10">
        <v>1</v>
      </c>
      <c r="CZ248" s="10">
        <v>2</v>
      </c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</row>
    <row r="249" ht="15" hidden="1">
      <c r="A249" s="6" t="s">
        <v>1019</v>
      </c>
      <c r="B249" s="6">
        <f t="shared" si="70"/>
        <v>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10">
        <v>1</v>
      </c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</row>
    <row r="250" ht="15" hidden="1">
      <c r="A250" s="6" t="s">
        <v>1023</v>
      </c>
      <c r="B250" s="6">
        <f t="shared" si="70"/>
        <v>0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10">
        <v>1</v>
      </c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</row>
    <row r="251" ht="15">
      <c r="A251" s="6" t="s">
        <v>1027</v>
      </c>
      <c r="B251" s="6">
        <f t="shared" si="70"/>
        <v>20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10">
        <v>2</v>
      </c>
      <c r="BJ251" s="10">
        <v>5</v>
      </c>
      <c r="BK251" s="10">
        <v>3</v>
      </c>
      <c r="BL251" s="10">
        <v>4</v>
      </c>
      <c r="BM251" s="6"/>
      <c r="BN251" s="6"/>
      <c r="BO251" s="10">
        <v>1</v>
      </c>
      <c r="BP251" s="6"/>
      <c r="BQ251" s="6"/>
      <c r="BR251" s="6"/>
      <c r="BS251" s="6"/>
      <c r="BT251" s="10">
        <v>2</v>
      </c>
      <c r="BU251" s="10">
        <v>1</v>
      </c>
      <c r="BV251" s="10">
        <v>1</v>
      </c>
      <c r="BW251" s="6"/>
      <c r="BX251" s="10">
        <v>1</v>
      </c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</row>
    <row r="252" ht="15">
      <c r="A252" s="6" t="s">
        <v>1031</v>
      </c>
      <c r="B252" s="6">
        <f t="shared" si="70"/>
        <v>3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10">
        <v>1</v>
      </c>
      <c r="BY252" s="10">
        <v>1</v>
      </c>
      <c r="BZ252" s="6"/>
      <c r="CA252" s="6"/>
      <c r="CB252" s="6"/>
      <c r="CC252" s="10">
        <v>1</v>
      </c>
      <c r="CD252" s="6"/>
      <c r="CE252" s="6"/>
      <c r="CF252" s="6"/>
      <c r="CG252" s="6"/>
      <c r="CH252" s="6"/>
      <c r="CI252" s="6"/>
      <c r="CJ252" s="10">
        <v>1</v>
      </c>
      <c r="CK252" s="10">
        <v>1</v>
      </c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</row>
    <row r="253" ht="15">
      <c r="A253" s="6" t="s">
        <v>1035</v>
      </c>
      <c r="B253" s="6">
        <f t="shared" si="70"/>
        <v>3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10">
        <v>1</v>
      </c>
      <c r="BW253" s="6"/>
      <c r="BX253" s="10">
        <v>1</v>
      </c>
      <c r="BY253" s="6"/>
      <c r="BZ253" s="6"/>
      <c r="CA253" s="6"/>
      <c r="CB253" s="6"/>
      <c r="CC253" s="6"/>
      <c r="CD253" s="6"/>
      <c r="CE253" s="6"/>
      <c r="CF253" s="10">
        <v>1</v>
      </c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</row>
    <row r="254" ht="15">
      <c r="A254" s="6" t="s">
        <v>1039</v>
      </c>
      <c r="B254" s="6">
        <f t="shared" si="70"/>
        <v>11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10">
        <v>2</v>
      </c>
      <c r="BR254" s="6"/>
      <c r="BS254" s="6"/>
      <c r="BT254" s="6"/>
      <c r="BU254" s="6"/>
      <c r="BV254" s="10">
        <v>1</v>
      </c>
      <c r="BW254" s="6"/>
      <c r="BX254" s="6"/>
      <c r="BY254" s="10">
        <v>3</v>
      </c>
      <c r="BZ254" s="10">
        <v>1</v>
      </c>
      <c r="CA254" s="6"/>
      <c r="CB254" s="10">
        <v>2</v>
      </c>
      <c r="CC254" s="10">
        <v>1</v>
      </c>
      <c r="CD254" s="10">
        <v>1</v>
      </c>
      <c r="CE254" s="6"/>
      <c r="CF254" s="6"/>
      <c r="CG254" s="6"/>
      <c r="CH254" s="10">
        <v>1</v>
      </c>
      <c r="CI254" s="6"/>
      <c r="CJ254" s="6"/>
      <c r="CK254" s="6"/>
      <c r="CL254" s="6"/>
      <c r="CM254" s="10">
        <v>1</v>
      </c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</row>
    <row r="255" ht="15">
      <c r="A255" s="6" t="s">
        <v>1043</v>
      </c>
      <c r="B255" s="6">
        <f t="shared" si="70"/>
        <v>44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10">
        <v>1</v>
      </c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10">
        <v>1</v>
      </c>
      <c r="AW255" s="6"/>
      <c r="AX255" s="10">
        <v>1</v>
      </c>
      <c r="AY255" s="6"/>
      <c r="AZ255" s="6"/>
      <c r="BA255" s="6"/>
      <c r="BB255" s="10">
        <v>4</v>
      </c>
      <c r="BC255" s="10">
        <v>1</v>
      </c>
      <c r="BD255" s="6"/>
      <c r="BE255" s="10">
        <v>1</v>
      </c>
      <c r="BF255" s="10">
        <v>1</v>
      </c>
      <c r="BG255" s="10">
        <v>2</v>
      </c>
      <c r="BH255" s="10">
        <v>1</v>
      </c>
      <c r="BI255" s="10">
        <v>2</v>
      </c>
      <c r="BJ255" s="6"/>
      <c r="BK255" s="6"/>
      <c r="BL255" s="10">
        <v>3</v>
      </c>
      <c r="BM255" s="10">
        <v>2</v>
      </c>
      <c r="BN255" s="6"/>
      <c r="BO255" s="10">
        <v>2</v>
      </c>
      <c r="BP255" s="10">
        <v>2</v>
      </c>
      <c r="BQ255" s="6"/>
      <c r="BR255" s="10">
        <v>1</v>
      </c>
      <c r="BS255" s="6"/>
      <c r="BT255" s="6"/>
      <c r="BU255" s="6"/>
      <c r="BV255" s="6"/>
      <c r="BW255" s="10">
        <v>2</v>
      </c>
      <c r="BX255" s="10">
        <v>1</v>
      </c>
      <c r="BY255" s="6"/>
      <c r="BZ255" s="10">
        <v>5</v>
      </c>
      <c r="CA255" s="10">
        <v>3</v>
      </c>
      <c r="CB255" s="10">
        <v>1</v>
      </c>
      <c r="CC255" s="10">
        <v>2</v>
      </c>
      <c r="CD255" s="10">
        <v>1</v>
      </c>
      <c r="CE255" s="10">
        <v>2</v>
      </c>
      <c r="CF255" s="10">
        <v>2</v>
      </c>
      <c r="CG255" s="10">
        <v>2</v>
      </c>
      <c r="CH255" s="10">
        <v>4</v>
      </c>
      <c r="CI255" s="10">
        <v>3</v>
      </c>
      <c r="CJ255" s="10">
        <v>4</v>
      </c>
      <c r="CK255" s="10">
        <v>1</v>
      </c>
      <c r="CL255" s="10">
        <v>5</v>
      </c>
      <c r="CM255" s="10">
        <v>7</v>
      </c>
      <c r="CN255" s="10">
        <v>3</v>
      </c>
      <c r="CO255" s="10">
        <v>1</v>
      </c>
      <c r="CP255" s="10">
        <v>2</v>
      </c>
      <c r="CQ255" s="10">
        <v>3</v>
      </c>
      <c r="CR255" s="10">
        <v>2</v>
      </c>
      <c r="CS255" s="10">
        <v>3</v>
      </c>
      <c r="CT255" s="10">
        <v>2</v>
      </c>
      <c r="CU255" s="10">
        <v>2</v>
      </c>
      <c r="CV255" s="10">
        <v>2</v>
      </c>
      <c r="CW255" s="10">
        <v>3</v>
      </c>
      <c r="CX255" s="6"/>
      <c r="CY255" s="6"/>
      <c r="CZ255" s="10">
        <v>2</v>
      </c>
      <c r="DA255" s="10">
        <v>1</v>
      </c>
      <c r="DB255" s="6"/>
      <c r="DC255" s="6"/>
      <c r="DD255" s="6"/>
      <c r="DE255" s="10">
        <v>2</v>
      </c>
      <c r="DF255" s="10">
        <v>3</v>
      </c>
      <c r="DG255" s="10">
        <v>3</v>
      </c>
      <c r="DH255" s="10">
        <v>1</v>
      </c>
      <c r="DI255" s="6"/>
      <c r="DJ255" s="10">
        <v>2</v>
      </c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</row>
    <row r="256" ht="15">
      <c r="A256" s="6" t="s">
        <v>1047</v>
      </c>
      <c r="B256" s="6">
        <f t="shared" si="70"/>
        <v>7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10">
        <v>1</v>
      </c>
      <c r="BR256" s="6"/>
      <c r="BS256" s="6"/>
      <c r="BT256" s="6"/>
      <c r="BU256" s="6"/>
      <c r="BV256" s="10">
        <v>1</v>
      </c>
      <c r="BW256" s="10">
        <v>1</v>
      </c>
      <c r="BX256" s="6"/>
      <c r="BY256" s="6"/>
      <c r="BZ256" s="6"/>
      <c r="CA256" s="10">
        <v>3</v>
      </c>
      <c r="CB256" s="10">
        <v>1</v>
      </c>
      <c r="CC256" s="6"/>
      <c r="CD256" s="6"/>
      <c r="CE256" s="6"/>
      <c r="CF256" s="6"/>
      <c r="CG256" s="6"/>
      <c r="CH256" s="10">
        <v>1</v>
      </c>
      <c r="CI256" s="6"/>
      <c r="CJ256" s="6"/>
      <c r="CK256" s="6"/>
      <c r="CL256" s="6"/>
      <c r="CM256" s="6"/>
      <c r="CN256" s="6"/>
      <c r="CO256" s="10">
        <v>1</v>
      </c>
      <c r="CP256" s="6"/>
      <c r="CQ256" s="6"/>
      <c r="CR256" s="6"/>
      <c r="CS256" s="6"/>
      <c r="CT256" s="6"/>
      <c r="CU256" s="6"/>
      <c r="CV256" s="10">
        <v>1</v>
      </c>
      <c r="CW256" s="6"/>
      <c r="CX256" s="6"/>
      <c r="CY256" s="6"/>
      <c r="CZ256" s="10">
        <v>1</v>
      </c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</row>
    <row r="257" ht="15">
      <c r="A257" s="6" t="s">
        <v>1051</v>
      </c>
      <c r="B257" s="6">
        <f t="shared" si="70"/>
        <v>838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10">
        <v>1</v>
      </c>
      <c r="BJ257" s="6"/>
      <c r="BK257" s="10">
        <v>15</v>
      </c>
      <c r="BL257" s="10">
        <v>36</v>
      </c>
      <c r="BM257" s="10">
        <v>39</v>
      </c>
      <c r="BN257" s="10">
        <v>41</v>
      </c>
      <c r="BO257" s="10">
        <v>23</v>
      </c>
      <c r="BP257" s="10">
        <v>35</v>
      </c>
      <c r="BQ257" s="10">
        <v>26</v>
      </c>
      <c r="BR257" s="10">
        <v>22</v>
      </c>
      <c r="BS257" s="10">
        <v>21</v>
      </c>
      <c r="BT257" s="10">
        <v>26</v>
      </c>
      <c r="BU257" s="10">
        <v>19</v>
      </c>
      <c r="BV257" s="10">
        <v>32</v>
      </c>
      <c r="BW257" s="10">
        <v>37</v>
      </c>
      <c r="BX257" s="10">
        <v>51</v>
      </c>
      <c r="BY257" s="10">
        <v>26</v>
      </c>
      <c r="BZ257" s="10">
        <v>43</v>
      </c>
      <c r="CA257" s="10">
        <v>59</v>
      </c>
      <c r="CB257" s="10">
        <v>46</v>
      </c>
      <c r="CC257" s="10">
        <v>59</v>
      </c>
      <c r="CD257" s="10">
        <v>53</v>
      </c>
      <c r="CE257" s="10">
        <v>69</v>
      </c>
      <c r="CF257" s="10">
        <v>59</v>
      </c>
      <c r="CG257" s="10">
        <v>100</v>
      </c>
      <c r="CH257" s="10">
        <v>61</v>
      </c>
      <c r="CI257" s="10">
        <v>63</v>
      </c>
      <c r="CJ257" s="10">
        <v>69</v>
      </c>
      <c r="CK257" s="10">
        <v>39</v>
      </c>
      <c r="CL257" s="10">
        <v>20</v>
      </c>
      <c r="CM257" s="10">
        <v>27</v>
      </c>
      <c r="CN257" s="10">
        <v>18</v>
      </c>
      <c r="CO257" s="10">
        <v>25</v>
      </c>
      <c r="CP257" s="10">
        <v>24</v>
      </c>
      <c r="CQ257" s="10">
        <v>20</v>
      </c>
      <c r="CR257" s="10">
        <v>38</v>
      </c>
      <c r="CS257" s="10">
        <v>16</v>
      </c>
      <c r="CT257" s="10">
        <v>27</v>
      </c>
      <c r="CU257" s="10">
        <v>24</v>
      </c>
      <c r="CV257" s="10">
        <v>18</v>
      </c>
      <c r="CW257" s="10">
        <v>27</v>
      </c>
      <c r="CX257" s="10">
        <v>27</v>
      </c>
      <c r="CY257" s="10">
        <v>24</v>
      </c>
      <c r="CZ257" s="10">
        <v>11</v>
      </c>
      <c r="DA257" s="10">
        <v>12</v>
      </c>
      <c r="DB257" s="10">
        <v>23</v>
      </c>
      <c r="DC257" s="10">
        <v>49</v>
      </c>
      <c r="DD257" s="10">
        <v>40</v>
      </c>
      <c r="DE257" s="10">
        <v>15</v>
      </c>
      <c r="DF257" s="10">
        <v>16</v>
      </c>
      <c r="DG257" s="10">
        <v>5</v>
      </c>
      <c r="DH257" s="10">
        <v>9</v>
      </c>
      <c r="DI257" s="10">
        <v>1</v>
      </c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</row>
    <row r="258" ht="15">
      <c r="A258" s="6" t="s">
        <v>1055</v>
      </c>
      <c r="B258" s="6">
        <f t="shared" si="70"/>
        <v>452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0">
        <v>1</v>
      </c>
      <c r="AV258" s="10">
        <v>1</v>
      </c>
      <c r="AW258" s="10">
        <v>2</v>
      </c>
      <c r="AX258" s="10">
        <v>1</v>
      </c>
      <c r="AY258" s="6"/>
      <c r="AZ258" s="6"/>
      <c r="BA258" s="6"/>
      <c r="BB258" s="6"/>
      <c r="BC258" s="10">
        <v>1</v>
      </c>
      <c r="BD258" s="10">
        <v>1</v>
      </c>
      <c r="BE258" s="10">
        <v>1</v>
      </c>
      <c r="BF258" s="10">
        <v>1</v>
      </c>
      <c r="BG258" s="10">
        <v>3</v>
      </c>
      <c r="BH258" s="10">
        <v>1</v>
      </c>
      <c r="BI258" s="10">
        <v>6</v>
      </c>
      <c r="BJ258" s="10">
        <v>7</v>
      </c>
      <c r="BK258" s="10">
        <v>3</v>
      </c>
      <c r="BL258" s="10">
        <v>4</v>
      </c>
      <c r="BM258" s="10">
        <v>4</v>
      </c>
      <c r="BN258" s="10">
        <v>11</v>
      </c>
      <c r="BO258" s="10">
        <v>4</v>
      </c>
      <c r="BP258" s="10">
        <v>13</v>
      </c>
      <c r="BQ258" s="10">
        <v>7</v>
      </c>
      <c r="BR258" s="10">
        <v>14</v>
      </c>
      <c r="BS258" s="10">
        <v>8</v>
      </c>
      <c r="BT258" s="10">
        <v>18</v>
      </c>
      <c r="BU258" s="10">
        <v>18</v>
      </c>
      <c r="BV258" s="10">
        <v>13</v>
      </c>
      <c r="BW258" s="10">
        <v>18</v>
      </c>
      <c r="BX258" s="10">
        <v>18</v>
      </c>
      <c r="BY258" s="10">
        <v>30</v>
      </c>
      <c r="BZ258" s="10">
        <v>37</v>
      </c>
      <c r="CA258" s="10">
        <v>38</v>
      </c>
      <c r="CB258" s="10">
        <v>39</v>
      </c>
      <c r="CC258" s="10">
        <v>44</v>
      </c>
      <c r="CD258" s="10">
        <v>30</v>
      </c>
      <c r="CE258" s="10">
        <v>27</v>
      </c>
      <c r="CF258" s="10">
        <v>28</v>
      </c>
      <c r="CG258" s="10">
        <v>16</v>
      </c>
      <c r="CH258" s="10">
        <v>19</v>
      </c>
      <c r="CI258" s="10">
        <v>13</v>
      </c>
      <c r="CJ258" s="10">
        <v>5</v>
      </c>
      <c r="CK258" s="10">
        <v>6</v>
      </c>
      <c r="CL258" s="10">
        <v>4</v>
      </c>
      <c r="CM258" s="10">
        <v>5</v>
      </c>
      <c r="CN258" s="10">
        <v>8</v>
      </c>
      <c r="CO258" s="10">
        <v>10</v>
      </c>
      <c r="CP258" s="10">
        <v>8</v>
      </c>
      <c r="CQ258" s="10">
        <v>4</v>
      </c>
      <c r="CR258" s="10">
        <v>5</v>
      </c>
      <c r="CS258" s="10">
        <v>6</v>
      </c>
      <c r="CT258" s="10">
        <v>3</v>
      </c>
      <c r="CU258" s="10">
        <v>7</v>
      </c>
      <c r="CV258" s="10">
        <v>5</v>
      </c>
      <c r="CW258" s="10">
        <v>3</v>
      </c>
      <c r="CX258" s="10">
        <v>7</v>
      </c>
      <c r="CY258" s="10">
        <v>5</v>
      </c>
      <c r="CZ258" s="6"/>
      <c r="DA258" s="10">
        <v>3</v>
      </c>
      <c r="DB258" s="10">
        <v>2</v>
      </c>
      <c r="DC258" s="10">
        <v>7</v>
      </c>
      <c r="DD258" s="10">
        <v>4</v>
      </c>
      <c r="DE258" s="6"/>
      <c r="DF258" s="10">
        <v>2</v>
      </c>
      <c r="DG258" s="6"/>
      <c r="DH258" s="6"/>
      <c r="DI258" s="10">
        <v>3</v>
      </c>
      <c r="DJ258" s="10">
        <v>5</v>
      </c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</row>
    <row r="259" ht="15">
      <c r="A259" s="6" t="s">
        <v>1059</v>
      </c>
      <c r="B259" s="6">
        <f t="shared" si="70"/>
        <v>991</v>
      </c>
      <c r="C259" s="6"/>
      <c r="D259" s="10">
        <v>1</v>
      </c>
      <c r="E259" s="10"/>
      <c r="F259" s="10">
        <v>2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10">
        <v>1</v>
      </c>
      <c r="AW259" s="10">
        <v>1</v>
      </c>
      <c r="AX259" s="6"/>
      <c r="AY259" s="6"/>
      <c r="AZ259" s="6"/>
      <c r="BA259" s="6"/>
      <c r="BB259" s="10">
        <v>1</v>
      </c>
      <c r="BC259" s="6"/>
      <c r="BD259" s="10">
        <v>1</v>
      </c>
      <c r="BE259" s="10">
        <v>2</v>
      </c>
      <c r="BF259" s="10">
        <v>3</v>
      </c>
      <c r="BG259" s="10">
        <v>5</v>
      </c>
      <c r="BH259" s="10">
        <v>3</v>
      </c>
      <c r="BI259" s="10">
        <v>7</v>
      </c>
      <c r="BJ259" s="10">
        <v>5</v>
      </c>
      <c r="BK259" s="6"/>
      <c r="BL259" s="10">
        <v>10</v>
      </c>
      <c r="BM259" s="10">
        <v>3</v>
      </c>
      <c r="BN259" s="10">
        <v>18</v>
      </c>
      <c r="BO259" s="10">
        <v>27</v>
      </c>
      <c r="BP259" s="10">
        <v>24</v>
      </c>
      <c r="BQ259" s="10">
        <v>32</v>
      </c>
      <c r="BR259" s="10">
        <v>22</v>
      </c>
      <c r="BS259" s="10">
        <v>18</v>
      </c>
      <c r="BT259" s="10">
        <v>35</v>
      </c>
      <c r="BU259" s="10">
        <v>19</v>
      </c>
      <c r="BV259" s="10">
        <v>36</v>
      </c>
      <c r="BW259" s="10">
        <v>24</v>
      </c>
      <c r="BX259" s="10">
        <v>35</v>
      </c>
      <c r="BY259" s="10">
        <v>26</v>
      </c>
      <c r="BZ259" s="10">
        <v>16</v>
      </c>
      <c r="CA259" s="10">
        <v>45</v>
      </c>
      <c r="CB259" s="10">
        <v>32</v>
      </c>
      <c r="CC259" s="10">
        <v>330</v>
      </c>
      <c r="CD259" s="10">
        <v>44</v>
      </c>
      <c r="CE259" s="10">
        <v>39</v>
      </c>
      <c r="CF259" s="10">
        <v>124</v>
      </c>
      <c r="CG259" s="10">
        <v>76</v>
      </c>
      <c r="CH259" s="10">
        <v>42</v>
      </c>
      <c r="CI259" s="10">
        <v>28</v>
      </c>
      <c r="CJ259" s="10">
        <v>22</v>
      </c>
      <c r="CK259" s="10">
        <v>32</v>
      </c>
      <c r="CL259" s="10">
        <v>61</v>
      </c>
      <c r="CM259" s="10">
        <v>29</v>
      </c>
      <c r="CN259" s="10">
        <v>33</v>
      </c>
      <c r="CO259" s="10">
        <v>44</v>
      </c>
      <c r="CP259" s="10">
        <v>42</v>
      </c>
      <c r="CQ259" s="10">
        <v>42</v>
      </c>
      <c r="CR259" s="10">
        <v>25</v>
      </c>
      <c r="CS259" s="10">
        <v>18</v>
      </c>
      <c r="CT259" s="10">
        <v>7</v>
      </c>
      <c r="CU259" s="10">
        <v>8</v>
      </c>
      <c r="CV259" s="10">
        <v>12</v>
      </c>
      <c r="CW259" s="10">
        <v>14</v>
      </c>
      <c r="CX259" s="10">
        <v>4</v>
      </c>
      <c r="CY259" s="10">
        <v>5</v>
      </c>
      <c r="CZ259" s="10">
        <v>4</v>
      </c>
      <c r="DA259" s="10">
        <v>2</v>
      </c>
      <c r="DB259" s="6"/>
      <c r="DC259" s="10">
        <v>1</v>
      </c>
      <c r="DD259" s="10">
        <v>3</v>
      </c>
      <c r="DE259" s="6"/>
      <c r="DF259" s="10">
        <v>1</v>
      </c>
      <c r="DG259" s="6"/>
      <c r="DH259" s="10">
        <v>2</v>
      </c>
      <c r="DI259" s="10">
        <v>2</v>
      </c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</row>
    <row r="260" ht="15">
      <c r="A260" s="6" t="s">
        <v>1063</v>
      </c>
      <c r="B260" s="6">
        <f t="shared" si="70"/>
        <v>448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10">
        <v>2</v>
      </c>
      <c r="BN260" s="10">
        <v>1</v>
      </c>
      <c r="BO260" s="10">
        <v>9</v>
      </c>
      <c r="BP260" s="10">
        <v>9</v>
      </c>
      <c r="BQ260" s="10">
        <v>12</v>
      </c>
      <c r="BR260" s="10">
        <v>5</v>
      </c>
      <c r="BS260" s="10">
        <v>9</v>
      </c>
      <c r="BT260" s="10">
        <v>44</v>
      </c>
      <c r="BU260" s="10">
        <v>25</v>
      </c>
      <c r="BV260" s="10">
        <v>25</v>
      </c>
      <c r="BW260" s="10">
        <v>16</v>
      </c>
      <c r="BX260" s="10">
        <v>37</v>
      </c>
      <c r="BY260" s="10">
        <v>59</v>
      </c>
      <c r="BZ260" s="10">
        <v>31</v>
      </c>
      <c r="CA260" s="10">
        <v>31</v>
      </c>
      <c r="CB260" s="10">
        <v>24</v>
      </c>
      <c r="CC260" s="10">
        <v>41</v>
      </c>
      <c r="CD260" s="10">
        <v>18</v>
      </c>
      <c r="CE260" s="10">
        <v>29</v>
      </c>
      <c r="CF260" s="10">
        <v>21</v>
      </c>
      <c r="CG260" s="10">
        <v>17</v>
      </c>
      <c r="CH260" s="10">
        <v>13</v>
      </c>
      <c r="CI260" s="10">
        <v>12</v>
      </c>
      <c r="CJ260" s="10">
        <v>11</v>
      </c>
      <c r="CK260" s="10">
        <v>6</v>
      </c>
      <c r="CL260" s="10">
        <v>8</v>
      </c>
      <c r="CM260" s="10">
        <v>17</v>
      </c>
      <c r="CN260" s="10">
        <v>6</v>
      </c>
      <c r="CO260" s="10">
        <v>12</v>
      </c>
      <c r="CP260" s="10">
        <v>12</v>
      </c>
      <c r="CQ260" s="10">
        <v>8</v>
      </c>
      <c r="CR260" s="10">
        <v>9</v>
      </c>
      <c r="CS260" s="10">
        <v>11</v>
      </c>
      <c r="CT260" s="10">
        <v>15</v>
      </c>
      <c r="CU260" s="10">
        <v>6</v>
      </c>
      <c r="CV260" s="10">
        <v>5</v>
      </c>
      <c r="CW260" s="10">
        <v>6</v>
      </c>
      <c r="CX260" s="10">
        <v>11</v>
      </c>
      <c r="CY260" s="10">
        <v>9</v>
      </c>
      <c r="CZ260" s="6"/>
      <c r="DA260" s="10">
        <v>1</v>
      </c>
      <c r="DB260" s="10">
        <v>7</v>
      </c>
      <c r="DC260" s="10">
        <v>1</v>
      </c>
      <c r="DD260" s="10">
        <v>1</v>
      </c>
      <c r="DE260" s="10">
        <v>5</v>
      </c>
      <c r="DF260" s="10">
        <v>3</v>
      </c>
      <c r="DG260" s="10">
        <v>3</v>
      </c>
      <c r="DH260" s="6"/>
      <c r="DI260" s="10">
        <v>1</v>
      </c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</row>
    <row r="261" ht="15">
      <c r="A261" s="6" t="s">
        <v>1067</v>
      </c>
      <c r="B261" s="6">
        <f t="shared" si="70"/>
        <v>106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10">
        <v>1</v>
      </c>
      <c r="AT261" s="10">
        <v>1</v>
      </c>
      <c r="AU261" s="10">
        <v>1</v>
      </c>
      <c r="AV261" s="10">
        <v>3</v>
      </c>
      <c r="AW261" s="10">
        <v>2</v>
      </c>
      <c r="AX261" s="6"/>
      <c r="AY261" s="6"/>
      <c r="AZ261" s="10">
        <v>2</v>
      </c>
      <c r="BA261" s="10">
        <v>2</v>
      </c>
      <c r="BB261" s="10">
        <v>3</v>
      </c>
      <c r="BC261" s="10">
        <v>2</v>
      </c>
      <c r="BD261" s="10">
        <v>1</v>
      </c>
      <c r="BE261" s="6"/>
      <c r="BF261" s="10">
        <v>1</v>
      </c>
      <c r="BG261" s="6"/>
      <c r="BH261" s="10">
        <v>3</v>
      </c>
      <c r="BI261" s="10">
        <v>1</v>
      </c>
      <c r="BJ261" s="6"/>
      <c r="BK261" s="10">
        <v>1</v>
      </c>
      <c r="BL261" s="10">
        <v>4</v>
      </c>
      <c r="BM261" s="10">
        <v>4</v>
      </c>
      <c r="BN261" s="6"/>
      <c r="BO261" s="6"/>
      <c r="BP261" s="10">
        <v>4</v>
      </c>
      <c r="BQ261" s="10">
        <v>1</v>
      </c>
      <c r="BR261" s="10">
        <v>3</v>
      </c>
      <c r="BS261" s="10">
        <v>1</v>
      </c>
      <c r="BT261" s="10">
        <v>1</v>
      </c>
      <c r="BU261" s="10">
        <v>6</v>
      </c>
      <c r="BV261" s="10">
        <v>8</v>
      </c>
      <c r="BW261" s="10">
        <v>9</v>
      </c>
      <c r="BX261" s="10">
        <v>2</v>
      </c>
      <c r="BY261" s="10">
        <v>2</v>
      </c>
      <c r="BZ261" s="10">
        <v>9</v>
      </c>
      <c r="CA261" s="10">
        <v>9</v>
      </c>
      <c r="CB261" s="10">
        <v>5</v>
      </c>
      <c r="CC261" s="10">
        <v>1</v>
      </c>
      <c r="CD261" s="10">
        <v>2</v>
      </c>
      <c r="CE261" s="10">
        <v>9</v>
      </c>
      <c r="CF261" s="10">
        <v>2</v>
      </c>
      <c r="CG261" s="10">
        <v>6</v>
      </c>
      <c r="CH261" s="10">
        <v>6</v>
      </c>
      <c r="CI261" s="10">
        <v>1</v>
      </c>
      <c r="CJ261" s="6"/>
      <c r="CK261" s="10">
        <v>1</v>
      </c>
      <c r="CL261" s="10">
        <v>3</v>
      </c>
      <c r="CM261" s="10">
        <v>3</v>
      </c>
      <c r="CN261" s="10">
        <v>1</v>
      </c>
      <c r="CO261" s="10">
        <v>1</v>
      </c>
      <c r="CP261" s="10">
        <v>2</v>
      </c>
      <c r="CQ261" s="10">
        <v>1</v>
      </c>
      <c r="CR261" s="10">
        <v>4</v>
      </c>
      <c r="CS261" s="10">
        <v>1</v>
      </c>
      <c r="CT261" s="10">
        <v>2</v>
      </c>
      <c r="CU261" s="10">
        <v>2</v>
      </c>
      <c r="CV261" s="10">
        <v>3</v>
      </c>
      <c r="CW261" s="10">
        <v>4</v>
      </c>
      <c r="CX261" s="10">
        <v>2</v>
      </c>
      <c r="CY261" s="10">
        <v>7</v>
      </c>
      <c r="CZ261" s="10">
        <v>3</v>
      </c>
      <c r="DA261" s="10">
        <v>5</v>
      </c>
      <c r="DB261" s="10">
        <v>2</v>
      </c>
      <c r="DC261" s="10">
        <v>2</v>
      </c>
      <c r="DD261" s="6"/>
      <c r="DE261" s="10">
        <v>2</v>
      </c>
      <c r="DF261" s="10">
        <v>3</v>
      </c>
      <c r="DG261" s="6"/>
      <c r="DH261" s="10">
        <v>1</v>
      </c>
      <c r="DI261" s="10">
        <v>1</v>
      </c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10">
        <v>1</v>
      </c>
      <c r="EH261" s="10"/>
      <c r="EI261" s="10"/>
      <c r="EJ261" s="10"/>
      <c r="EK261" s="10"/>
      <c r="EL261" s="10"/>
    </row>
    <row r="262" ht="15">
      <c r="A262" s="6" t="s">
        <v>1071</v>
      </c>
      <c r="B262" s="6">
        <f t="shared" si="70"/>
        <v>101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10">
        <v>2</v>
      </c>
      <c r="BE262" s="6"/>
      <c r="BF262" s="6"/>
      <c r="BG262" s="10">
        <v>3</v>
      </c>
      <c r="BH262" s="6"/>
      <c r="BI262" s="6"/>
      <c r="BJ262" s="6"/>
      <c r="BK262" s="10">
        <v>1</v>
      </c>
      <c r="BL262" s="10">
        <v>2</v>
      </c>
      <c r="BM262" s="10">
        <v>9</v>
      </c>
      <c r="BN262" s="10">
        <v>1</v>
      </c>
      <c r="BO262" s="10">
        <v>5</v>
      </c>
      <c r="BP262" s="10">
        <v>1</v>
      </c>
      <c r="BQ262" s="6"/>
      <c r="BR262" s="10">
        <v>2</v>
      </c>
      <c r="BS262" s="10">
        <v>3</v>
      </c>
      <c r="BT262" s="10">
        <v>3</v>
      </c>
      <c r="BU262" s="10">
        <v>2</v>
      </c>
      <c r="BV262" s="10">
        <v>1</v>
      </c>
      <c r="BW262" s="10">
        <v>11</v>
      </c>
      <c r="BX262" s="10">
        <v>14</v>
      </c>
      <c r="BY262" s="10">
        <v>2</v>
      </c>
      <c r="BZ262" s="10">
        <v>4</v>
      </c>
      <c r="CA262" s="10">
        <v>5</v>
      </c>
      <c r="CB262" s="10">
        <v>6</v>
      </c>
      <c r="CC262" s="10">
        <v>6</v>
      </c>
      <c r="CD262" s="10">
        <v>12</v>
      </c>
      <c r="CE262" s="10">
        <v>1</v>
      </c>
      <c r="CF262" s="10">
        <v>5</v>
      </c>
      <c r="CG262" s="10">
        <v>4</v>
      </c>
      <c r="CH262" s="10">
        <v>10</v>
      </c>
      <c r="CI262" s="10">
        <v>6</v>
      </c>
      <c r="CJ262" s="10">
        <v>3</v>
      </c>
      <c r="CK262" s="6"/>
      <c r="CL262" s="10">
        <v>3</v>
      </c>
      <c r="CM262" s="10">
        <v>4</v>
      </c>
      <c r="CN262" s="6"/>
      <c r="CO262" s="10">
        <v>3</v>
      </c>
      <c r="CP262" s="6"/>
      <c r="CQ262" s="10">
        <v>2</v>
      </c>
      <c r="CR262" s="10">
        <v>1</v>
      </c>
      <c r="CS262" s="10">
        <v>2</v>
      </c>
      <c r="CT262" s="10">
        <v>1</v>
      </c>
      <c r="CU262" s="10">
        <v>3</v>
      </c>
      <c r="CV262" s="10">
        <v>2</v>
      </c>
      <c r="CW262" s="10">
        <v>8</v>
      </c>
      <c r="CX262" s="10">
        <v>11</v>
      </c>
      <c r="CY262" s="10">
        <v>7</v>
      </c>
      <c r="CZ262" s="10">
        <v>5</v>
      </c>
      <c r="DA262" s="10">
        <v>2</v>
      </c>
      <c r="DB262" s="10">
        <v>3</v>
      </c>
      <c r="DC262" s="10">
        <v>4</v>
      </c>
      <c r="DD262" s="10">
        <v>5</v>
      </c>
      <c r="DE262" s="10">
        <v>6</v>
      </c>
      <c r="DF262" s="10">
        <v>5</v>
      </c>
      <c r="DG262" s="10">
        <v>4</v>
      </c>
      <c r="DH262" s="6"/>
      <c r="DI262" s="6"/>
      <c r="DJ262" s="10">
        <v>1</v>
      </c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</row>
    <row r="263" ht="15">
      <c r="A263" s="6" t="s">
        <v>1075</v>
      </c>
      <c r="B263" s="6">
        <f t="shared" si="70"/>
        <v>554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10">
        <v>1</v>
      </c>
      <c r="BD263" s="6"/>
      <c r="BE263" s="6"/>
      <c r="BF263" s="10">
        <v>9</v>
      </c>
      <c r="BG263" s="10">
        <v>8</v>
      </c>
      <c r="BH263" s="10">
        <v>7</v>
      </c>
      <c r="BI263" s="10">
        <v>11</v>
      </c>
      <c r="BJ263" s="10">
        <v>5</v>
      </c>
      <c r="BK263" s="10">
        <v>26</v>
      </c>
      <c r="BL263" s="10">
        <v>27</v>
      </c>
      <c r="BM263" s="10">
        <v>11</v>
      </c>
      <c r="BN263" s="10">
        <v>28</v>
      </c>
      <c r="BO263" s="10">
        <v>18</v>
      </c>
      <c r="BP263" s="10">
        <v>25</v>
      </c>
      <c r="BQ263" s="10">
        <v>26</v>
      </c>
      <c r="BR263" s="10">
        <v>26</v>
      </c>
      <c r="BS263" s="10">
        <v>21</v>
      </c>
      <c r="BT263" s="10">
        <v>11</v>
      </c>
      <c r="BU263" s="10">
        <v>18</v>
      </c>
      <c r="BV263" s="10">
        <v>31</v>
      </c>
      <c r="BW263" s="10">
        <v>19</v>
      </c>
      <c r="BX263" s="10">
        <v>24</v>
      </c>
      <c r="BY263" s="10">
        <v>26</v>
      </c>
      <c r="BZ263" s="10">
        <v>23</v>
      </c>
      <c r="CA263" s="10">
        <v>23</v>
      </c>
      <c r="CB263" s="10">
        <v>22</v>
      </c>
      <c r="CC263" s="10">
        <v>32</v>
      </c>
      <c r="CD263" s="10">
        <v>15</v>
      </c>
      <c r="CE263" s="10">
        <v>33</v>
      </c>
      <c r="CF263" s="10">
        <v>28</v>
      </c>
      <c r="CG263" s="10">
        <v>27</v>
      </c>
      <c r="CH263" s="10">
        <v>28</v>
      </c>
      <c r="CI263" s="10">
        <v>33</v>
      </c>
      <c r="CJ263" s="10">
        <v>40</v>
      </c>
      <c r="CK263" s="10">
        <v>18</v>
      </c>
      <c r="CL263" s="10">
        <v>23</v>
      </c>
      <c r="CM263" s="10">
        <v>21</v>
      </c>
      <c r="CN263" s="10">
        <v>22</v>
      </c>
      <c r="CO263" s="10">
        <v>19</v>
      </c>
      <c r="CP263" s="10">
        <v>13</v>
      </c>
      <c r="CQ263" s="10">
        <v>8</v>
      </c>
      <c r="CR263" s="10">
        <v>18</v>
      </c>
      <c r="CS263" s="10">
        <v>5</v>
      </c>
      <c r="CT263" s="10">
        <v>7</v>
      </c>
      <c r="CU263" s="10">
        <v>6</v>
      </c>
      <c r="CV263" s="10">
        <v>4</v>
      </c>
      <c r="CW263" s="10">
        <v>7</v>
      </c>
      <c r="CX263" s="10">
        <v>6</v>
      </c>
      <c r="CY263" s="10">
        <v>6</v>
      </c>
      <c r="CZ263" s="10">
        <v>2</v>
      </c>
      <c r="DA263" s="10">
        <v>3</v>
      </c>
      <c r="DB263" s="10">
        <v>7</v>
      </c>
      <c r="DC263" s="10">
        <v>3</v>
      </c>
      <c r="DD263" s="10">
        <v>4</v>
      </c>
      <c r="DE263" s="10">
        <v>6</v>
      </c>
      <c r="DF263" s="10">
        <v>2</v>
      </c>
      <c r="DG263" s="10">
        <v>2</v>
      </c>
      <c r="DH263" s="10">
        <v>4</v>
      </c>
      <c r="DI263" s="10">
        <v>1</v>
      </c>
      <c r="DJ263" s="10">
        <v>1</v>
      </c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</row>
    <row r="264" ht="15">
      <c r="A264" s="6" t="s">
        <v>1079</v>
      </c>
      <c r="B264" s="6">
        <f t="shared" si="70"/>
        <v>2280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10">
        <v>7</v>
      </c>
      <c r="AP264" s="10">
        <v>1</v>
      </c>
      <c r="AQ264" s="6"/>
      <c r="AR264" s="10">
        <v>1</v>
      </c>
      <c r="AS264" s="10">
        <v>1</v>
      </c>
      <c r="AT264" s="10">
        <v>1</v>
      </c>
      <c r="AU264" s="10">
        <v>1</v>
      </c>
      <c r="AV264" s="10">
        <v>3</v>
      </c>
      <c r="AW264" s="6"/>
      <c r="AX264" s="6"/>
      <c r="AY264" s="10">
        <v>1</v>
      </c>
      <c r="AZ264" s="6"/>
      <c r="BA264" s="10">
        <v>1</v>
      </c>
      <c r="BB264" s="10">
        <v>3</v>
      </c>
      <c r="BC264" s="10">
        <v>1</v>
      </c>
      <c r="BD264" s="10">
        <v>4</v>
      </c>
      <c r="BE264" s="10">
        <v>5</v>
      </c>
      <c r="BF264" s="10">
        <v>11</v>
      </c>
      <c r="BG264" s="10">
        <v>5</v>
      </c>
      <c r="BH264" s="10">
        <v>11</v>
      </c>
      <c r="BI264" s="10">
        <v>3</v>
      </c>
      <c r="BJ264" s="10">
        <v>15</v>
      </c>
      <c r="BK264" s="10">
        <v>13</v>
      </c>
      <c r="BL264" s="10">
        <v>16</v>
      </c>
      <c r="BM264" s="10">
        <v>19</v>
      </c>
      <c r="BN264" s="10">
        <v>50</v>
      </c>
      <c r="BO264" s="10">
        <v>46</v>
      </c>
      <c r="BP264" s="10">
        <v>68</v>
      </c>
      <c r="BQ264" s="10">
        <v>49</v>
      </c>
      <c r="BR264" s="10">
        <v>26</v>
      </c>
      <c r="BS264" s="10">
        <v>38</v>
      </c>
      <c r="BT264" s="10">
        <v>50</v>
      </c>
      <c r="BU264" s="10">
        <v>42</v>
      </c>
      <c r="BV264" s="10">
        <v>121</v>
      </c>
      <c r="BW264" s="10">
        <v>110</v>
      </c>
      <c r="BX264" s="10">
        <v>128</v>
      </c>
      <c r="BY264" s="10">
        <v>201</v>
      </c>
      <c r="BZ264" s="10">
        <v>196</v>
      </c>
      <c r="CA264" s="10">
        <v>142</v>
      </c>
      <c r="CB264" s="10">
        <v>133</v>
      </c>
      <c r="CC264" s="10">
        <v>243</v>
      </c>
      <c r="CD264" s="10">
        <v>177</v>
      </c>
      <c r="CE264" s="10">
        <v>197</v>
      </c>
      <c r="CF264" s="10">
        <v>140</v>
      </c>
      <c r="CG264" s="10">
        <v>130</v>
      </c>
      <c r="CH264" s="10">
        <v>256</v>
      </c>
      <c r="CI264" s="10">
        <v>254</v>
      </c>
      <c r="CJ264" s="10">
        <v>216</v>
      </c>
      <c r="CK264" s="10">
        <v>187</v>
      </c>
      <c r="CL264" s="10">
        <v>175</v>
      </c>
      <c r="CM264" s="10">
        <v>155</v>
      </c>
      <c r="CN264" s="10">
        <v>77</v>
      </c>
      <c r="CO264" s="10">
        <v>427</v>
      </c>
      <c r="CP264" s="10">
        <v>164</v>
      </c>
      <c r="CQ264" s="10">
        <v>210</v>
      </c>
      <c r="CR264" s="10">
        <v>261</v>
      </c>
      <c r="CS264" s="10">
        <v>171</v>
      </c>
      <c r="CT264" s="10">
        <v>123</v>
      </c>
      <c r="CU264" s="10">
        <v>91</v>
      </c>
      <c r="CV264" s="10">
        <v>45</v>
      </c>
      <c r="CW264" s="10">
        <v>45</v>
      </c>
      <c r="CX264" s="10">
        <v>26</v>
      </c>
      <c r="CY264" s="10">
        <v>16</v>
      </c>
      <c r="CZ264" s="10">
        <v>13</v>
      </c>
      <c r="DA264" s="10">
        <v>14</v>
      </c>
      <c r="DB264" s="10">
        <v>14</v>
      </c>
      <c r="DC264" s="10">
        <v>12</v>
      </c>
      <c r="DD264" s="10">
        <v>13</v>
      </c>
      <c r="DE264" s="10">
        <v>3</v>
      </c>
      <c r="DF264" s="10">
        <v>18</v>
      </c>
      <c r="DG264" s="10">
        <v>34</v>
      </c>
      <c r="DH264" s="10">
        <v>19</v>
      </c>
      <c r="DI264" s="10">
        <v>13</v>
      </c>
      <c r="DJ264" s="10">
        <v>6</v>
      </c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</row>
    <row r="265" ht="15">
      <c r="A265" s="6" t="s">
        <v>1083</v>
      </c>
      <c r="B265" s="6">
        <f t="shared" si="70"/>
        <v>24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10">
        <v>1</v>
      </c>
      <c r="BC265" s="10">
        <v>1</v>
      </c>
      <c r="BD265" s="10">
        <v>1</v>
      </c>
      <c r="BE265" s="10">
        <v>1</v>
      </c>
      <c r="BF265" s="10">
        <v>1</v>
      </c>
      <c r="BG265" s="10">
        <v>2</v>
      </c>
      <c r="BH265" s="10">
        <v>1</v>
      </c>
      <c r="BI265" s="6"/>
      <c r="BJ265" s="10">
        <v>1</v>
      </c>
      <c r="BK265" s="6"/>
      <c r="BL265" s="6"/>
      <c r="BM265" s="6"/>
      <c r="BN265" s="10">
        <v>13</v>
      </c>
      <c r="BO265" s="6"/>
      <c r="BP265" s="6"/>
      <c r="BQ265" s="6"/>
      <c r="BR265" s="6"/>
      <c r="BS265" s="6"/>
      <c r="BT265" s="6"/>
      <c r="BU265" s="6"/>
      <c r="BV265" s="6"/>
      <c r="BW265" s="10">
        <v>1</v>
      </c>
      <c r="BX265" s="6"/>
      <c r="BY265" s="6"/>
      <c r="BZ265" s="10">
        <v>1</v>
      </c>
      <c r="CA265" s="6"/>
      <c r="CB265" s="6"/>
      <c r="CC265" s="6"/>
      <c r="CD265" s="6"/>
      <c r="CE265" s="6"/>
      <c r="CF265" s="6"/>
      <c r="CG265" s="6"/>
      <c r="CH265" s="10">
        <v>1</v>
      </c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</row>
    <row r="266" ht="15">
      <c r="A266" s="6" t="s">
        <v>1087</v>
      </c>
      <c r="B266" s="6">
        <f t="shared" si="70"/>
        <v>257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10">
        <v>4</v>
      </c>
      <c r="BF266" s="6"/>
      <c r="BG266" s="10">
        <v>1</v>
      </c>
      <c r="BH266" s="10">
        <v>2</v>
      </c>
      <c r="BI266" s="10">
        <v>15</v>
      </c>
      <c r="BJ266" s="10">
        <v>1</v>
      </c>
      <c r="BK266" s="10">
        <v>2</v>
      </c>
      <c r="BL266" s="10">
        <v>3</v>
      </c>
      <c r="BM266" s="6"/>
      <c r="BN266" s="10">
        <v>1</v>
      </c>
      <c r="BO266" s="10">
        <v>4</v>
      </c>
      <c r="BP266" s="10">
        <v>4</v>
      </c>
      <c r="BQ266" s="10">
        <v>7</v>
      </c>
      <c r="BR266" s="10">
        <v>10</v>
      </c>
      <c r="BS266" s="10">
        <v>2</v>
      </c>
      <c r="BT266" s="10">
        <v>14</v>
      </c>
      <c r="BU266" s="10">
        <v>9</v>
      </c>
      <c r="BV266" s="10">
        <v>15</v>
      </c>
      <c r="BW266" s="10">
        <v>11</v>
      </c>
      <c r="BX266" s="10">
        <v>15</v>
      </c>
      <c r="BY266" s="10">
        <v>13</v>
      </c>
      <c r="BZ266" s="10">
        <v>11</v>
      </c>
      <c r="CA266" s="10">
        <v>14</v>
      </c>
      <c r="CB266" s="10">
        <v>14</v>
      </c>
      <c r="CC266" s="10">
        <v>16</v>
      </c>
      <c r="CD266" s="10">
        <v>26</v>
      </c>
      <c r="CE266" s="10">
        <v>24</v>
      </c>
      <c r="CF266" s="10">
        <v>19</v>
      </c>
      <c r="CG266" s="10">
        <v>23</v>
      </c>
      <c r="CH266" s="10">
        <v>20</v>
      </c>
      <c r="CI266" s="10">
        <v>14</v>
      </c>
      <c r="CJ266" s="10">
        <v>11</v>
      </c>
      <c r="CK266" s="10">
        <v>9</v>
      </c>
      <c r="CL266" s="10">
        <v>8</v>
      </c>
      <c r="CM266" s="10">
        <v>11</v>
      </c>
      <c r="CN266" s="10">
        <v>2</v>
      </c>
      <c r="CO266" s="10">
        <v>9</v>
      </c>
      <c r="CP266" s="10">
        <v>6</v>
      </c>
      <c r="CQ266" s="10">
        <v>8</v>
      </c>
      <c r="CR266" s="10">
        <v>10</v>
      </c>
      <c r="CS266" s="10">
        <v>7</v>
      </c>
      <c r="CT266" s="10">
        <v>13</v>
      </c>
      <c r="CU266" s="10">
        <v>12</v>
      </c>
      <c r="CV266" s="10">
        <v>16</v>
      </c>
      <c r="CW266" s="10">
        <v>8</v>
      </c>
      <c r="CX266" s="10">
        <v>20</v>
      </c>
      <c r="CY266" s="10">
        <v>25</v>
      </c>
      <c r="CZ266" s="10">
        <v>24</v>
      </c>
      <c r="DA266" s="10">
        <v>3</v>
      </c>
      <c r="DB266" s="10">
        <v>4</v>
      </c>
      <c r="DC266" s="10">
        <v>2</v>
      </c>
      <c r="DD266" s="6"/>
      <c r="DE266" s="6"/>
      <c r="DF266" s="6"/>
      <c r="DG266" s="6"/>
      <c r="DH266" s="6"/>
      <c r="DI266" s="10">
        <v>3</v>
      </c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</row>
    <row r="267" ht="15">
      <c r="A267" s="6" t="s">
        <v>1091</v>
      </c>
      <c r="B267" s="6">
        <f t="shared" si="70"/>
        <v>1304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10">
        <v>3</v>
      </c>
      <c r="AW267" s="10">
        <v>1</v>
      </c>
      <c r="AX267" s="10">
        <v>1</v>
      </c>
      <c r="AY267" s="6"/>
      <c r="AZ267" s="10">
        <v>2</v>
      </c>
      <c r="BA267" s="10">
        <v>3</v>
      </c>
      <c r="BB267" s="10">
        <v>2</v>
      </c>
      <c r="BC267" s="10">
        <v>4</v>
      </c>
      <c r="BD267" s="10">
        <v>3</v>
      </c>
      <c r="BE267" s="10">
        <v>3</v>
      </c>
      <c r="BF267" s="10">
        <v>7</v>
      </c>
      <c r="BG267" s="10">
        <v>7</v>
      </c>
      <c r="BH267" s="10">
        <v>15</v>
      </c>
      <c r="BI267" s="10">
        <v>16</v>
      </c>
      <c r="BJ267" s="10">
        <v>26</v>
      </c>
      <c r="BK267" s="10">
        <v>49</v>
      </c>
      <c r="BL267" s="10">
        <v>40</v>
      </c>
      <c r="BM267" s="10">
        <v>34</v>
      </c>
      <c r="BN267" s="10">
        <v>68</v>
      </c>
      <c r="BO267" s="10">
        <v>54</v>
      </c>
      <c r="BP267" s="10">
        <v>41</v>
      </c>
      <c r="BQ267" s="10">
        <v>37</v>
      </c>
      <c r="BR267" s="10">
        <v>53</v>
      </c>
      <c r="BS267" s="10">
        <v>47</v>
      </c>
      <c r="BT267" s="10">
        <v>53</v>
      </c>
      <c r="BU267" s="10">
        <v>50</v>
      </c>
      <c r="BV267" s="10">
        <v>59</v>
      </c>
      <c r="BW267" s="10">
        <v>63</v>
      </c>
      <c r="BX267" s="10">
        <v>47</v>
      </c>
      <c r="BY267" s="10">
        <v>43</v>
      </c>
      <c r="BZ267" s="10">
        <v>81</v>
      </c>
      <c r="CA267" s="10">
        <v>70</v>
      </c>
      <c r="CB267" s="10">
        <v>62</v>
      </c>
      <c r="CC267" s="10">
        <v>87</v>
      </c>
      <c r="CD267" s="10">
        <v>111</v>
      </c>
      <c r="CE267" s="10">
        <v>37</v>
      </c>
      <c r="CF267" s="10">
        <v>25</v>
      </c>
      <c r="CG267" s="10">
        <v>37</v>
      </c>
      <c r="CH267" s="10">
        <v>41</v>
      </c>
      <c r="CI267" s="10">
        <v>17</v>
      </c>
      <c r="CJ267" s="10">
        <v>25</v>
      </c>
      <c r="CK267" s="10">
        <v>33</v>
      </c>
      <c r="CL267" s="10">
        <v>20</v>
      </c>
      <c r="CM267" s="10">
        <v>29</v>
      </c>
      <c r="CN267" s="10">
        <v>23</v>
      </c>
      <c r="CO267" s="10">
        <v>26</v>
      </c>
      <c r="CP267" s="10">
        <v>14</v>
      </c>
      <c r="CQ267" s="10">
        <v>32</v>
      </c>
      <c r="CR267" s="10">
        <v>18</v>
      </c>
      <c r="CS267" s="10">
        <v>14</v>
      </c>
      <c r="CT267" s="10">
        <v>14</v>
      </c>
      <c r="CU267" s="10">
        <v>6</v>
      </c>
      <c r="CV267" s="10">
        <v>9</v>
      </c>
      <c r="CW267" s="10">
        <v>6</v>
      </c>
      <c r="CX267" s="10">
        <v>5</v>
      </c>
      <c r="CY267" s="10">
        <v>5</v>
      </c>
      <c r="CZ267" s="10">
        <v>1</v>
      </c>
      <c r="DA267" s="10">
        <v>3</v>
      </c>
      <c r="DB267" s="10">
        <v>1</v>
      </c>
      <c r="DC267" s="10">
        <v>1</v>
      </c>
      <c r="DD267" s="10">
        <v>1</v>
      </c>
      <c r="DE267" s="10">
        <v>7</v>
      </c>
      <c r="DF267" s="10">
        <v>3</v>
      </c>
      <c r="DG267" s="10">
        <v>3</v>
      </c>
      <c r="DH267" s="10">
        <v>3</v>
      </c>
      <c r="DI267" s="10">
        <v>1</v>
      </c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10">
        <v>4</v>
      </c>
      <c r="EH267" s="10"/>
      <c r="EI267" s="10"/>
      <c r="EJ267" s="10"/>
      <c r="EK267" s="10"/>
      <c r="EL267" s="10"/>
    </row>
    <row r="268" ht="15">
      <c r="A268" s="6" t="s">
        <v>1095</v>
      </c>
      <c r="B268" s="6">
        <f t="shared" si="70"/>
        <v>811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10">
        <v>2</v>
      </c>
      <c r="BH268" s="10">
        <v>1</v>
      </c>
      <c r="BI268" s="10">
        <v>16</v>
      </c>
      <c r="BJ268" s="10">
        <v>29</v>
      </c>
      <c r="BK268" s="10">
        <v>31</v>
      </c>
      <c r="BL268" s="10">
        <v>20</v>
      </c>
      <c r="BM268" s="10">
        <v>39</v>
      </c>
      <c r="BN268" s="10">
        <v>59</v>
      </c>
      <c r="BO268" s="10">
        <v>33</v>
      </c>
      <c r="BP268" s="10">
        <v>30</v>
      </c>
      <c r="BQ268" s="10">
        <v>29</v>
      </c>
      <c r="BR268" s="10">
        <v>24</v>
      </c>
      <c r="BS268" s="10">
        <v>31</v>
      </c>
      <c r="BT268" s="10">
        <v>46</v>
      </c>
      <c r="BU268" s="10">
        <v>41</v>
      </c>
      <c r="BV268" s="10">
        <v>29</v>
      </c>
      <c r="BW268" s="10">
        <v>24</v>
      </c>
      <c r="BX268" s="10">
        <v>23</v>
      </c>
      <c r="BY268" s="10">
        <v>21</v>
      </c>
      <c r="BZ268" s="10">
        <v>55</v>
      </c>
      <c r="CA268" s="10">
        <v>46</v>
      </c>
      <c r="CB268" s="10">
        <v>22</v>
      </c>
      <c r="CC268" s="10">
        <v>39</v>
      </c>
      <c r="CD268" s="10">
        <v>40</v>
      </c>
      <c r="CE268" s="10">
        <v>46</v>
      </c>
      <c r="CF268" s="10">
        <v>35</v>
      </c>
      <c r="CG268" s="10">
        <v>11</v>
      </c>
      <c r="CH268" s="10">
        <v>15</v>
      </c>
      <c r="CI268" s="10">
        <v>20</v>
      </c>
      <c r="CJ268" s="10">
        <v>14</v>
      </c>
      <c r="CK268" s="10">
        <v>10</v>
      </c>
      <c r="CL268" s="10">
        <v>13</v>
      </c>
      <c r="CM268" s="10">
        <v>6</v>
      </c>
      <c r="CN268" s="10">
        <v>5</v>
      </c>
      <c r="CO268" s="10">
        <v>4</v>
      </c>
      <c r="CP268" s="10">
        <v>7</v>
      </c>
      <c r="CQ268" s="10">
        <v>12</v>
      </c>
      <c r="CR268" s="10">
        <v>13</v>
      </c>
      <c r="CS268" s="10">
        <v>8</v>
      </c>
      <c r="CT268" s="10">
        <v>10</v>
      </c>
      <c r="CU268" s="10">
        <v>16</v>
      </c>
      <c r="CV268" s="10">
        <v>6</v>
      </c>
      <c r="CW268" s="10">
        <v>11</v>
      </c>
      <c r="CX268" s="10">
        <v>17</v>
      </c>
      <c r="CY268" s="10">
        <v>10</v>
      </c>
      <c r="CZ268" s="10">
        <v>8</v>
      </c>
      <c r="DA268" s="10">
        <v>6</v>
      </c>
      <c r="DB268" s="10">
        <v>2</v>
      </c>
      <c r="DC268" s="10">
        <v>9</v>
      </c>
      <c r="DD268" s="10">
        <v>6</v>
      </c>
      <c r="DE268" s="10">
        <v>5</v>
      </c>
      <c r="DF268" s="10">
        <v>7</v>
      </c>
      <c r="DG268" s="10">
        <v>3</v>
      </c>
      <c r="DH268" s="10">
        <v>3</v>
      </c>
      <c r="DI268" s="10">
        <v>1</v>
      </c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</row>
    <row r="269" ht="15">
      <c r="A269" s="6" t="s">
        <v>1099</v>
      </c>
      <c r="B269" s="6">
        <f t="shared" si="70"/>
        <v>226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10">
        <v>2</v>
      </c>
      <c r="BI269" s="6"/>
      <c r="BJ269" s="10">
        <v>2</v>
      </c>
      <c r="BK269" s="10">
        <v>1</v>
      </c>
      <c r="BL269" s="10">
        <v>1</v>
      </c>
      <c r="BM269" s="10">
        <v>1</v>
      </c>
      <c r="BN269" s="10">
        <v>1</v>
      </c>
      <c r="BO269" s="10">
        <v>2</v>
      </c>
      <c r="BP269" s="10">
        <v>1</v>
      </c>
      <c r="BQ269" s="10">
        <v>3</v>
      </c>
      <c r="BR269" s="10">
        <v>3</v>
      </c>
      <c r="BS269" s="10">
        <v>2</v>
      </c>
      <c r="BT269" s="10">
        <v>6</v>
      </c>
      <c r="BU269" s="10">
        <v>2</v>
      </c>
      <c r="BV269" s="10">
        <v>4</v>
      </c>
      <c r="BW269" s="10">
        <v>9</v>
      </c>
      <c r="BX269" s="10">
        <v>3</v>
      </c>
      <c r="BY269" s="10">
        <v>14</v>
      </c>
      <c r="BZ269" s="10">
        <v>17</v>
      </c>
      <c r="CA269" s="10">
        <v>13</v>
      </c>
      <c r="CB269" s="10">
        <v>16</v>
      </c>
      <c r="CC269" s="10">
        <v>15</v>
      </c>
      <c r="CD269" s="10">
        <v>37</v>
      </c>
      <c r="CE269" s="10">
        <v>41</v>
      </c>
      <c r="CF269" s="10">
        <v>30</v>
      </c>
      <c r="CG269" s="10">
        <v>50</v>
      </c>
      <c r="CH269" s="10">
        <v>45</v>
      </c>
      <c r="CI269" s="10">
        <v>29</v>
      </c>
      <c r="CJ269" s="10">
        <v>17</v>
      </c>
      <c r="CK269" s="10">
        <v>25</v>
      </c>
      <c r="CL269" s="10">
        <v>25</v>
      </c>
      <c r="CM269" s="10">
        <v>35</v>
      </c>
      <c r="CN269" s="10">
        <v>17</v>
      </c>
      <c r="CO269" s="10">
        <v>8</v>
      </c>
      <c r="CP269" s="10">
        <v>17</v>
      </c>
      <c r="CQ269" s="10">
        <v>15</v>
      </c>
      <c r="CR269" s="10">
        <v>28</v>
      </c>
      <c r="CS269" s="10">
        <v>18</v>
      </c>
      <c r="CT269" s="10">
        <v>8</v>
      </c>
      <c r="CU269" s="10">
        <v>5</v>
      </c>
      <c r="CV269" s="10">
        <v>6</v>
      </c>
      <c r="CW269" s="10">
        <v>6</v>
      </c>
      <c r="CX269" s="10">
        <v>12</v>
      </c>
      <c r="CY269" s="10">
        <v>7</v>
      </c>
      <c r="CZ269" s="10">
        <v>8</v>
      </c>
      <c r="DA269" s="10">
        <v>3</v>
      </c>
      <c r="DB269" s="10">
        <v>8</v>
      </c>
      <c r="DC269" s="10">
        <v>3</v>
      </c>
      <c r="DD269" s="10">
        <v>30</v>
      </c>
      <c r="DE269" s="10">
        <v>9</v>
      </c>
      <c r="DF269" s="10">
        <v>2</v>
      </c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</row>
    <row r="270" ht="15">
      <c r="A270" s="6" t="s">
        <v>1103</v>
      </c>
      <c r="B270" s="6">
        <f t="shared" si="70"/>
        <v>6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10">
        <v>1</v>
      </c>
      <c r="BP270" s="6"/>
      <c r="BQ270" s="6"/>
      <c r="BR270" s="6"/>
      <c r="BS270" s="6"/>
      <c r="BT270" s="6"/>
      <c r="BU270" s="6"/>
      <c r="BV270" s="6"/>
      <c r="BW270" s="6"/>
      <c r="BX270" s="6"/>
      <c r="BY270" s="10">
        <v>1</v>
      </c>
      <c r="BZ270" s="10">
        <v>1</v>
      </c>
      <c r="CA270" s="10">
        <v>1</v>
      </c>
      <c r="CB270" s="6"/>
      <c r="CC270" s="6"/>
      <c r="CD270" s="6"/>
      <c r="CE270" s="10">
        <v>1</v>
      </c>
      <c r="CF270" s="10">
        <v>1</v>
      </c>
      <c r="CG270" s="6"/>
      <c r="CH270" s="6"/>
      <c r="CI270" s="6"/>
      <c r="CJ270" s="6"/>
      <c r="CK270" s="10">
        <v>1</v>
      </c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10">
        <v>1</v>
      </c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</row>
    <row r="271" ht="15">
      <c r="A271" s="6" t="s">
        <v>1107</v>
      </c>
      <c r="B271" s="6">
        <f t="shared" si="70"/>
        <v>31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10">
        <v>1</v>
      </c>
      <c r="AZ271" s="6"/>
      <c r="BA271" s="10">
        <v>2</v>
      </c>
      <c r="BB271" s="10">
        <v>2</v>
      </c>
      <c r="BC271" s="6"/>
      <c r="BD271" s="6"/>
      <c r="BE271" s="10">
        <v>2</v>
      </c>
      <c r="BF271" s="10">
        <v>1</v>
      </c>
      <c r="BG271" s="10">
        <v>2</v>
      </c>
      <c r="BH271" s="10">
        <v>2</v>
      </c>
      <c r="BI271" s="10">
        <v>2</v>
      </c>
      <c r="BJ271" s="10">
        <v>2</v>
      </c>
      <c r="BK271" s="6"/>
      <c r="BL271" s="6"/>
      <c r="BM271" s="10">
        <v>2</v>
      </c>
      <c r="BN271" s="6"/>
      <c r="BO271" s="10">
        <v>2</v>
      </c>
      <c r="BP271" s="10">
        <v>5</v>
      </c>
      <c r="BQ271" s="10">
        <v>1</v>
      </c>
      <c r="BR271" s="10">
        <v>1</v>
      </c>
      <c r="BS271" s="10">
        <v>2</v>
      </c>
      <c r="BT271" s="6"/>
      <c r="BU271" s="6"/>
      <c r="BV271" s="6"/>
      <c r="BW271" s="6"/>
      <c r="BX271" s="10">
        <v>2</v>
      </c>
      <c r="BY271" s="6"/>
      <c r="BZ271" s="6"/>
      <c r="CA271" s="6"/>
      <c r="CB271" s="6"/>
      <c r="CC271" s="6"/>
      <c r="CD271" s="6"/>
      <c r="CE271" s="6"/>
      <c r="CF271" s="6"/>
      <c r="CG271" s="10">
        <v>2</v>
      </c>
      <c r="CH271" s="10">
        <v>1</v>
      </c>
      <c r="CI271" s="6"/>
      <c r="CJ271" s="6"/>
      <c r="CK271" s="10">
        <v>1</v>
      </c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10">
        <v>1</v>
      </c>
      <c r="CZ271" s="6"/>
      <c r="DA271" s="6"/>
      <c r="DB271" s="6"/>
      <c r="DC271" s="6"/>
      <c r="DD271" s="6"/>
      <c r="DE271" s="6"/>
      <c r="DF271" s="6"/>
      <c r="DG271" s="6"/>
      <c r="DH271" s="10">
        <v>1</v>
      </c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</row>
    <row r="272" ht="15">
      <c r="A272" s="6" t="s">
        <v>1111</v>
      </c>
      <c r="B272" s="6">
        <f t="shared" si="70"/>
        <v>351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10">
        <v>1</v>
      </c>
      <c r="BJ272" s="10">
        <v>5</v>
      </c>
      <c r="BK272" s="10">
        <v>6</v>
      </c>
      <c r="BL272" s="10">
        <v>5</v>
      </c>
      <c r="BM272" s="10">
        <v>4</v>
      </c>
      <c r="BN272" s="10">
        <v>8</v>
      </c>
      <c r="BO272" s="10">
        <v>4</v>
      </c>
      <c r="BP272" s="10">
        <v>20</v>
      </c>
      <c r="BQ272" s="10">
        <v>12</v>
      </c>
      <c r="BR272" s="10">
        <v>8</v>
      </c>
      <c r="BS272" s="10">
        <v>10</v>
      </c>
      <c r="BT272" s="10">
        <v>18</v>
      </c>
      <c r="BU272" s="10">
        <v>20</v>
      </c>
      <c r="BV272" s="10">
        <v>15</v>
      </c>
      <c r="BW272" s="10">
        <v>11</v>
      </c>
      <c r="BX272" s="10">
        <v>14</v>
      </c>
      <c r="BY272" s="10">
        <v>11</v>
      </c>
      <c r="BZ272" s="10">
        <v>44</v>
      </c>
      <c r="CA272" s="10">
        <v>19</v>
      </c>
      <c r="CB272" s="10">
        <v>19</v>
      </c>
      <c r="CC272" s="10">
        <v>24</v>
      </c>
      <c r="CD272" s="10">
        <v>27</v>
      </c>
      <c r="CE272" s="10">
        <v>39</v>
      </c>
      <c r="CF272" s="10">
        <v>7</v>
      </c>
      <c r="CG272" s="10">
        <v>9</v>
      </c>
      <c r="CH272" s="10">
        <v>13</v>
      </c>
      <c r="CI272" s="10">
        <v>7</v>
      </c>
      <c r="CJ272" s="10">
        <v>7</v>
      </c>
      <c r="CK272" s="10">
        <v>6</v>
      </c>
      <c r="CL272" s="10">
        <v>8</v>
      </c>
      <c r="CM272" s="10">
        <v>9</v>
      </c>
      <c r="CN272" s="10">
        <v>6</v>
      </c>
      <c r="CO272" s="10">
        <v>11</v>
      </c>
      <c r="CP272" s="10">
        <v>15</v>
      </c>
      <c r="CQ272" s="10">
        <v>3</v>
      </c>
      <c r="CR272" s="10">
        <v>3</v>
      </c>
      <c r="CS272" s="10">
        <v>1</v>
      </c>
      <c r="CT272" s="10">
        <v>2</v>
      </c>
      <c r="CU272" s="10">
        <v>5</v>
      </c>
      <c r="CV272" s="10">
        <v>1</v>
      </c>
      <c r="CW272" s="10">
        <v>9</v>
      </c>
      <c r="CX272" s="10">
        <v>14</v>
      </c>
      <c r="CY272" s="10">
        <v>3</v>
      </c>
      <c r="CZ272" s="10">
        <v>8</v>
      </c>
      <c r="DA272" s="6"/>
      <c r="DB272" s="6"/>
      <c r="DC272" s="6"/>
      <c r="DD272" s="10">
        <v>2</v>
      </c>
      <c r="DE272" s="6"/>
      <c r="DF272" s="6"/>
      <c r="DG272" s="6"/>
      <c r="DH272" s="6"/>
      <c r="DI272" s="10">
        <v>1</v>
      </c>
      <c r="DJ272" s="10">
        <v>1</v>
      </c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10">
        <v>1</v>
      </c>
      <c r="EH272" s="10"/>
      <c r="EI272" s="10"/>
      <c r="EJ272" s="10"/>
      <c r="EK272" s="10"/>
      <c r="EL272" s="10"/>
    </row>
    <row r="273" ht="15">
      <c r="A273" s="6" t="s">
        <v>1115</v>
      </c>
      <c r="B273" s="6">
        <f t="shared" si="70"/>
        <v>256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10">
        <v>1</v>
      </c>
      <c r="BL273" s="10">
        <v>2</v>
      </c>
      <c r="BM273" s="10">
        <v>4</v>
      </c>
      <c r="BN273" s="10">
        <v>8</v>
      </c>
      <c r="BO273" s="10">
        <v>4</v>
      </c>
      <c r="BP273" s="10">
        <v>8</v>
      </c>
      <c r="BQ273" s="10">
        <v>13</v>
      </c>
      <c r="BR273" s="10">
        <v>15</v>
      </c>
      <c r="BS273" s="10">
        <v>11</v>
      </c>
      <c r="BT273" s="10">
        <v>10</v>
      </c>
      <c r="BU273" s="10">
        <v>12</v>
      </c>
      <c r="BV273" s="10">
        <v>8</v>
      </c>
      <c r="BW273" s="10">
        <v>12</v>
      </c>
      <c r="BX273" s="10">
        <v>16</v>
      </c>
      <c r="BY273" s="10">
        <v>17</v>
      </c>
      <c r="BZ273" s="10">
        <v>17</v>
      </c>
      <c r="CA273" s="10">
        <v>13</v>
      </c>
      <c r="CB273" s="10">
        <v>19</v>
      </c>
      <c r="CC273" s="10">
        <v>23</v>
      </c>
      <c r="CD273" s="10">
        <v>19</v>
      </c>
      <c r="CE273" s="10">
        <v>14</v>
      </c>
      <c r="CF273" s="10">
        <v>10</v>
      </c>
      <c r="CG273" s="10">
        <v>8</v>
      </c>
      <c r="CH273" s="10">
        <v>12</v>
      </c>
      <c r="CI273" s="10">
        <v>3</v>
      </c>
      <c r="CJ273" s="10">
        <v>4</v>
      </c>
      <c r="CK273" s="10">
        <v>2</v>
      </c>
      <c r="CL273" s="10">
        <v>7</v>
      </c>
      <c r="CM273" s="10">
        <v>4</v>
      </c>
      <c r="CN273" s="10">
        <v>1</v>
      </c>
      <c r="CO273" s="10">
        <v>1</v>
      </c>
      <c r="CP273" s="10">
        <v>8</v>
      </c>
      <c r="CQ273" s="10">
        <v>2</v>
      </c>
      <c r="CR273" s="10">
        <v>3</v>
      </c>
      <c r="CS273" s="10">
        <v>6</v>
      </c>
      <c r="CT273" s="10">
        <v>9</v>
      </c>
      <c r="CU273" s="10">
        <v>4</v>
      </c>
      <c r="CV273" s="10">
        <v>3</v>
      </c>
      <c r="CW273" s="10">
        <v>5</v>
      </c>
      <c r="CX273" s="10">
        <v>1</v>
      </c>
      <c r="CY273" s="10">
        <v>6</v>
      </c>
      <c r="CZ273" s="10">
        <v>1</v>
      </c>
      <c r="DA273" s="6"/>
      <c r="DB273" s="6"/>
      <c r="DC273" s="10">
        <v>3</v>
      </c>
      <c r="DD273" s="10">
        <v>6</v>
      </c>
      <c r="DE273" s="10">
        <v>3</v>
      </c>
      <c r="DF273" s="10">
        <v>2</v>
      </c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10">
        <v>1</v>
      </c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</row>
    <row r="274" ht="15">
      <c r="A274" s="6" t="s">
        <v>1119</v>
      </c>
      <c r="B274" s="6">
        <f t="shared" si="70"/>
        <v>336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10">
        <v>1</v>
      </c>
      <c r="BI274" s="10">
        <v>5</v>
      </c>
      <c r="BJ274" s="10">
        <v>4</v>
      </c>
      <c r="BK274" s="10">
        <v>3</v>
      </c>
      <c r="BL274" s="10">
        <v>3</v>
      </c>
      <c r="BM274" s="10">
        <v>5</v>
      </c>
      <c r="BN274" s="10">
        <v>10</v>
      </c>
      <c r="BO274" s="10">
        <v>7</v>
      </c>
      <c r="BP274" s="10">
        <v>15</v>
      </c>
      <c r="BQ274" s="10">
        <v>22</v>
      </c>
      <c r="BR274" s="10">
        <v>22</v>
      </c>
      <c r="BS274" s="10">
        <v>13</v>
      </c>
      <c r="BT274" s="10">
        <v>16</v>
      </c>
      <c r="BU274" s="10">
        <v>19</v>
      </c>
      <c r="BV274" s="10">
        <v>23</v>
      </c>
      <c r="BW274" s="10">
        <v>13</v>
      </c>
      <c r="BX274" s="10">
        <v>4</v>
      </c>
      <c r="BY274" s="10">
        <v>16</v>
      </c>
      <c r="BZ274" s="10">
        <v>9</v>
      </c>
      <c r="CA274" s="10">
        <v>25</v>
      </c>
      <c r="CB274" s="10">
        <v>13</v>
      </c>
      <c r="CC274" s="10">
        <v>21</v>
      </c>
      <c r="CD274" s="10">
        <v>29</v>
      </c>
      <c r="CE274" s="10">
        <v>19</v>
      </c>
      <c r="CF274" s="10">
        <v>19</v>
      </c>
      <c r="CG274" s="10">
        <v>32</v>
      </c>
      <c r="CH274" s="10">
        <v>28</v>
      </c>
      <c r="CI274" s="10">
        <v>51</v>
      </c>
      <c r="CJ274" s="10">
        <v>23</v>
      </c>
      <c r="CK274" s="10">
        <v>16</v>
      </c>
      <c r="CL274" s="10">
        <v>7</v>
      </c>
      <c r="CM274" s="10">
        <v>8</v>
      </c>
      <c r="CN274" s="10">
        <v>15</v>
      </c>
      <c r="CO274" s="10">
        <v>2</v>
      </c>
      <c r="CP274" s="10">
        <v>3</v>
      </c>
      <c r="CQ274" s="10">
        <v>2</v>
      </c>
      <c r="CR274" s="10">
        <v>3</v>
      </c>
      <c r="CS274" s="10">
        <v>2</v>
      </c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</row>
    <row r="275" ht="15">
      <c r="A275" s="6" t="s">
        <v>1123</v>
      </c>
      <c r="B275" s="6">
        <f t="shared" si="70"/>
        <v>18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10">
        <v>1</v>
      </c>
      <c r="BD275" s="6"/>
      <c r="BE275" s="6"/>
      <c r="BF275" s="6"/>
      <c r="BG275" s="6"/>
      <c r="BH275" s="6"/>
      <c r="BI275" s="6"/>
      <c r="BJ275" s="6"/>
      <c r="BK275" s="6"/>
      <c r="BL275" s="10">
        <v>2</v>
      </c>
      <c r="BM275" s="6"/>
      <c r="BN275" s="6"/>
      <c r="BO275" s="10">
        <v>1</v>
      </c>
      <c r="BP275" s="10">
        <v>1</v>
      </c>
      <c r="BQ275" s="10">
        <v>2</v>
      </c>
      <c r="BR275" s="6"/>
      <c r="BS275" s="10">
        <v>2</v>
      </c>
      <c r="BT275" s="10">
        <v>1</v>
      </c>
      <c r="BU275" s="6"/>
      <c r="BV275" s="6"/>
      <c r="BW275" s="10">
        <v>1</v>
      </c>
      <c r="BX275" s="6"/>
      <c r="BY275" s="10">
        <v>1</v>
      </c>
      <c r="BZ275" s="6"/>
      <c r="CA275" s="10">
        <v>2</v>
      </c>
      <c r="CB275" s="6"/>
      <c r="CC275" s="10">
        <v>1</v>
      </c>
      <c r="CD275" s="10">
        <v>2</v>
      </c>
      <c r="CE275" s="10">
        <v>1</v>
      </c>
      <c r="CF275" s="6"/>
      <c r="CG275" s="10">
        <v>2</v>
      </c>
      <c r="CH275" s="6"/>
      <c r="CI275" s="6"/>
      <c r="CJ275" s="10">
        <v>1</v>
      </c>
      <c r="CK275" s="6"/>
      <c r="CL275" s="6"/>
      <c r="CM275" s="10">
        <v>1</v>
      </c>
      <c r="CN275" s="6"/>
      <c r="CO275" s="6"/>
      <c r="CP275" s="10">
        <v>1</v>
      </c>
      <c r="CQ275" s="10">
        <v>1</v>
      </c>
      <c r="CR275" s="10">
        <v>1</v>
      </c>
      <c r="CS275" s="6"/>
      <c r="CT275" s="6"/>
      <c r="CU275" s="6"/>
      <c r="CV275" s="6"/>
      <c r="CW275" s="6"/>
      <c r="CX275" s="6"/>
      <c r="CY275" s="10">
        <v>1</v>
      </c>
      <c r="CZ275" s="10">
        <v>1</v>
      </c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</row>
    <row r="276" ht="15">
      <c r="A276" s="6" t="s">
        <v>1127</v>
      </c>
      <c r="B276" s="6">
        <f t="shared" si="70"/>
        <v>2594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10">
        <v>1</v>
      </c>
      <c r="N276" s="6"/>
      <c r="O276" s="6"/>
      <c r="P276" s="6"/>
      <c r="Q276" s="10">
        <v>3</v>
      </c>
      <c r="R276" s="10">
        <v>2</v>
      </c>
      <c r="S276" s="10">
        <v>2</v>
      </c>
      <c r="T276" s="10">
        <v>1</v>
      </c>
      <c r="U276" s="10">
        <v>1</v>
      </c>
      <c r="V276" s="10">
        <v>4</v>
      </c>
      <c r="W276" s="10">
        <v>2</v>
      </c>
      <c r="X276" s="10">
        <v>5</v>
      </c>
      <c r="Y276" s="10">
        <v>2</v>
      </c>
      <c r="Z276" s="10">
        <v>1</v>
      </c>
      <c r="AA276" s="6"/>
      <c r="AB276" s="10">
        <v>1</v>
      </c>
      <c r="AC276" s="6"/>
      <c r="AD276" s="10">
        <v>2</v>
      </c>
      <c r="AE276" s="6"/>
      <c r="AF276" s="10">
        <v>6</v>
      </c>
      <c r="AG276" s="6"/>
      <c r="AH276" s="6"/>
      <c r="AI276" s="6"/>
      <c r="AJ276" s="10">
        <v>5</v>
      </c>
      <c r="AK276" s="6"/>
      <c r="AL276" s="6"/>
      <c r="AM276" s="10">
        <v>1</v>
      </c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10">
        <v>1</v>
      </c>
      <c r="AY276" s="6"/>
      <c r="AZ276" s="6"/>
      <c r="BA276" s="10">
        <v>1</v>
      </c>
      <c r="BB276" s="10">
        <v>1</v>
      </c>
      <c r="BC276" s="10">
        <v>1</v>
      </c>
      <c r="BD276" s="6"/>
      <c r="BE276" s="10">
        <v>9</v>
      </c>
      <c r="BF276" s="10">
        <v>6</v>
      </c>
      <c r="BG276" s="10">
        <v>9</v>
      </c>
      <c r="BH276" s="10">
        <v>17</v>
      </c>
      <c r="BI276" s="10">
        <v>30</v>
      </c>
      <c r="BJ276" s="10">
        <v>13</v>
      </c>
      <c r="BK276" s="10">
        <v>25</v>
      </c>
      <c r="BL276" s="10">
        <v>30</v>
      </c>
      <c r="BM276" s="10">
        <v>28</v>
      </c>
      <c r="BN276" s="10">
        <v>50</v>
      </c>
      <c r="BO276" s="10">
        <v>84</v>
      </c>
      <c r="BP276" s="10">
        <v>62</v>
      </c>
      <c r="BQ276" s="10">
        <v>74</v>
      </c>
      <c r="BR276" s="10">
        <v>71</v>
      </c>
      <c r="BS276" s="10">
        <v>91</v>
      </c>
      <c r="BT276" s="10">
        <v>104</v>
      </c>
      <c r="BU276" s="10">
        <v>147</v>
      </c>
      <c r="BV276" s="10">
        <v>158</v>
      </c>
      <c r="BW276" s="10">
        <v>130</v>
      </c>
      <c r="BX276" s="10">
        <v>117</v>
      </c>
      <c r="BY276" s="10">
        <v>114</v>
      </c>
      <c r="BZ276" s="10">
        <v>96</v>
      </c>
      <c r="CA276" s="10">
        <v>135</v>
      </c>
      <c r="CB276" s="10">
        <v>173</v>
      </c>
      <c r="CC276" s="10">
        <v>205</v>
      </c>
      <c r="CD276" s="10">
        <v>168</v>
      </c>
      <c r="CE276" s="10">
        <v>245</v>
      </c>
      <c r="CF276" s="10">
        <v>160</v>
      </c>
      <c r="CG276" s="10">
        <v>137</v>
      </c>
      <c r="CH276" s="10">
        <v>181</v>
      </c>
      <c r="CI276" s="10">
        <v>151</v>
      </c>
      <c r="CJ276" s="10">
        <v>145</v>
      </c>
      <c r="CK276" s="10">
        <v>157</v>
      </c>
      <c r="CL276" s="10">
        <v>140</v>
      </c>
      <c r="CM276" s="10">
        <v>121</v>
      </c>
      <c r="CN276" s="10">
        <v>90</v>
      </c>
      <c r="CO276" s="10">
        <v>84</v>
      </c>
      <c r="CP276" s="10">
        <v>69</v>
      </c>
      <c r="CQ276" s="10">
        <v>86</v>
      </c>
      <c r="CR276" s="10">
        <v>98</v>
      </c>
      <c r="CS276" s="10">
        <v>45</v>
      </c>
      <c r="CT276" s="10">
        <v>56</v>
      </c>
      <c r="CU276" s="10">
        <v>47</v>
      </c>
      <c r="CV276" s="10">
        <v>88</v>
      </c>
      <c r="CW276" s="10">
        <v>50</v>
      </c>
      <c r="CX276" s="10">
        <v>40</v>
      </c>
      <c r="CY276" s="10">
        <v>41</v>
      </c>
      <c r="CZ276" s="10">
        <v>38</v>
      </c>
      <c r="DA276" s="10">
        <v>27</v>
      </c>
      <c r="DB276" s="10">
        <v>34</v>
      </c>
      <c r="DC276" s="10">
        <v>31</v>
      </c>
      <c r="DD276" s="10">
        <v>26</v>
      </c>
      <c r="DE276" s="10">
        <v>23</v>
      </c>
      <c r="DF276" s="10">
        <v>21</v>
      </c>
      <c r="DG276" s="10">
        <v>7</v>
      </c>
      <c r="DH276" s="10">
        <v>4</v>
      </c>
      <c r="DI276" s="10">
        <v>6</v>
      </c>
      <c r="DJ276" s="10">
        <v>1</v>
      </c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</row>
    <row r="277" ht="15">
      <c r="A277" s="6" t="s">
        <v>1131</v>
      </c>
      <c r="B277" s="6">
        <f t="shared" si="70"/>
        <v>1806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10">
        <v>1</v>
      </c>
      <c r="N277" s="6"/>
      <c r="O277" s="10">
        <v>1</v>
      </c>
      <c r="P277" s="10">
        <v>1</v>
      </c>
      <c r="Q277" s="10">
        <v>2</v>
      </c>
      <c r="R277" s="10">
        <v>1</v>
      </c>
      <c r="S277" s="10">
        <v>2</v>
      </c>
      <c r="T277" s="10">
        <v>5</v>
      </c>
      <c r="U277" s="6"/>
      <c r="V277" s="10">
        <v>1</v>
      </c>
      <c r="W277" s="10">
        <v>1</v>
      </c>
      <c r="X277" s="10">
        <v>1</v>
      </c>
      <c r="Y277" s="10">
        <v>2</v>
      </c>
      <c r="Z277" s="6"/>
      <c r="AA277" s="6"/>
      <c r="AB277" s="6"/>
      <c r="AC277" s="6"/>
      <c r="AD277" s="6"/>
      <c r="AE277" s="6"/>
      <c r="AF277" s="6"/>
      <c r="AG277" s="6"/>
      <c r="AH277" s="10">
        <v>1</v>
      </c>
      <c r="AI277" s="10">
        <v>4</v>
      </c>
      <c r="AJ277" s="6"/>
      <c r="AK277" s="10">
        <v>1</v>
      </c>
      <c r="AL277" s="10">
        <v>2</v>
      </c>
      <c r="AM277" s="10">
        <v>4</v>
      </c>
      <c r="AN277" s="6"/>
      <c r="AO277" s="10">
        <v>1</v>
      </c>
      <c r="AP277" s="10">
        <v>1</v>
      </c>
      <c r="AQ277" s="6"/>
      <c r="AR277" s="6"/>
      <c r="AS277" s="6"/>
      <c r="AT277" s="6"/>
      <c r="AU277" s="6"/>
      <c r="AV277" s="6"/>
      <c r="AW277" s="10">
        <v>5</v>
      </c>
      <c r="AX277" s="6"/>
      <c r="AY277" s="6"/>
      <c r="AZ277" s="6"/>
      <c r="BA277" s="6"/>
      <c r="BB277" s="10">
        <v>1</v>
      </c>
      <c r="BC277" s="10">
        <v>5</v>
      </c>
      <c r="BD277" s="10">
        <v>11</v>
      </c>
      <c r="BE277" s="10">
        <v>4</v>
      </c>
      <c r="BF277" s="10">
        <v>13</v>
      </c>
      <c r="BG277" s="10">
        <v>13</v>
      </c>
      <c r="BH277" s="10">
        <v>11</v>
      </c>
      <c r="BI277" s="10">
        <v>10</v>
      </c>
      <c r="BJ277" s="10">
        <v>18</v>
      </c>
      <c r="BK277" s="10">
        <v>15</v>
      </c>
      <c r="BL277" s="10">
        <v>36</v>
      </c>
      <c r="BM277" s="10">
        <v>27</v>
      </c>
      <c r="BN277" s="10">
        <v>36</v>
      </c>
      <c r="BO277" s="10">
        <v>17</v>
      </c>
      <c r="BP277" s="10">
        <v>40</v>
      </c>
      <c r="BQ277" s="10">
        <v>53</v>
      </c>
      <c r="BR277" s="10">
        <v>51</v>
      </c>
      <c r="BS277" s="10">
        <v>51</v>
      </c>
      <c r="BT277" s="10">
        <v>52</v>
      </c>
      <c r="BU277" s="10">
        <v>58</v>
      </c>
      <c r="BV277" s="10">
        <v>116</v>
      </c>
      <c r="BW277" s="10">
        <v>206</v>
      </c>
      <c r="BX277" s="10">
        <v>163</v>
      </c>
      <c r="BY277" s="10">
        <v>121</v>
      </c>
      <c r="BZ277" s="10">
        <v>110</v>
      </c>
      <c r="CA277" s="10">
        <v>93</v>
      </c>
      <c r="CB277" s="10">
        <v>86</v>
      </c>
      <c r="CC277" s="10">
        <v>82</v>
      </c>
      <c r="CD277" s="10">
        <v>69</v>
      </c>
      <c r="CE277" s="10">
        <v>99</v>
      </c>
      <c r="CF277" s="10">
        <v>102</v>
      </c>
      <c r="CG277" s="10">
        <v>143</v>
      </c>
      <c r="CH277" s="10">
        <v>97</v>
      </c>
      <c r="CI277" s="10">
        <v>70</v>
      </c>
      <c r="CJ277" s="10">
        <v>68</v>
      </c>
      <c r="CK277" s="10">
        <v>28</v>
      </c>
      <c r="CL277" s="10">
        <v>27</v>
      </c>
      <c r="CM277" s="10">
        <v>41</v>
      </c>
      <c r="CN277" s="10">
        <v>19</v>
      </c>
      <c r="CO277" s="10">
        <v>33</v>
      </c>
      <c r="CP277" s="10">
        <v>26</v>
      </c>
      <c r="CQ277" s="10">
        <v>31</v>
      </c>
      <c r="CR277" s="10">
        <v>33</v>
      </c>
      <c r="CS277" s="10">
        <v>17</v>
      </c>
      <c r="CT277" s="10">
        <v>13</v>
      </c>
      <c r="CU277" s="10">
        <v>6</v>
      </c>
      <c r="CV277" s="10">
        <v>16</v>
      </c>
      <c r="CW277" s="10">
        <v>25</v>
      </c>
      <c r="CX277" s="10">
        <v>13</v>
      </c>
      <c r="CY277" s="10">
        <v>19</v>
      </c>
      <c r="CZ277" s="10">
        <v>11</v>
      </c>
      <c r="DA277" s="10">
        <v>14</v>
      </c>
      <c r="DB277" s="10">
        <v>7</v>
      </c>
      <c r="DC277" s="10">
        <v>19</v>
      </c>
      <c r="DD277" s="10">
        <v>10</v>
      </c>
      <c r="DE277" s="10">
        <v>6</v>
      </c>
      <c r="DF277" s="10">
        <v>2</v>
      </c>
      <c r="DG277" s="10">
        <v>6</v>
      </c>
      <c r="DH277" s="10">
        <v>5</v>
      </c>
      <c r="DI277" s="10">
        <v>1</v>
      </c>
      <c r="DJ277" s="10">
        <v>5</v>
      </c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10">
        <v>4</v>
      </c>
      <c r="EH277" s="10"/>
      <c r="EI277" s="10"/>
      <c r="EJ277" s="10"/>
      <c r="EK277" s="10"/>
      <c r="EL277" s="10"/>
    </row>
    <row r="278" ht="15">
      <c r="A278" s="6" t="s">
        <v>1135</v>
      </c>
      <c r="B278" s="6">
        <f t="shared" si="70"/>
        <v>701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10">
        <v>3</v>
      </c>
      <c r="AJ278" s="6"/>
      <c r="AK278" s="6"/>
      <c r="AL278" s="6"/>
      <c r="AM278" s="6"/>
      <c r="AN278" s="6"/>
      <c r="AO278" s="6"/>
      <c r="AP278" s="6"/>
      <c r="AQ278" s="10">
        <v>1</v>
      </c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10">
        <v>4</v>
      </c>
      <c r="BC278" s="10">
        <v>1</v>
      </c>
      <c r="BD278" s="10">
        <v>1</v>
      </c>
      <c r="BE278" s="10">
        <v>3</v>
      </c>
      <c r="BF278" s="10">
        <v>2</v>
      </c>
      <c r="BG278" s="10">
        <v>4</v>
      </c>
      <c r="BH278" s="10">
        <v>8</v>
      </c>
      <c r="BI278" s="10">
        <v>8</v>
      </c>
      <c r="BJ278" s="10">
        <v>7</v>
      </c>
      <c r="BK278" s="10">
        <v>3</v>
      </c>
      <c r="BL278" s="10">
        <v>14</v>
      </c>
      <c r="BM278" s="10">
        <v>51</v>
      </c>
      <c r="BN278" s="10">
        <v>18</v>
      </c>
      <c r="BO278" s="10">
        <v>17</v>
      </c>
      <c r="BP278" s="10">
        <v>28</v>
      </c>
      <c r="BQ278" s="10">
        <v>28</v>
      </c>
      <c r="BR278" s="10">
        <v>19</v>
      </c>
      <c r="BS278" s="10">
        <v>26</v>
      </c>
      <c r="BT278" s="10">
        <v>31</v>
      </c>
      <c r="BU278" s="10">
        <v>27</v>
      </c>
      <c r="BV278" s="10">
        <v>40</v>
      </c>
      <c r="BW278" s="10">
        <v>33</v>
      </c>
      <c r="BX278" s="10">
        <v>30</v>
      </c>
      <c r="BY278" s="10">
        <v>46</v>
      </c>
      <c r="BZ278" s="10">
        <v>36</v>
      </c>
      <c r="CA278" s="10">
        <v>28</v>
      </c>
      <c r="CB278" s="10">
        <v>22</v>
      </c>
      <c r="CC278" s="10">
        <v>33</v>
      </c>
      <c r="CD278" s="10">
        <v>31</v>
      </c>
      <c r="CE278" s="10">
        <v>45</v>
      </c>
      <c r="CF278" s="10">
        <v>53</v>
      </c>
      <c r="CG278" s="10">
        <v>33</v>
      </c>
      <c r="CH278" s="10">
        <v>35</v>
      </c>
      <c r="CI278" s="10">
        <v>25</v>
      </c>
      <c r="CJ278" s="10">
        <v>19</v>
      </c>
      <c r="CK278" s="10">
        <v>20</v>
      </c>
      <c r="CL278" s="10">
        <v>18</v>
      </c>
      <c r="CM278" s="10">
        <v>24</v>
      </c>
      <c r="CN278" s="10">
        <v>37</v>
      </c>
      <c r="CO278" s="10">
        <v>32</v>
      </c>
      <c r="CP278" s="10">
        <v>18</v>
      </c>
      <c r="CQ278" s="10">
        <v>19</v>
      </c>
      <c r="CR278" s="10">
        <v>19</v>
      </c>
      <c r="CS278" s="10">
        <v>16</v>
      </c>
      <c r="CT278" s="10">
        <v>32</v>
      </c>
      <c r="CU278" s="10">
        <v>26</v>
      </c>
      <c r="CV278" s="10">
        <v>38</v>
      </c>
      <c r="CW278" s="10">
        <v>25</v>
      </c>
      <c r="CX278" s="10">
        <v>7</v>
      </c>
      <c r="CY278" s="10">
        <v>6</v>
      </c>
      <c r="CZ278" s="10">
        <v>6</v>
      </c>
      <c r="DA278" s="10">
        <v>8</v>
      </c>
      <c r="DB278" s="10">
        <v>5</v>
      </c>
      <c r="DC278" s="10">
        <v>11</v>
      </c>
      <c r="DD278" s="10">
        <v>5</v>
      </c>
      <c r="DE278" s="10">
        <v>4</v>
      </c>
      <c r="DF278" s="10">
        <v>5</v>
      </c>
      <c r="DG278" s="10">
        <v>4</v>
      </c>
      <c r="DH278" s="10">
        <v>2</v>
      </c>
      <c r="DI278" s="10">
        <v>2</v>
      </c>
      <c r="DJ278" s="10">
        <v>3</v>
      </c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10">
        <v>1</v>
      </c>
      <c r="EH278" s="10"/>
      <c r="EI278" s="10"/>
      <c r="EJ278" s="10"/>
      <c r="EK278" s="10"/>
      <c r="EL278" s="10"/>
    </row>
    <row r="279" ht="15">
      <c r="A279" s="6" t="s">
        <v>1139</v>
      </c>
      <c r="B279" s="6">
        <f t="shared" si="70"/>
        <v>49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10">
        <v>1</v>
      </c>
      <c r="BS279" s="10">
        <v>1</v>
      </c>
      <c r="BT279" s="6"/>
      <c r="BU279" s="10">
        <v>3</v>
      </c>
      <c r="BV279" s="10">
        <v>1</v>
      </c>
      <c r="BW279" s="10">
        <v>2</v>
      </c>
      <c r="BX279" s="10">
        <v>3</v>
      </c>
      <c r="BY279" s="10">
        <v>5</v>
      </c>
      <c r="BZ279" s="10">
        <v>6</v>
      </c>
      <c r="CA279" s="10">
        <v>4</v>
      </c>
      <c r="CB279" s="10">
        <v>6</v>
      </c>
      <c r="CC279" s="10">
        <v>8</v>
      </c>
      <c r="CD279" s="10">
        <v>2</v>
      </c>
      <c r="CE279" s="10">
        <v>2</v>
      </c>
      <c r="CF279" s="10">
        <v>5</v>
      </c>
      <c r="CG279" s="10">
        <v>11</v>
      </c>
      <c r="CH279" s="10">
        <v>21</v>
      </c>
      <c r="CI279" s="10">
        <v>6</v>
      </c>
      <c r="CJ279" s="10">
        <v>5</v>
      </c>
      <c r="CK279" s="10">
        <v>7</v>
      </c>
      <c r="CL279" s="10">
        <v>11</v>
      </c>
      <c r="CM279" s="10">
        <v>18</v>
      </c>
      <c r="CN279" s="10">
        <v>9</v>
      </c>
      <c r="CO279" s="10">
        <v>9</v>
      </c>
      <c r="CP279" s="10">
        <v>14</v>
      </c>
      <c r="CQ279" s="10">
        <v>8</v>
      </c>
      <c r="CR279" s="10">
        <v>9</v>
      </c>
      <c r="CS279" s="10">
        <v>12</v>
      </c>
      <c r="CT279" s="10">
        <v>10</v>
      </c>
      <c r="CU279" s="10">
        <v>10</v>
      </c>
      <c r="CV279" s="10">
        <v>10</v>
      </c>
      <c r="CW279" s="10">
        <v>15</v>
      </c>
      <c r="CX279" s="10">
        <v>15</v>
      </c>
      <c r="CY279" s="10">
        <v>7</v>
      </c>
      <c r="CZ279" s="10">
        <v>9</v>
      </c>
      <c r="DA279" s="10">
        <v>16</v>
      </c>
      <c r="DB279" s="10">
        <v>21</v>
      </c>
      <c r="DC279" s="10">
        <v>7</v>
      </c>
      <c r="DD279" s="10">
        <v>13</v>
      </c>
      <c r="DE279" s="10">
        <v>3</v>
      </c>
      <c r="DF279" s="10">
        <v>9</v>
      </c>
      <c r="DG279" s="10">
        <v>2</v>
      </c>
      <c r="DH279" s="6"/>
      <c r="DI279" s="6"/>
      <c r="DJ279" s="10">
        <v>1</v>
      </c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</row>
    <row r="280" ht="15">
      <c r="A280" s="6" t="s">
        <v>1143</v>
      </c>
      <c r="B280" s="6">
        <f t="shared" si="70"/>
        <v>777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10">
        <v>2</v>
      </c>
      <c r="BC280" s="6"/>
      <c r="BD280" s="10">
        <v>3</v>
      </c>
      <c r="BE280" s="10">
        <v>6</v>
      </c>
      <c r="BF280" s="10">
        <v>6</v>
      </c>
      <c r="BG280" s="10">
        <v>2</v>
      </c>
      <c r="BH280" s="10">
        <v>11</v>
      </c>
      <c r="BI280" s="10">
        <v>4</v>
      </c>
      <c r="BJ280" s="10">
        <v>28</v>
      </c>
      <c r="BK280" s="10">
        <v>30</v>
      </c>
      <c r="BL280" s="10">
        <v>19</v>
      </c>
      <c r="BM280" s="10">
        <v>27</v>
      </c>
      <c r="BN280" s="10">
        <v>24</v>
      </c>
      <c r="BO280" s="10">
        <v>11</v>
      </c>
      <c r="BP280" s="10">
        <v>26</v>
      </c>
      <c r="BQ280" s="10">
        <v>43</v>
      </c>
      <c r="BR280" s="10">
        <v>51</v>
      </c>
      <c r="BS280" s="10">
        <v>39</v>
      </c>
      <c r="BT280" s="10">
        <v>26</v>
      </c>
      <c r="BU280" s="10">
        <v>22</v>
      </c>
      <c r="BV280" s="10">
        <v>17</v>
      </c>
      <c r="BW280" s="10">
        <v>34</v>
      </c>
      <c r="BX280" s="10">
        <v>29</v>
      </c>
      <c r="BY280" s="10">
        <v>19</v>
      </c>
      <c r="BZ280" s="10">
        <v>29</v>
      </c>
      <c r="CA280" s="10">
        <v>48</v>
      </c>
      <c r="CB280" s="10">
        <v>32</v>
      </c>
      <c r="CC280" s="10">
        <v>35</v>
      </c>
      <c r="CD280" s="10">
        <v>52</v>
      </c>
      <c r="CE280" s="10">
        <v>58</v>
      </c>
      <c r="CF280" s="10">
        <v>44</v>
      </c>
      <c r="CG280" s="10">
        <v>22</v>
      </c>
      <c r="CH280" s="10">
        <v>54</v>
      </c>
      <c r="CI280" s="10">
        <v>28</v>
      </c>
      <c r="CJ280" s="10">
        <v>26</v>
      </c>
      <c r="CK280" s="10">
        <v>43</v>
      </c>
      <c r="CL280" s="10">
        <v>36</v>
      </c>
      <c r="CM280" s="10">
        <v>27</v>
      </c>
      <c r="CN280" s="10">
        <v>8</v>
      </c>
      <c r="CO280" s="10">
        <v>24</v>
      </c>
      <c r="CP280" s="10">
        <v>15</v>
      </c>
      <c r="CQ280" s="10">
        <v>33</v>
      </c>
      <c r="CR280" s="10">
        <v>51</v>
      </c>
      <c r="CS280" s="10">
        <v>45</v>
      </c>
      <c r="CT280" s="10">
        <v>102</v>
      </c>
      <c r="CU280" s="10">
        <v>57</v>
      </c>
      <c r="CV280" s="10">
        <v>78</v>
      </c>
      <c r="CW280" s="10">
        <v>43</v>
      </c>
      <c r="CX280" s="10">
        <v>47</v>
      </c>
      <c r="CY280" s="10">
        <v>15</v>
      </c>
      <c r="CZ280" s="10">
        <v>14</v>
      </c>
      <c r="DA280" s="10">
        <v>19</v>
      </c>
      <c r="DB280" s="10">
        <v>20</v>
      </c>
      <c r="DC280" s="10">
        <v>10</v>
      </c>
      <c r="DD280" s="10">
        <v>6</v>
      </c>
      <c r="DE280" s="10">
        <v>11</v>
      </c>
      <c r="DF280" s="10">
        <v>19</v>
      </c>
      <c r="DG280" s="10">
        <v>19</v>
      </c>
      <c r="DH280" s="10">
        <v>21</v>
      </c>
      <c r="DI280" s="10">
        <v>19</v>
      </c>
      <c r="DJ280" s="10">
        <v>3</v>
      </c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10">
        <v>7</v>
      </c>
      <c r="EH280" s="10"/>
      <c r="EI280" s="10"/>
      <c r="EJ280" s="10"/>
      <c r="EK280" s="10"/>
      <c r="EL280" s="10"/>
    </row>
    <row r="281" ht="15">
      <c r="A281" s="6" t="s">
        <v>1151</v>
      </c>
      <c r="B281" s="6">
        <f t="shared" si="70"/>
        <v>662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10">
        <v>1</v>
      </c>
      <c r="AW281" s="6"/>
      <c r="AX281" s="10">
        <v>1</v>
      </c>
      <c r="AY281" s="10">
        <v>3</v>
      </c>
      <c r="AZ281" s="10">
        <v>1</v>
      </c>
      <c r="BA281" s="10">
        <v>5</v>
      </c>
      <c r="BB281" s="10">
        <v>2</v>
      </c>
      <c r="BC281" s="10">
        <v>5</v>
      </c>
      <c r="BD281" s="10">
        <v>3</v>
      </c>
      <c r="BE281" s="10">
        <v>5</v>
      </c>
      <c r="BF281" s="10">
        <v>3</v>
      </c>
      <c r="BG281" s="10">
        <v>8</v>
      </c>
      <c r="BH281" s="10">
        <v>8</v>
      </c>
      <c r="BI281" s="10">
        <v>25</v>
      </c>
      <c r="BJ281" s="10">
        <v>20</v>
      </c>
      <c r="BK281" s="10">
        <v>12</v>
      </c>
      <c r="BL281" s="10">
        <v>18</v>
      </c>
      <c r="BM281" s="10">
        <v>18</v>
      </c>
      <c r="BN281" s="10">
        <v>19</v>
      </c>
      <c r="BO281" s="10">
        <v>22</v>
      </c>
      <c r="BP281" s="10">
        <v>30</v>
      </c>
      <c r="BQ281" s="10">
        <v>25</v>
      </c>
      <c r="BR281" s="10">
        <v>27</v>
      </c>
      <c r="BS281" s="10">
        <v>27</v>
      </c>
      <c r="BT281" s="10">
        <v>24</v>
      </c>
      <c r="BU281" s="10">
        <v>21</v>
      </c>
      <c r="BV281" s="10">
        <v>24</v>
      </c>
      <c r="BW281" s="10">
        <v>29</v>
      </c>
      <c r="BX281" s="10">
        <v>43</v>
      </c>
      <c r="BY281" s="10">
        <v>32</v>
      </c>
      <c r="BZ281" s="10">
        <v>43</v>
      </c>
      <c r="CA281" s="10">
        <v>43</v>
      </c>
      <c r="CB281" s="10">
        <v>22</v>
      </c>
      <c r="CC281" s="10">
        <v>20</v>
      </c>
      <c r="CD281" s="10">
        <v>19</v>
      </c>
      <c r="CE281" s="10">
        <v>22</v>
      </c>
      <c r="CF281" s="10">
        <v>32</v>
      </c>
      <c r="CG281" s="10">
        <v>27</v>
      </c>
      <c r="CH281" s="10">
        <v>13</v>
      </c>
      <c r="CI281" s="10">
        <v>15</v>
      </c>
      <c r="CJ281" s="10">
        <v>23</v>
      </c>
      <c r="CK281" s="10">
        <v>22</v>
      </c>
      <c r="CL281" s="10">
        <v>33</v>
      </c>
      <c r="CM281" s="10">
        <v>47</v>
      </c>
      <c r="CN281" s="10">
        <v>35</v>
      </c>
      <c r="CO281" s="10">
        <v>42</v>
      </c>
      <c r="CP281" s="10">
        <v>51</v>
      </c>
      <c r="CQ281" s="10">
        <v>34</v>
      </c>
      <c r="CR281" s="10">
        <v>35</v>
      </c>
      <c r="CS281" s="10">
        <v>36</v>
      </c>
      <c r="CT281" s="10">
        <v>11</v>
      </c>
      <c r="CU281" s="10">
        <v>35</v>
      </c>
      <c r="CV281" s="10">
        <v>24</v>
      </c>
      <c r="CW281" s="10">
        <v>29</v>
      </c>
      <c r="CX281" s="10">
        <v>30</v>
      </c>
      <c r="CY281" s="10">
        <v>29</v>
      </c>
      <c r="CZ281" s="10">
        <v>24</v>
      </c>
      <c r="DA281" s="10">
        <v>24</v>
      </c>
      <c r="DB281" s="10">
        <v>7</v>
      </c>
      <c r="DC281" s="10">
        <v>19</v>
      </c>
      <c r="DD281" s="10">
        <v>14</v>
      </c>
      <c r="DE281" s="10">
        <v>4</v>
      </c>
      <c r="DF281" s="10">
        <v>5</v>
      </c>
      <c r="DG281" s="10">
        <v>1</v>
      </c>
      <c r="DH281" s="10">
        <v>7</v>
      </c>
      <c r="DI281" s="10">
        <v>3</v>
      </c>
      <c r="DJ281" s="10">
        <v>2</v>
      </c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</row>
    <row r="282" ht="15">
      <c r="A282" s="6" t="s">
        <v>1155</v>
      </c>
      <c r="B282" s="6">
        <f t="shared" si="70"/>
        <v>1220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10">
        <v>3</v>
      </c>
      <c r="AX282" s="10">
        <v>3</v>
      </c>
      <c r="AY282" s="6"/>
      <c r="AZ282" s="10">
        <v>2</v>
      </c>
      <c r="BA282" s="10">
        <v>2</v>
      </c>
      <c r="BB282" s="10">
        <v>3</v>
      </c>
      <c r="BC282" s="10">
        <v>2</v>
      </c>
      <c r="BD282" s="10">
        <v>5</v>
      </c>
      <c r="BE282" s="10">
        <v>9</v>
      </c>
      <c r="BF282" s="10">
        <v>14</v>
      </c>
      <c r="BG282" s="10">
        <v>8</v>
      </c>
      <c r="BH282" s="10">
        <v>24</v>
      </c>
      <c r="BI282" s="10">
        <v>10</v>
      </c>
      <c r="BJ282" s="10">
        <v>13</v>
      </c>
      <c r="BK282" s="10">
        <v>51</v>
      </c>
      <c r="BL282" s="10">
        <v>26</v>
      </c>
      <c r="BM282" s="10">
        <v>29</v>
      </c>
      <c r="BN282" s="10">
        <v>25</v>
      </c>
      <c r="BO282" s="10">
        <v>38</v>
      </c>
      <c r="BP282" s="10">
        <v>63</v>
      </c>
      <c r="BQ282" s="10">
        <v>63</v>
      </c>
      <c r="BR282" s="10">
        <v>90</v>
      </c>
      <c r="BS282" s="10">
        <v>92</v>
      </c>
      <c r="BT282" s="10">
        <v>88</v>
      </c>
      <c r="BU282" s="10">
        <v>58</v>
      </c>
      <c r="BV282" s="10">
        <v>59</v>
      </c>
      <c r="BW282" s="10">
        <v>66</v>
      </c>
      <c r="BX282" s="10">
        <v>52</v>
      </c>
      <c r="BY282" s="10">
        <v>62</v>
      </c>
      <c r="BZ282" s="10">
        <v>48</v>
      </c>
      <c r="CA282" s="10">
        <v>31</v>
      </c>
      <c r="CB282" s="10">
        <v>25</v>
      </c>
      <c r="CC282" s="10">
        <v>29</v>
      </c>
      <c r="CD282" s="10">
        <v>67</v>
      </c>
      <c r="CE282" s="10">
        <v>30</v>
      </c>
      <c r="CF282" s="10">
        <v>30</v>
      </c>
      <c r="CG282" s="10">
        <v>31</v>
      </c>
      <c r="CH282" s="10">
        <v>33</v>
      </c>
      <c r="CI282" s="10">
        <v>34</v>
      </c>
      <c r="CJ282" s="10">
        <v>15</v>
      </c>
      <c r="CK282" s="10">
        <v>17</v>
      </c>
      <c r="CL282" s="10">
        <v>40</v>
      </c>
      <c r="CM282" s="10">
        <v>6</v>
      </c>
      <c r="CN282" s="10">
        <v>40</v>
      </c>
      <c r="CO282" s="10">
        <v>23</v>
      </c>
      <c r="CP282" s="10">
        <v>10</v>
      </c>
      <c r="CQ282" s="10">
        <v>7</v>
      </c>
      <c r="CR282" s="10">
        <v>6</v>
      </c>
      <c r="CS282" s="10">
        <v>7</v>
      </c>
      <c r="CT282" s="10">
        <v>1</v>
      </c>
      <c r="CU282" s="10">
        <v>1</v>
      </c>
      <c r="CV282" s="10">
        <v>3</v>
      </c>
      <c r="CW282" s="6"/>
      <c r="CX282" s="6"/>
      <c r="CY282" s="10">
        <v>1</v>
      </c>
      <c r="CZ282" s="10">
        <v>3</v>
      </c>
      <c r="DA282" s="6"/>
      <c r="DB282" s="6"/>
      <c r="DC282" s="6"/>
      <c r="DD282" s="6"/>
      <c r="DE282" s="10">
        <v>2</v>
      </c>
      <c r="DF282" s="6"/>
      <c r="DG282" s="10">
        <v>1</v>
      </c>
      <c r="DH282" s="6"/>
      <c r="DI282" s="10">
        <v>1</v>
      </c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10">
        <v>6</v>
      </c>
      <c r="EH282" s="10"/>
      <c r="EI282" s="10"/>
      <c r="EJ282" s="10"/>
      <c r="EK282" s="10"/>
      <c r="EL282" s="10"/>
    </row>
    <row r="283" ht="15">
      <c r="A283" s="6" t="s">
        <v>1159</v>
      </c>
      <c r="B283" s="6">
        <f t="shared" si="70"/>
        <v>147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10">
        <v>3</v>
      </c>
      <c r="AY283" s="10">
        <v>1</v>
      </c>
      <c r="AZ283" s="10">
        <v>2</v>
      </c>
      <c r="BA283" s="10">
        <v>2</v>
      </c>
      <c r="BB283" s="10">
        <v>1</v>
      </c>
      <c r="BC283" s="6"/>
      <c r="BD283" s="10">
        <v>4</v>
      </c>
      <c r="BE283" s="10">
        <v>3</v>
      </c>
      <c r="BF283" s="6"/>
      <c r="BG283" s="10">
        <v>8</v>
      </c>
      <c r="BH283" s="10">
        <v>3</v>
      </c>
      <c r="BI283" s="10">
        <v>10</v>
      </c>
      <c r="BJ283" s="10">
        <v>3</v>
      </c>
      <c r="BK283" s="10">
        <v>1</v>
      </c>
      <c r="BL283" s="10">
        <v>4</v>
      </c>
      <c r="BM283" s="10">
        <v>5</v>
      </c>
      <c r="BN283" s="10">
        <v>6</v>
      </c>
      <c r="BO283" s="10">
        <v>5</v>
      </c>
      <c r="BP283" s="10">
        <v>11</v>
      </c>
      <c r="BQ283" s="10">
        <v>3</v>
      </c>
      <c r="BR283" s="10">
        <v>7</v>
      </c>
      <c r="BS283" s="10">
        <v>5</v>
      </c>
      <c r="BT283" s="10">
        <v>5</v>
      </c>
      <c r="BU283" s="10">
        <v>6</v>
      </c>
      <c r="BV283" s="10">
        <v>7</v>
      </c>
      <c r="BW283" s="10">
        <v>2</v>
      </c>
      <c r="BX283" s="10">
        <v>2</v>
      </c>
      <c r="BY283" s="10">
        <v>2</v>
      </c>
      <c r="BZ283" s="10">
        <v>2</v>
      </c>
      <c r="CA283" s="10">
        <v>7</v>
      </c>
      <c r="CB283" s="10">
        <v>4</v>
      </c>
      <c r="CC283" s="10">
        <v>9</v>
      </c>
      <c r="CD283" s="10">
        <v>2</v>
      </c>
      <c r="CE283" s="10">
        <v>7</v>
      </c>
      <c r="CF283" s="10">
        <v>5</v>
      </c>
      <c r="CG283" s="10">
        <v>7</v>
      </c>
      <c r="CH283" s="10">
        <v>15</v>
      </c>
      <c r="CI283" s="10">
        <v>11</v>
      </c>
      <c r="CJ283" s="10">
        <v>2</v>
      </c>
      <c r="CK283" s="10">
        <v>9</v>
      </c>
      <c r="CL283" s="10">
        <v>9</v>
      </c>
      <c r="CM283" s="10">
        <v>4</v>
      </c>
      <c r="CN283" s="10">
        <v>1</v>
      </c>
      <c r="CO283" s="10">
        <v>2</v>
      </c>
      <c r="CP283" s="6"/>
      <c r="CQ283" s="10">
        <v>2</v>
      </c>
      <c r="CR283" s="10">
        <v>7</v>
      </c>
      <c r="CS283" s="10">
        <v>3</v>
      </c>
      <c r="CT283" s="10">
        <v>3</v>
      </c>
      <c r="CU283" s="10">
        <v>1</v>
      </c>
      <c r="CV283" s="10">
        <v>6</v>
      </c>
      <c r="CW283" s="10">
        <v>2</v>
      </c>
      <c r="CX283" s="10">
        <v>1</v>
      </c>
      <c r="CY283" s="10">
        <v>2</v>
      </c>
      <c r="CZ283" s="10">
        <v>3</v>
      </c>
      <c r="DA283" s="10">
        <v>4</v>
      </c>
      <c r="DB283" s="10">
        <v>4</v>
      </c>
      <c r="DC283" s="10">
        <v>9</v>
      </c>
      <c r="DD283" s="10">
        <v>3</v>
      </c>
      <c r="DE283" s="10">
        <v>4</v>
      </c>
      <c r="DF283" s="10">
        <v>3</v>
      </c>
      <c r="DG283" s="10">
        <v>4</v>
      </c>
      <c r="DH283" s="10">
        <v>8</v>
      </c>
      <c r="DI283" s="10">
        <v>10</v>
      </c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</row>
    <row r="284" ht="15">
      <c r="A284" s="6" t="s">
        <v>1163</v>
      </c>
      <c r="B284" s="6">
        <f t="shared" si="70"/>
        <v>527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10">
        <v>2</v>
      </c>
      <c r="AR284" s="6"/>
      <c r="AS284" s="10">
        <v>2</v>
      </c>
      <c r="AT284" s="6"/>
      <c r="AU284" s="6"/>
      <c r="AV284" s="10">
        <v>3</v>
      </c>
      <c r="AW284" s="10">
        <v>7</v>
      </c>
      <c r="AX284" s="10">
        <v>4</v>
      </c>
      <c r="AY284" s="10">
        <v>1</v>
      </c>
      <c r="AZ284" s="10">
        <v>5</v>
      </c>
      <c r="BA284" s="10">
        <v>2</v>
      </c>
      <c r="BB284" s="10">
        <v>6</v>
      </c>
      <c r="BC284" s="10">
        <v>5</v>
      </c>
      <c r="BD284" s="10">
        <v>9</v>
      </c>
      <c r="BE284" s="10">
        <v>3</v>
      </c>
      <c r="BF284" s="10">
        <v>3</v>
      </c>
      <c r="BG284" s="10">
        <v>1</v>
      </c>
      <c r="BH284" s="10">
        <v>8</v>
      </c>
      <c r="BI284" s="10">
        <v>12</v>
      </c>
      <c r="BJ284" s="10">
        <v>17</v>
      </c>
      <c r="BK284" s="10">
        <v>9</v>
      </c>
      <c r="BL284" s="10">
        <v>16</v>
      </c>
      <c r="BM284" s="10">
        <v>13</v>
      </c>
      <c r="BN284" s="10">
        <v>21</v>
      </c>
      <c r="BO284" s="10">
        <v>21</v>
      </c>
      <c r="BP284" s="10">
        <v>35</v>
      </c>
      <c r="BQ284" s="10">
        <v>32</v>
      </c>
      <c r="BR284" s="10">
        <v>25</v>
      </c>
      <c r="BS284" s="10">
        <v>23</v>
      </c>
      <c r="BT284" s="10">
        <v>29</v>
      </c>
      <c r="BU284" s="10">
        <v>23</v>
      </c>
      <c r="BV284" s="10">
        <v>11</v>
      </c>
      <c r="BW284" s="10">
        <v>3</v>
      </c>
      <c r="BX284" s="10">
        <v>14</v>
      </c>
      <c r="BY284" s="10">
        <v>28</v>
      </c>
      <c r="BZ284" s="10">
        <v>18</v>
      </c>
      <c r="CA284" s="10">
        <v>17</v>
      </c>
      <c r="CB284" s="10">
        <v>25</v>
      </c>
      <c r="CC284" s="10">
        <v>12</v>
      </c>
      <c r="CD284" s="10">
        <v>24</v>
      </c>
      <c r="CE284" s="10">
        <v>21</v>
      </c>
      <c r="CF284" s="10">
        <v>17</v>
      </c>
      <c r="CG284" s="10">
        <v>14</v>
      </c>
      <c r="CH284" s="10">
        <v>13</v>
      </c>
      <c r="CI284" s="10">
        <v>27</v>
      </c>
      <c r="CJ284" s="10">
        <v>21</v>
      </c>
      <c r="CK284" s="10">
        <v>25</v>
      </c>
      <c r="CL284" s="10">
        <v>20</v>
      </c>
      <c r="CM284" s="10">
        <v>8</v>
      </c>
      <c r="CN284" s="10">
        <v>14</v>
      </c>
      <c r="CO284" s="10">
        <v>28</v>
      </c>
      <c r="CP284" s="10">
        <v>19</v>
      </c>
      <c r="CQ284" s="10">
        <v>17</v>
      </c>
      <c r="CR284" s="10">
        <v>26</v>
      </c>
      <c r="CS284" s="10">
        <v>2</v>
      </c>
      <c r="CT284" s="10">
        <v>13</v>
      </c>
      <c r="CU284" s="10">
        <v>4</v>
      </c>
      <c r="CV284" s="10">
        <v>7</v>
      </c>
      <c r="CW284" s="10">
        <v>2</v>
      </c>
      <c r="CX284" s="10">
        <v>7</v>
      </c>
      <c r="CY284" s="10">
        <v>2</v>
      </c>
      <c r="CZ284" s="10">
        <v>20</v>
      </c>
      <c r="DA284" s="10">
        <v>9</v>
      </c>
      <c r="DB284" s="10">
        <v>5</v>
      </c>
      <c r="DC284" s="10">
        <v>2</v>
      </c>
      <c r="DD284" s="10">
        <v>1</v>
      </c>
      <c r="DE284" s="10">
        <v>2</v>
      </c>
      <c r="DF284" s="10">
        <v>5</v>
      </c>
      <c r="DG284" s="10">
        <v>2</v>
      </c>
      <c r="DH284" s="6"/>
      <c r="DI284" s="10">
        <v>3</v>
      </c>
      <c r="DJ284" s="10">
        <v>1</v>
      </c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</row>
    <row r="285" ht="15">
      <c r="A285" s="6" t="s">
        <v>1175</v>
      </c>
      <c r="B285" s="6">
        <f t="shared" si="70"/>
        <v>590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10">
        <v>2</v>
      </c>
      <c r="AM285" s="10">
        <v>3</v>
      </c>
      <c r="AN285" s="10">
        <v>2</v>
      </c>
      <c r="AO285" s="6"/>
      <c r="AP285" s="10">
        <v>1</v>
      </c>
      <c r="AQ285" s="6"/>
      <c r="AR285" s="10">
        <v>1</v>
      </c>
      <c r="AS285" s="10">
        <v>3</v>
      </c>
      <c r="AT285" s="10">
        <v>1</v>
      </c>
      <c r="AU285" s="10">
        <v>1</v>
      </c>
      <c r="AV285" s="6"/>
      <c r="AW285" s="10">
        <v>3</v>
      </c>
      <c r="AX285" s="10">
        <v>2</v>
      </c>
      <c r="AY285" s="10">
        <v>2</v>
      </c>
      <c r="AZ285" s="10">
        <v>2</v>
      </c>
      <c r="BA285" s="10">
        <v>5</v>
      </c>
      <c r="BB285" s="10">
        <v>13</v>
      </c>
      <c r="BC285" s="10">
        <v>3</v>
      </c>
      <c r="BD285" s="10">
        <v>13</v>
      </c>
      <c r="BE285" s="10">
        <v>8</v>
      </c>
      <c r="BF285" s="10">
        <v>1</v>
      </c>
      <c r="BG285" s="10">
        <v>2</v>
      </c>
      <c r="BH285" s="10">
        <v>2</v>
      </c>
      <c r="BI285" s="10">
        <v>15</v>
      </c>
      <c r="BJ285" s="10">
        <v>16</v>
      </c>
      <c r="BK285" s="10">
        <v>22</v>
      </c>
      <c r="BL285" s="10">
        <v>12</v>
      </c>
      <c r="BM285" s="10">
        <v>15</v>
      </c>
      <c r="BN285" s="10">
        <v>13</v>
      </c>
      <c r="BO285" s="10">
        <v>34</v>
      </c>
      <c r="BP285" s="10">
        <v>28</v>
      </c>
      <c r="BQ285" s="10">
        <v>18</v>
      </c>
      <c r="BR285" s="10">
        <v>30</v>
      </c>
      <c r="BS285" s="10">
        <v>30</v>
      </c>
      <c r="BT285" s="10">
        <v>31</v>
      </c>
      <c r="BU285" s="10">
        <v>8</v>
      </c>
      <c r="BV285" s="10">
        <v>24</v>
      </c>
      <c r="BW285" s="10">
        <v>11</v>
      </c>
      <c r="BX285" s="10">
        <v>16</v>
      </c>
      <c r="BY285" s="10">
        <v>21</v>
      </c>
      <c r="BZ285" s="10">
        <v>36</v>
      </c>
      <c r="CA285" s="10">
        <v>25</v>
      </c>
      <c r="CB285" s="10">
        <v>22</v>
      </c>
      <c r="CC285" s="10">
        <v>12</v>
      </c>
      <c r="CD285" s="10">
        <v>24</v>
      </c>
      <c r="CE285" s="10">
        <v>30</v>
      </c>
      <c r="CF285" s="10">
        <v>27</v>
      </c>
      <c r="CG285" s="10">
        <v>37</v>
      </c>
      <c r="CH285" s="10">
        <v>47</v>
      </c>
      <c r="CI285" s="10">
        <v>41</v>
      </c>
      <c r="CJ285" s="10">
        <v>40</v>
      </c>
      <c r="CK285" s="10">
        <v>31</v>
      </c>
      <c r="CL285" s="10">
        <v>27</v>
      </c>
      <c r="CM285" s="10">
        <v>13</v>
      </c>
      <c r="CN285" s="10">
        <v>17</v>
      </c>
      <c r="CO285" s="10">
        <v>13</v>
      </c>
      <c r="CP285" s="10">
        <v>28</v>
      </c>
      <c r="CQ285" s="10">
        <v>7</v>
      </c>
      <c r="CR285" s="10">
        <v>13</v>
      </c>
      <c r="CS285" s="10">
        <v>13</v>
      </c>
      <c r="CT285" s="10">
        <v>6</v>
      </c>
      <c r="CU285" s="10">
        <v>15</v>
      </c>
      <c r="CV285" s="10">
        <v>18</v>
      </c>
      <c r="CW285" s="10">
        <v>13</v>
      </c>
      <c r="CX285" s="10">
        <v>19</v>
      </c>
      <c r="CY285" s="10">
        <v>9</v>
      </c>
      <c r="CZ285" s="10">
        <v>9</v>
      </c>
      <c r="DA285" s="10">
        <v>18</v>
      </c>
      <c r="DB285" s="10">
        <v>4</v>
      </c>
      <c r="DC285" s="10">
        <v>5</v>
      </c>
      <c r="DD285" s="10">
        <v>1</v>
      </c>
      <c r="DE285" s="10">
        <v>1</v>
      </c>
      <c r="DF285" s="10">
        <v>3</v>
      </c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</row>
    <row r="286" ht="15" hidden="1">
      <c r="A286" s="6" t="s">
        <v>1994</v>
      </c>
      <c r="B286" s="6">
        <f t="shared" si="70"/>
        <v>0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0">
        <v>1</v>
      </c>
      <c r="CK286" s="10">
        <v>1</v>
      </c>
      <c r="CL286" s="6"/>
      <c r="CM286" s="6"/>
      <c r="CN286" s="10">
        <v>1</v>
      </c>
      <c r="CO286" s="6"/>
      <c r="CP286" s="6"/>
      <c r="CQ286" s="6"/>
      <c r="CR286" s="6"/>
      <c r="CS286" s="6"/>
      <c r="CT286" s="6"/>
      <c r="CU286" s="10">
        <v>1</v>
      </c>
      <c r="CV286" s="10">
        <v>1</v>
      </c>
      <c r="CW286" s="10">
        <v>2</v>
      </c>
      <c r="CX286" s="10">
        <v>2</v>
      </c>
      <c r="CY286" s="10">
        <v>11</v>
      </c>
      <c r="CZ286" s="10">
        <v>6</v>
      </c>
      <c r="DA286" s="10">
        <v>4</v>
      </c>
      <c r="DB286" s="10">
        <v>4</v>
      </c>
      <c r="DC286" s="10">
        <v>6</v>
      </c>
      <c r="DD286" s="10">
        <v>6</v>
      </c>
      <c r="DE286" s="10">
        <v>4</v>
      </c>
      <c r="DF286" s="10">
        <v>4</v>
      </c>
      <c r="DG286" s="10">
        <v>2</v>
      </c>
      <c r="DH286" s="10">
        <v>2</v>
      </c>
      <c r="DI286" s="10">
        <v>1</v>
      </c>
      <c r="DJ286" s="10">
        <v>1</v>
      </c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</row>
    <row r="287" ht="15">
      <c r="A287" s="6" t="s">
        <v>1179</v>
      </c>
      <c r="B287" s="6">
        <f t="shared" si="70"/>
        <v>1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10">
        <v>1</v>
      </c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</row>
    <row r="288" ht="15">
      <c r="A288" s="6" t="s">
        <v>1183</v>
      </c>
      <c r="B288" s="6">
        <f t="shared" si="70"/>
        <v>116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10">
        <v>2</v>
      </c>
      <c r="AT288" s="6"/>
      <c r="AU288" s="6"/>
      <c r="AV288" s="10">
        <v>1</v>
      </c>
      <c r="AW288" s="10">
        <v>2</v>
      </c>
      <c r="AX288" s="6"/>
      <c r="AY288" s="10">
        <v>1</v>
      </c>
      <c r="AZ288" s="6"/>
      <c r="BA288" s="6"/>
      <c r="BB288" s="10">
        <v>1</v>
      </c>
      <c r="BC288" s="10">
        <v>2</v>
      </c>
      <c r="BD288" s="6"/>
      <c r="BE288" s="6"/>
      <c r="BF288" s="6"/>
      <c r="BG288" s="6"/>
      <c r="BH288" s="6"/>
      <c r="BI288" s="6"/>
      <c r="BJ288" s="10">
        <v>2</v>
      </c>
      <c r="BK288" s="10">
        <v>2</v>
      </c>
      <c r="BL288" s="10">
        <v>2</v>
      </c>
      <c r="BM288" s="10">
        <v>2</v>
      </c>
      <c r="BN288" s="10">
        <v>2</v>
      </c>
      <c r="BO288" s="10">
        <v>1</v>
      </c>
      <c r="BP288" s="10">
        <v>3</v>
      </c>
      <c r="BQ288" s="10">
        <v>3</v>
      </c>
      <c r="BR288" s="10">
        <v>8</v>
      </c>
      <c r="BS288" s="10">
        <v>8</v>
      </c>
      <c r="BT288" s="10">
        <v>4</v>
      </c>
      <c r="BU288" s="10">
        <v>2</v>
      </c>
      <c r="BV288" s="10">
        <v>8</v>
      </c>
      <c r="BW288" s="10">
        <v>11</v>
      </c>
      <c r="BX288" s="10">
        <v>6</v>
      </c>
      <c r="BY288" s="10">
        <v>8</v>
      </c>
      <c r="BZ288" s="10">
        <v>12</v>
      </c>
      <c r="CA288" s="10">
        <v>1</v>
      </c>
      <c r="CB288" s="10">
        <v>2</v>
      </c>
      <c r="CC288" s="10">
        <v>4</v>
      </c>
      <c r="CD288" s="10">
        <v>2</v>
      </c>
      <c r="CE288" s="10">
        <v>6</v>
      </c>
      <c r="CF288" s="10">
        <v>8</v>
      </c>
      <c r="CG288" s="10">
        <v>5</v>
      </c>
      <c r="CH288" s="10">
        <v>3</v>
      </c>
      <c r="CI288" s="10">
        <v>5</v>
      </c>
      <c r="CJ288" s="10">
        <v>1</v>
      </c>
      <c r="CK288" s="6"/>
      <c r="CL288" s="10">
        <v>1</v>
      </c>
      <c r="CM288" s="10">
        <v>5</v>
      </c>
      <c r="CN288" s="10">
        <v>2</v>
      </c>
      <c r="CO288" s="10">
        <v>1</v>
      </c>
      <c r="CP288" s="10">
        <v>1</v>
      </c>
      <c r="CQ288" s="10">
        <v>2</v>
      </c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</row>
    <row r="289" ht="15">
      <c r="A289" s="6" t="s">
        <v>1187</v>
      </c>
      <c r="B289" s="6">
        <f t="shared" si="70"/>
        <v>557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10">
        <v>2</v>
      </c>
      <c r="AU289" s="6"/>
      <c r="AV289" s="10">
        <v>1</v>
      </c>
      <c r="AW289" s="6"/>
      <c r="AX289" s="6"/>
      <c r="AY289" s="6"/>
      <c r="AZ289" s="6"/>
      <c r="BA289" s="6"/>
      <c r="BB289" s="10">
        <v>2</v>
      </c>
      <c r="BC289" s="6"/>
      <c r="BD289" s="6"/>
      <c r="BE289" s="6"/>
      <c r="BF289" s="6"/>
      <c r="BG289" s="6"/>
      <c r="BH289" s="10">
        <v>2</v>
      </c>
      <c r="BI289" s="10">
        <v>1</v>
      </c>
      <c r="BJ289" s="10">
        <v>11</v>
      </c>
      <c r="BK289" s="10">
        <v>1</v>
      </c>
      <c r="BL289" s="10">
        <v>5</v>
      </c>
      <c r="BM289" s="10">
        <v>9</v>
      </c>
      <c r="BN289" s="10">
        <v>11</v>
      </c>
      <c r="BO289" s="10">
        <v>11</v>
      </c>
      <c r="BP289" s="10">
        <v>32</v>
      </c>
      <c r="BQ289" s="10">
        <v>13</v>
      </c>
      <c r="BR289" s="10">
        <v>27</v>
      </c>
      <c r="BS289" s="10">
        <v>27</v>
      </c>
      <c r="BT289" s="10">
        <v>34</v>
      </c>
      <c r="BU289" s="10">
        <v>16</v>
      </c>
      <c r="BV289" s="10">
        <v>24</v>
      </c>
      <c r="BW289" s="10">
        <v>28</v>
      </c>
      <c r="BX289" s="10">
        <v>37</v>
      </c>
      <c r="BY289" s="10">
        <v>18</v>
      </c>
      <c r="BZ289" s="10">
        <v>20</v>
      </c>
      <c r="CA289" s="10">
        <v>33</v>
      </c>
      <c r="CB289" s="10">
        <v>36</v>
      </c>
      <c r="CC289" s="10">
        <v>29</v>
      </c>
      <c r="CD289" s="10">
        <v>35</v>
      </c>
      <c r="CE289" s="10">
        <v>25</v>
      </c>
      <c r="CF289" s="10">
        <v>67</v>
      </c>
      <c r="CG289" s="10">
        <v>50</v>
      </c>
      <c r="CH289" s="10">
        <v>29</v>
      </c>
      <c r="CI289" s="10">
        <v>10</v>
      </c>
      <c r="CJ289" s="10">
        <v>8</v>
      </c>
      <c r="CK289" s="10">
        <v>11</v>
      </c>
      <c r="CL289" s="10">
        <v>9</v>
      </c>
      <c r="CM289" s="10">
        <v>8</v>
      </c>
      <c r="CN289" s="10">
        <v>6</v>
      </c>
      <c r="CO289" s="10">
        <v>8</v>
      </c>
      <c r="CP289" s="10">
        <v>7</v>
      </c>
      <c r="CQ289" s="10">
        <v>6</v>
      </c>
      <c r="CR289" s="10">
        <v>3</v>
      </c>
      <c r="CS289" s="10">
        <v>3</v>
      </c>
      <c r="CT289" s="10">
        <v>6</v>
      </c>
      <c r="CU289" s="10">
        <v>1</v>
      </c>
      <c r="CV289" s="10">
        <v>2</v>
      </c>
      <c r="CW289" s="10">
        <v>3</v>
      </c>
      <c r="CX289" s="10">
        <v>4</v>
      </c>
      <c r="CY289" s="10">
        <v>2</v>
      </c>
      <c r="CZ289" s="10">
        <v>2</v>
      </c>
      <c r="DA289" s="10">
        <v>3</v>
      </c>
      <c r="DB289" s="10">
        <v>4</v>
      </c>
      <c r="DC289" s="10">
        <v>1</v>
      </c>
      <c r="DD289" s="10">
        <v>1</v>
      </c>
      <c r="DE289" s="10">
        <v>1</v>
      </c>
      <c r="DF289" s="10">
        <v>2</v>
      </c>
      <c r="DG289" s="10">
        <v>3</v>
      </c>
      <c r="DH289" s="10">
        <v>2</v>
      </c>
      <c r="DI289" s="6"/>
      <c r="DJ289" s="10">
        <v>1</v>
      </c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10">
        <v>2</v>
      </c>
      <c r="EH289" s="10"/>
      <c r="EI289" s="10"/>
      <c r="EJ289" s="10"/>
      <c r="EK289" s="10"/>
      <c r="EL289" s="10"/>
    </row>
    <row r="290" ht="15">
      <c r="A290" s="6" t="s">
        <v>1191</v>
      </c>
      <c r="B290" s="6">
        <f t="shared" si="70"/>
        <v>1187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10">
        <v>8</v>
      </c>
      <c r="AX290" s="10">
        <v>3</v>
      </c>
      <c r="AY290" s="10">
        <v>1</v>
      </c>
      <c r="AZ290" s="10">
        <v>10</v>
      </c>
      <c r="BA290" s="10">
        <v>3</v>
      </c>
      <c r="BB290" s="6"/>
      <c r="BC290" s="10">
        <v>7</v>
      </c>
      <c r="BD290" s="10">
        <v>4</v>
      </c>
      <c r="BE290" s="10">
        <v>5</v>
      </c>
      <c r="BF290" s="10">
        <v>6</v>
      </c>
      <c r="BG290" s="10">
        <v>15</v>
      </c>
      <c r="BH290" s="10">
        <v>11</v>
      </c>
      <c r="BI290" s="10">
        <v>16</v>
      </c>
      <c r="BJ290" s="10">
        <v>23</v>
      </c>
      <c r="BK290" s="10">
        <v>46</v>
      </c>
      <c r="BL290" s="10">
        <v>64</v>
      </c>
      <c r="BM290" s="10">
        <v>77</v>
      </c>
      <c r="BN290" s="10">
        <v>45</v>
      </c>
      <c r="BO290" s="10">
        <v>37</v>
      </c>
      <c r="BP290" s="10">
        <v>57</v>
      </c>
      <c r="BQ290" s="10">
        <v>44</v>
      </c>
      <c r="BR290" s="10">
        <v>52</v>
      </c>
      <c r="BS290" s="10">
        <v>21</v>
      </c>
      <c r="BT290" s="10">
        <v>24</v>
      </c>
      <c r="BU290" s="10">
        <v>27</v>
      </c>
      <c r="BV290" s="10">
        <v>57</v>
      </c>
      <c r="BW290" s="10">
        <v>65</v>
      </c>
      <c r="BX290" s="10">
        <v>34</v>
      </c>
      <c r="BY290" s="10">
        <v>75</v>
      </c>
      <c r="BZ290" s="10">
        <v>61</v>
      </c>
      <c r="CA290" s="10">
        <v>39</v>
      </c>
      <c r="CB290" s="10">
        <v>33</v>
      </c>
      <c r="CC290" s="10">
        <v>56</v>
      </c>
      <c r="CD290" s="10">
        <v>50</v>
      </c>
      <c r="CE290" s="10">
        <v>22</v>
      </c>
      <c r="CF290" s="10">
        <v>89</v>
      </c>
      <c r="CG290" s="10">
        <v>62</v>
      </c>
      <c r="CH290" s="10">
        <v>60</v>
      </c>
      <c r="CI290" s="10">
        <v>83</v>
      </c>
      <c r="CJ290" s="10">
        <v>64</v>
      </c>
      <c r="CK290" s="10">
        <v>59</v>
      </c>
      <c r="CL290" s="10">
        <v>38</v>
      </c>
      <c r="CM290" s="10">
        <v>16</v>
      </c>
      <c r="CN290" s="10">
        <v>28</v>
      </c>
      <c r="CO290" s="10">
        <v>27</v>
      </c>
      <c r="CP290" s="10">
        <v>27</v>
      </c>
      <c r="CQ290" s="10">
        <v>21</v>
      </c>
      <c r="CR290" s="10">
        <v>26</v>
      </c>
      <c r="CS290" s="10">
        <v>10</v>
      </c>
      <c r="CT290" s="10">
        <v>21</v>
      </c>
      <c r="CU290" s="10">
        <v>31</v>
      </c>
      <c r="CV290" s="10">
        <v>19</v>
      </c>
      <c r="CW290" s="10">
        <v>35</v>
      </c>
      <c r="CX290" s="10">
        <v>25</v>
      </c>
      <c r="CY290" s="10">
        <v>31</v>
      </c>
      <c r="CZ290" s="10">
        <v>6</v>
      </c>
      <c r="DA290" s="10">
        <v>14</v>
      </c>
      <c r="DB290" s="10">
        <v>9</v>
      </c>
      <c r="DC290" s="10">
        <v>25</v>
      </c>
      <c r="DD290" s="10">
        <v>8</v>
      </c>
      <c r="DE290" s="10">
        <v>7</v>
      </c>
      <c r="DF290" s="10">
        <v>12</v>
      </c>
      <c r="DG290" s="10">
        <v>4</v>
      </c>
      <c r="DH290" s="10">
        <v>7</v>
      </c>
      <c r="DI290" s="10">
        <v>9</v>
      </c>
      <c r="DJ290" s="10">
        <v>4</v>
      </c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</row>
    <row r="291" ht="15">
      <c r="A291" s="6" t="s">
        <v>1219</v>
      </c>
      <c r="B291" s="6">
        <f t="shared" si="70"/>
        <v>530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10">
        <v>4</v>
      </c>
      <c r="BG291" s="10">
        <v>4</v>
      </c>
      <c r="BH291" s="10">
        <v>20</v>
      </c>
      <c r="BI291" s="10">
        <v>13</v>
      </c>
      <c r="BJ291" s="10">
        <v>9</v>
      </c>
      <c r="BK291" s="10">
        <v>8</v>
      </c>
      <c r="BL291" s="10">
        <v>9</v>
      </c>
      <c r="BM291" s="10">
        <v>7</v>
      </c>
      <c r="BN291" s="10">
        <v>7</v>
      </c>
      <c r="BO291" s="10">
        <v>11</v>
      </c>
      <c r="BP291" s="10">
        <v>27</v>
      </c>
      <c r="BQ291" s="10">
        <v>18</v>
      </c>
      <c r="BR291" s="10">
        <v>34</v>
      </c>
      <c r="BS291" s="10">
        <v>24</v>
      </c>
      <c r="BT291" s="10">
        <v>23</v>
      </c>
      <c r="BU291" s="10">
        <v>20</v>
      </c>
      <c r="BV291" s="10">
        <v>18</v>
      </c>
      <c r="BW291" s="10">
        <v>23</v>
      </c>
      <c r="BX291" s="10">
        <v>43</v>
      </c>
      <c r="BY291" s="10">
        <v>24</v>
      </c>
      <c r="BZ291" s="10">
        <v>10</v>
      </c>
      <c r="CA291" s="10">
        <v>18</v>
      </c>
      <c r="CB291" s="10">
        <v>13</v>
      </c>
      <c r="CC291" s="10">
        <v>34</v>
      </c>
      <c r="CD291" s="10">
        <v>29</v>
      </c>
      <c r="CE291" s="10">
        <v>52</v>
      </c>
      <c r="CF291" s="10">
        <v>28</v>
      </c>
      <c r="CG291" s="10">
        <v>40</v>
      </c>
      <c r="CH291" s="10">
        <v>33</v>
      </c>
      <c r="CI291" s="10">
        <v>28</v>
      </c>
      <c r="CJ291" s="10">
        <v>50</v>
      </c>
      <c r="CK291" s="10">
        <v>33</v>
      </c>
      <c r="CL291" s="10">
        <v>37</v>
      </c>
      <c r="CM291" s="10">
        <v>43</v>
      </c>
      <c r="CN291" s="10">
        <v>22</v>
      </c>
      <c r="CO291" s="10">
        <v>28</v>
      </c>
      <c r="CP291" s="10">
        <v>27</v>
      </c>
      <c r="CQ291" s="10">
        <v>49</v>
      </c>
      <c r="CR291" s="10">
        <v>30</v>
      </c>
      <c r="CS291" s="10">
        <v>22</v>
      </c>
      <c r="CT291" s="10">
        <v>7</v>
      </c>
      <c r="CU291" s="10">
        <v>10</v>
      </c>
      <c r="CV291" s="10">
        <v>22</v>
      </c>
      <c r="CW291" s="10">
        <v>10</v>
      </c>
      <c r="CX291" s="10">
        <v>20</v>
      </c>
      <c r="CY291" s="10">
        <v>10</v>
      </c>
      <c r="CZ291" s="10">
        <v>6</v>
      </c>
      <c r="DA291" s="10">
        <v>5</v>
      </c>
      <c r="DB291" s="6"/>
      <c r="DC291" s="10">
        <v>1</v>
      </c>
      <c r="DD291" s="10">
        <v>5</v>
      </c>
      <c r="DE291" s="10">
        <v>10</v>
      </c>
      <c r="DF291" s="10">
        <v>17</v>
      </c>
      <c r="DG291" s="10">
        <v>15</v>
      </c>
      <c r="DH291" s="10">
        <v>5</v>
      </c>
      <c r="DI291" s="6"/>
      <c r="DJ291" s="10">
        <v>1</v>
      </c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</row>
    <row r="292" ht="15" hidden="1">
      <c r="A292" s="6" t="s">
        <v>1255</v>
      </c>
      <c r="B292" s="6">
        <f t="shared" ref="B292:B355" si="71">SUM(C292:CF292)</f>
        <v>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10">
        <v>1</v>
      </c>
      <c r="CQ292" s="10">
        <v>1</v>
      </c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</row>
    <row r="293" ht="15">
      <c r="A293" s="6" t="s">
        <v>1275</v>
      </c>
      <c r="B293" s="6">
        <f t="shared" si="71"/>
        <v>2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10">
        <v>1</v>
      </c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10">
        <v>1</v>
      </c>
      <c r="CG293" s="6"/>
      <c r="CH293" s="6"/>
      <c r="CI293" s="10">
        <v>1</v>
      </c>
      <c r="CJ293" s="6"/>
      <c r="CK293" s="6"/>
      <c r="CL293" s="10">
        <v>1</v>
      </c>
      <c r="CM293" s="6"/>
      <c r="CN293" s="6"/>
      <c r="CO293" s="10">
        <v>2</v>
      </c>
      <c r="CP293" s="6"/>
      <c r="CQ293" s="6"/>
      <c r="CR293" s="10">
        <v>1</v>
      </c>
      <c r="CS293" s="6"/>
      <c r="CT293" s="6"/>
      <c r="CU293" s="10">
        <v>1</v>
      </c>
      <c r="CV293" s="6"/>
      <c r="CW293" s="6"/>
      <c r="CX293" s="6"/>
      <c r="CY293" s="10">
        <v>1</v>
      </c>
      <c r="CZ293" s="6"/>
      <c r="DA293" s="6"/>
      <c r="DB293" s="10">
        <v>1</v>
      </c>
      <c r="DC293" s="10">
        <v>1</v>
      </c>
      <c r="DD293" s="6"/>
      <c r="DE293" s="6"/>
      <c r="DF293" s="6"/>
      <c r="DG293" s="10">
        <v>2</v>
      </c>
      <c r="DH293" s="10">
        <v>1</v>
      </c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</row>
    <row r="294" ht="15">
      <c r="A294" s="6" t="s">
        <v>1279</v>
      </c>
      <c r="B294" s="6">
        <f t="shared" si="71"/>
        <v>691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10">
        <v>1</v>
      </c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10">
        <v>3</v>
      </c>
      <c r="BM294" s="10">
        <v>48</v>
      </c>
      <c r="BN294" s="10">
        <v>54</v>
      </c>
      <c r="BO294" s="10">
        <v>65</v>
      </c>
      <c r="BP294" s="10">
        <v>50</v>
      </c>
      <c r="BQ294" s="10">
        <v>21</v>
      </c>
      <c r="BR294" s="10">
        <v>25</v>
      </c>
      <c r="BS294" s="10">
        <v>28</v>
      </c>
      <c r="BT294" s="10">
        <v>21</v>
      </c>
      <c r="BU294" s="10">
        <v>23</v>
      </c>
      <c r="BV294" s="10">
        <v>29</v>
      </c>
      <c r="BW294" s="10">
        <v>45</v>
      </c>
      <c r="BX294" s="10">
        <v>38</v>
      </c>
      <c r="BY294" s="10">
        <v>40</v>
      </c>
      <c r="BZ294" s="10">
        <v>25</v>
      </c>
      <c r="CA294" s="10">
        <v>38</v>
      </c>
      <c r="CB294" s="10">
        <v>27</v>
      </c>
      <c r="CC294" s="10">
        <v>33</v>
      </c>
      <c r="CD294" s="10">
        <v>26</v>
      </c>
      <c r="CE294" s="10">
        <v>24</v>
      </c>
      <c r="CF294" s="10">
        <v>27</v>
      </c>
      <c r="CG294" s="10">
        <v>18</v>
      </c>
      <c r="CH294" s="10">
        <v>31</v>
      </c>
      <c r="CI294" s="10">
        <v>19</v>
      </c>
      <c r="CJ294" s="10">
        <v>32</v>
      </c>
      <c r="CK294" s="10">
        <v>37</v>
      </c>
      <c r="CL294" s="10">
        <v>61</v>
      </c>
      <c r="CM294" s="10">
        <v>42</v>
      </c>
      <c r="CN294" s="10">
        <v>27</v>
      </c>
      <c r="CO294" s="10">
        <v>37</v>
      </c>
      <c r="CP294" s="10">
        <v>33</v>
      </c>
      <c r="CQ294" s="10">
        <v>35</v>
      </c>
      <c r="CR294" s="10">
        <v>60</v>
      </c>
      <c r="CS294" s="10">
        <v>25</v>
      </c>
      <c r="CT294" s="10">
        <v>21</v>
      </c>
      <c r="CU294" s="10">
        <v>43</v>
      </c>
      <c r="CV294" s="10">
        <v>37</v>
      </c>
      <c r="CW294" s="10">
        <v>67</v>
      </c>
      <c r="CX294" s="10">
        <v>63</v>
      </c>
      <c r="CY294" s="10">
        <v>34</v>
      </c>
      <c r="CZ294" s="10">
        <v>32</v>
      </c>
      <c r="DA294" s="10">
        <v>27</v>
      </c>
      <c r="DB294" s="10">
        <v>23</v>
      </c>
      <c r="DC294" s="10">
        <v>16</v>
      </c>
      <c r="DD294" s="10">
        <v>33</v>
      </c>
      <c r="DE294" s="10">
        <v>18</v>
      </c>
      <c r="DF294" s="10">
        <v>6</v>
      </c>
      <c r="DG294" s="10">
        <v>16</v>
      </c>
      <c r="DH294" s="10">
        <v>11</v>
      </c>
      <c r="DI294" s="10">
        <v>16</v>
      </c>
      <c r="DJ294" s="10">
        <v>14</v>
      </c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</row>
    <row r="295" ht="15">
      <c r="A295" s="6" t="s">
        <v>1283</v>
      </c>
      <c r="B295" s="6">
        <f t="shared" si="71"/>
        <v>425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10">
        <v>3</v>
      </c>
      <c r="BF295" s="10">
        <v>3</v>
      </c>
      <c r="BG295" s="10">
        <v>10</v>
      </c>
      <c r="BH295" s="10">
        <v>11</v>
      </c>
      <c r="BI295" s="10">
        <v>11</v>
      </c>
      <c r="BJ295" s="10">
        <v>12</v>
      </c>
      <c r="BK295" s="10">
        <v>29</v>
      </c>
      <c r="BL295" s="10">
        <v>13</v>
      </c>
      <c r="BM295" s="10">
        <v>13</v>
      </c>
      <c r="BN295" s="10">
        <v>5</v>
      </c>
      <c r="BO295" s="10">
        <v>30</v>
      </c>
      <c r="BP295" s="10">
        <v>69</v>
      </c>
      <c r="BQ295" s="10">
        <v>42</v>
      </c>
      <c r="BR295" s="10">
        <v>52</v>
      </c>
      <c r="BS295" s="10">
        <v>12</v>
      </c>
      <c r="BT295" s="10">
        <v>10</v>
      </c>
      <c r="BU295" s="10">
        <v>3</v>
      </c>
      <c r="BV295" s="10">
        <v>4</v>
      </c>
      <c r="BW295" s="10">
        <v>11</v>
      </c>
      <c r="BX295" s="10">
        <v>12</v>
      </c>
      <c r="BY295" s="10">
        <v>11</v>
      </c>
      <c r="BZ295" s="10">
        <v>4</v>
      </c>
      <c r="CA295" s="10">
        <v>11</v>
      </c>
      <c r="CB295" s="10">
        <v>7</v>
      </c>
      <c r="CC295" s="10">
        <v>10</v>
      </c>
      <c r="CD295" s="10">
        <v>6</v>
      </c>
      <c r="CE295" s="10">
        <v>8</v>
      </c>
      <c r="CF295" s="10">
        <v>13</v>
      </c>
      <c r="CG295" s="10">
        <v>6</v>
      </c>
      <c r="CH295" s="10">
        <v>13</v>
      </c>
      <c r="CI295" s="10">
        <v>3</v>
      </c>
      <c r="CJ295" s="6"/>
      <c r="CK295" s="10">
        <v>4</v>
      </c>
      <c r="CL295" s="10">
        <v>2</v>
      </c>
      <c r="CM295" s="10">
        <v>1</v>
      </c>
      <c r="CN295" s="10">
        <v>1</v>
      </c>
      <c r="CO295" s="10">
        <v>3</v>
      </c>
      <c r="CP295" s="10">
        <v>2</v>
      </c>
      <c r="CQ295" s="10">
        <v>3</v>
      </c>
      <c r="CR295" s="10">
        <v>5</v>
      </c>
      <c r="CS295" s="10">
        <v>2</v>
      </c>
      <c r="CT295" s="10">
        <v>3</v>
      </c>
      <c r="CU295" s="10">
        <v>5</v>
      </c>
      <c r="CV295" s="10">
        <v>1</v>
      </c>
      <c r="CW295" s="10">
        <v>5</v>
      </c>
      <c r="CX295" s="6"/>
      <c r="CY295" s="10">
        <v>6</v>
      </c>
      <c r="CZ295" s="10">
        <v>5</v>
      </c>
      <c r="DA295" s="10">
        <v>3</v>
      </c>
      <c r="DB295" s="6"/>
      <c r="DC295" s="10">
        <v>4</v>
      </c>
      <c r="DD295" s="6"/>
      <c r="DE295" s="6"/>
      <c r="DF295" s="10">
        <v>2</v>
      </c>
      <c r="DG295" s="10">
        <v>3</v>
      </c>
      <c r="DH295" s="10">
        <v>5</v>
      </c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</row>
    <row r="296" ht="15">
      <c r="A296" s="6" t="s">
        <v>1287</v>
      </c>
      <c r="B296" s="6">
        <f t="shared" si="71"/>
        <v>429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10">
        <v>1</v>
      </c>
      <c r="AJ296" s="6"/>
      <c r="AK296" s="6"/>
      <c r="AL296" s="6"/>
      <c r="AM296" s="6"/>
      <c r="AN296" s="6"/>
      <c r="AO296" s="6"/>
      <c r="AP296" s="6"/>
      <c r="AQ296" s="10">
        <v>1</v>
      </c>
      <c r="AR296" s="10">
        <v>5</v>
      </c>
      <c r="AS296" s="10">
        <v>1</v>
      </c>
      <c r="AT296" s="6"/>
      <c r="AU296" s="10">
        <v>1</v>
      </c>
      <c r="AV296" s="10">
        <v>5</v>
      </c>
      <c r="AW296" s="10">
        <v>4</v>
      </c>
      <c r="AX296" s="6"/>
      <c r="AY296" s="6"/>
      <c r="AZ296" s="10">
        <v>2</v>
      </c>
      <c r="BA296" s="10">
        <v>1</v>
      </c>
      <c r="BB296" s="6"/>
      <c r="BC296" s="10">
        <v>2</v>
      </c>
      <c r="BD296" s="10">
        <v>1</v>
      </c>
      <c r="BE296" s="10">
        <v>3</v>
      </c>
      <c r="BF296" s="6"/>
      <c r="BG296" s="10">
        <v>4</v>
      </c>
      <c r="BH296" s="10">
        <v>3</v>
      </c>
      <c r="BI296" s="10">
        <v>7</v>
      </c>
      <c r="BJ296" s="10">
        <v>5</v>
      </c>
      <c r="BK296" s="10">
        <v>2</v>
      </c>
      <c r="BL296" s="10">
        <v>9</v>
      </c>
      <c r="BM296" s="10">
        <v>5</v>
      </c>
      <c r="BN296" s="10">
        <v>10</v>
      </c>
      <c r="BO296" s="10">
        <v>7</v>
      </c>
      <c r="BP296" s="10">
        <v>8</v>
      </c>
      <c r="BQ296" s="10">
        <v>15</v>
      </c>
      <c r="BR296" s="10">
        <v>14</v>
      </c>
      <c r="BS296" s="10">
        <v>25</v>
      </c>
      <c r="BT296" s="10">
        <v>9</v>
      </c>
      <c r="BU296" s="10">
        <v>14</v>
      </c>
      <c r="BV296" s="10">
        <v>23</v>
      </c>
      <c r="BW296" s="10">
        <v>23</v>
      </c>
      <c r="BX296" s="10">
        <v>33</v>
      </c>
      <c r="BY296" s="10">
        <v>12</v>
      </c>
      <c r="BZ296" s="10">
        <v>18</v>
      </c>
      <c r="CA296" s="10">
        <v>22</v>
      </c>
      <c r="CB296" s="10">
        <v>10</v>
      </c>
      <c r="CC296" s="10">
        <v>22</v>
      </c>
      <c r="CD296" s="10">
        <v>46</v>
      </c>
      <c r="CE296" s="10">
        <v>35</v>
      </c>
      <c r="CF296" s="10">
        <v>21</v>
      </c>
      <c r="CG296" s="10">
        <v>13</v>
      </c>
      <c r="CH296" s="10">
        <v>20</v>
      </c>
      <c r="CI296" s="10">
        <v>12</v>
      </c>
      <c r="CJ296" s="10">
        <v>22</v>
      </c>
      <c r="CK296" s="10">
        <v>7</v>
      </c>
      <c r="CL296" s="10">
        <v>13</v>
      </c>
      <c r="CM296" s="10">
        <v>12</v>
      </c>
      <c r="CN296" s="10">
        <v>9</v>
      </c>
      <c r="CO296" s="10">
        <v>15</v>
      </c>
      <c r="CP296" s="10">
        <v>10</v>
      </c>
      <c r="CQ296" s="10">
        <v>3</v>
      </c>
      <c r="CR296" s="10">
        <v>1</v>
      </c>
      <c r="CS296" s="6"/>
      <c r="CT296" s="10">
        <v>2</v>
      </c>
      <c r="CU296" s="10">
        <v>2</v>
      </c>
      <c r="CV296" s="10">
        <v>3</v>
      </c>
      <c r="CW296" s="10">
        <v>3</v>
      </c>
      <c r="CX296" s="10">
        <v>1</v>
      </c>
      <c r="CY296" s="10">
        <v>2</v>
      </c>
      <c r="CZ296" s="10">
        <v>1</v>
      </c>
      <c r="DA296" s="6"/>
      <c r="DB296" s="10">
        <v>1</v>
      </c>
      <c r="DC296" s="6"/>
      <c r="DD296" s="10">
        <v>2</v>
      </c>
      <c r="DE296" s="10">
        <v>1</v>
      </c>
      <c r="DF296" s="10">
        <v>4</v>
      </c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</row>
    <row r="297" ht="15">
      <c r="A297" s="6" t="s">
        <v>1291</v>
      </c>
      <c r="B297" s="6">
        <f t="shared" si="71"/>
        <v>1206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10">
        <v>1</v>
      </c>
      <c r="AN297" s="6"/>
      <c r="AO297" s="6"/>
      <c r="AP297" s="6"/>
      <c r="AQ297" s="10">
        <v>1</v>
      </c>
      <c r="AR297" s="6"/>
      <c r="AS297" s="6"/>
      <c r="AT297" s="6"/>
      <c r="AU297" s="10">
        <v>2</v>
      </c>
      <c r="AV297" s="10">
        <v>5</v>
      </c>
      <c r="AW297" s="10">
        <v>8</v>
      </c>
      <c r="AX297" s="10">
        <v>6</v>
      </c>
      <c r="AY297" s="10">
        <v>8</v>
      </c>
      <c r="AZ297" s="10">
        <v>8</v>
      </c>
      <c r="BA297" s="10">
        <v>8</v>
      </c>
      <c r="BB297" s="10">
        <v>6</v>
      </c>
      <c r="BC297" s="10">
        <v>8</v>
      </c>
      <c r="BD297" s="10">
        <v>7</v>
      </c>
      <c r="BE297" s="10">
        <v>3</v>
      </c>
      <c r="BF297" s="10">
        <v>2</v>
      </c>
      <c r="BG297" s="10">
        <v>9</v>
      </c>
      <c r="BH297" s="10">
        <v>7</v>
      </c>
      <c r="BI297" s="10">
        <v>13</v>
      </c>
      <c r="BJ297" s="10">
        <v>7</v>
      </c>
      <c r="BK297" s="10">
        <v>18</v>
      </c>
      <c r="BL297" s="10">
        <v>22</v>
      </c>
      <c r="BM297" s="10">
        <v>38</v>
      </c>
      <c r="BN297" s="10">
        <v>38</v>
      </c>
      <c r="BO297" s="10">
        <v>40</v>
      </c>
      <c r="BP297" s="10">
        <v>40</v>
      </c>
      <c r="BQ297" s="10">
        <v>70</v>
      </c>
      <c r="BR297" s="10">
        <v>63</v>
      </c>
      <c r="BS297" s="10">
        <v>86</v>
      </c>
      <c r="BT297" s="10">
        <v>111</v>
      </c>
      <c r="BU297" s="10">
        <v>75</v>
      </c>
      <c r="BV297" s="10">
        <v>39</v>
      </c>
      <c r="BW297" s="10">
        <v>59</v>
      </c>
      <c r="BX297" s="10">
        <v>79</v>
      </c>
      <c r="BY297" s="10">
        <v>47</v>
      </c>
      <c r="BZ297" s="10">
        <v>47</v>
      </c>
      <c r="CA297" s="10">
        <v>35</v>
      </c>
      <c r="CB297" s="10">
        <v>29</v>
      </c>
      <c r="CC297" s="10">
        <v>61</v>
      </c>
      <c r="CD297" s="10">
        <v>34</v>
      </c>
      <c r="CE297" s="10">
        <v>33</v>
      </c>
      <c r="CF297" s="10">
        <v>33</v>
      </c>
      <c r="CG297" s="10">
        <v>17</v>
      </c>
      <c r="CH297" s="10">
        <v>17</v>
      </c>
      <c r="CI297" s="10">
        <v>30</v>
      </c>
      <c r="CJ297" s="10">
        <v>38</v>
      </c>
      <c r="CK297" s="10">
        <v>37</v>
      </c>
      <c r="CL297" s="10">
        <v>35</v>
      </c>
      <c r="CM297" s="10">
        <v>20</v>
      </c>
      <c r="CN297" s="10">
        <v>35</v>
      </c>
      <c r="CO297" s="10">
        <v>19</v>
      </c>
      <c r="CP297" s="10">
        <v>13</v>
      </c>
      <c r="CQ297" s="10">
        <v>12</v>
      </c>
      <c r="CR297" s="10">
        <v>27</v>
      </c>
      <c r="CS297" s="10">
        <v>7</v>
      </c>
      <c r="CT297" s="10">
        <v>15</v>
      </c>
      <c r="CU297" s="10">
        <v>4</v>
      </c>
      <c r="CV297" s="10">
        <v>11</v>
      </c>
      <c r="CW297" s="10">
        <v>13</v>
      </c>
      <c r="CX297" s="10">
        <v>11</v>
      </c>
      <c r="CY297" s="10">
        <v>15</v>
      </c>
      <c r="CZ297" s="10">
        <v>15</v>
      </c>
      <c r="DA297" s="10">
        <v>18</v>
      </c>
      <c r="DB297" s="10">
        <v>20</v>
      </c>
      <c r="DC297" s="10">
        <v>19</v>
      </c>
      <c r="DD297" s="10">
        <v>12</v>
      </c>
      <c r="DE297" s="10">
        <v>10</v>
      </c>
      <c r="DF297" s="10">
        <v>7</v>
      </c>
      <c r="DG297" s="10">
        <v>7</v>
      </c>
      <c r="DH297" s="10">
        <v>3</v>
      </c>
      <c r="DI297" s="10">
        <v>9</v>
      </c>
      <c r="DJ297" s="10">
        <v>9</v>
      </c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</row>
    <row r="298" ht="15">
      <c r="A298" s="6" t="s">
        <v>1295</v>
      </c>
      <c r="B298" s="6">
        <f t="shared" si="71"/>
        <v>158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10">
        <v>1</v>
      </c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10">
        <v>1</v>
      </c>
      <c r="BH298" s="10">
        <v>1</v>
      </c>
      <c r="BI298" s="10">
        <v>1</v>
      </c>
      <c r="BJ298" s="10">
        <v>2</v>
      </c>
      <c r="BK298" s="10">
        <v>3</v>
      </c>
      <c r="BL298" s="10">
        <v>1</v>
      </c>
      <c r="BM298" s="10">
        <v>5</v>
      </c>
      <c r="BN298" s="10">
        <v>1</v>
      </c>
      <c r="BO298" s="10">
        <v>4</v>
      </c>
      <c r="BP298" s="10">
        <v>1</v>
      </c>
      <c r="BQ298" s="10">
        <v>15</v>
      </c>
      <c r="BR298" s="10">
        <v>15</v>
      </c>
      <c r="BS298" s="10">
        <v>5</v>
      </c>
      <c r="BT298" s="10">
        <v>2</v>
      </c>
      <c r="BU298" s="10">
        <v>5</v>
      </c>
      <c r="BV298" s="10">
        <v>8</v>
      </c>
      <c r="BW298" s="10">
        <v>2</v>
      </c>
      <c r="BX298" s="10">
        <v>1</v>
      </c>
      <c r="BY298" s="10">
        <v>2</v>
      </c>
      <c r="BZ298" s="10">
        <v>7</v>
      </c>
      <c r="CA298" s="10">
        <v>5</v>
      </c>
      <c r="CB298" s="10">
        <v>4</v>
      </c>
      <c r="CC298" s="10">
        <v>4</v>
      </c>
      <c r="CD298" s="10">
        <v>6</v>
      </c>
      <c r="CE298" s="10">
        <v>12</v>
      </c>
      <c r="CF298" s="10">
        <v>44</v>
      </c>
      <c r="CG298" s="10">
        <v>9</v>
      </c>
      <c r="CH298" s="10">
        <v>19</v>
      </c>
      <c r="CI298" s="10">
        <v>6</v>
      </c>
      <c r="CJ298" s="10">
        <v>3</v>
      </c>
      <c r="CK298" s="10">
        <v>1</v>
      </c>
      <c r="CL298" s="6"/>
      <c r="CM298" s="6"/>
      <c r="CN298" s="10">
        <v>1</v>
      </c>
      <c r="CO298" s="10">
        <v>1</v>
      </c>
      <c r="CP298" s="6"/>
      <c r="CQ298" s="10">
        <v>1</v>
      </c>
      <c r="CR298" s="10">
        <v>1</v>
      </c>
      <c r="CS298" s="10">
        <v>1</v>
      </c>
      <c r="CT298" s="6"/>
      <c r="CU298" s="6"/>
      <c r="CV298" s="6"/>
      <c r="CW298" s="10">
        <v>1</v>
      </c>
      <c r="CX298" s="10">
        <v>1</v>
      </c>
      <c r="CY298" s="6"/>
      <c r="CZ298" s="10">
        <v>1</v>
      </c>
      <c r="DA298" s="6"/>
      <c r="DB298" s="10">
        <v>1</v>
      </c>
      <c r="DC298" s="10">
        <v>1</v>
      </c>
      <c r="DD298" s="6"/>
      <c r="DE298" s="6"/>
      <c r="DF298" s="10">
        <v>3</v>
      </c>
      <c r="DG298" s="10">
        <v>3</v>
      </c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</row>
    <row r="299" ht="15">
      <c r="A299" s="6" t="s">
        <v>1299</v>
      </c>
      <c r="B299" s="6">
        <f t="shared" si="71"/>
        <v>5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10">
        <v>1</v>
      </c>
      <c r="BO299" s="6"/>
      <c r="BP299" s="6"/>
      <c r="BQ299" s="6"/>
      <c r="BR299" s="10">
        <v>1</v>
      </c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10">
        <v>2</v>
      </c>
      <c r="CE299" s="6"/>
      <c r="CF299" s="10">
        <v>1</v>
      </c>
      <c r="CG299" s="6"/>
      <c r="CH299" s="10">
        <v>2</v>
      </c>
      <c r="CI299" s="10">
        <v>2</v>
      </c>
      <c r="CJ299" s="6"/>
      <c r="CK299" s="10">
        <v>1</v>
      </c>
      <c r="CL299" s="10">
        <v>1</v>
      </c>
      <c r="CM299" s="6"/>
      <c r="CN299" s="6"/>
      <c r="CO299" s="10">
        <v>1</v>
      </c>
      <c r="CP299" s="6"/>
      <c r="CQ299" s="10">
        <v>1</v>
      </c>
      <c r="CR299" s="6"/>
      <c r="CS299" s="10">
        <v>1</v>
      </c>
      <c r="CT299" s="6"/>
      <c r="CU299" s="10">
        <v>2</v>
      </c>
      <c r="CV299" s="10">
        <v>2</v>
      </c>
      <c r="CW299" s="6"/>
      <c r="CX299" s="6"/>
      <c r="CY299" s="10">
        <v>3</v>
      </c>
      <c r="CZ299" s="10">
        <v>2</v>
      </c>
      <c r="DA299" s="10">
        <v>12</v>
      </c>
      <c r="DB299" s="10">
        <v>8</v>
      </c>
      <c r="DC299" s="10">
        <v>6</v>
      </c>
      <c r="DD299" s="10">
        <v>12</v>
      </c>
      <c r="DE299" s="10">
        <v>3</v>
      </c>
      <c r="DF299" s="10">
        <v>12</v>
      </c>
      <c r="DG299" s="10">
        <v>11</v>
      </c>
      <c r="DH299" s="10">
        <v>10</v>
      </c>
      <c r="DI299" s="10">
        <v>3</v>
      </c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</row>
    <row r="300" ht="15">
      <c r="A300" s="6" t="s">
        <v>1303</v>
      </c>
      <c r="B300" s="6">
        <f t="shared" si="71"/>
        <v>133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10">
        <v>1</v>
      </c>
      <c r="BG300" s="10">
        <v>2</v>
      </c>
      <c r="BH300" s="6"/>
      <c r="BI300" s="6"/>
      <c r="BJ300" s="10">
        <v>2</v>
      </c>
      <c r="BK300" s="10">
        <v>2</v>
      </c>
      <c r="BL300" s="10">
        <v>2</v>
      </c>
      <c r="BM300" s="10">
        <v>1</v>
      </c>
      <c r="BN300" s="10">
        <v>10</v>
      </c>
      <c r="BO300" s="10">
        <v>3</v>
      </c>
      <c r="BP300" s="10">
        <v>2</v>
      </c>
      <c r="BQ300" s="10">
        <v>3</v>
      </c>
      <c r="BR300" s="10">
        <v>1</v>
      </c>
      <c r="BS300" s="10">
        <v>6</v>
      </c>
      <c r="BT300" s="10">
        <v>3</v>
      </c>
      <c r="BU300" s="10">
        <v>4</v>
      </c>
      <c r="BV300" s="10">
        <v>5</v>
      </c>
      <c r="BW300" s="10">
        <v>6</v>
      </c>
      <c r="BX300" s="10">
        <v>8</v>
      </c>
      <c r="BY300" s="10">
        <v>6</v>
      </c>
      <c r="BZ300" s="10">
        <v>11</v>
      </c>
      <c r="CA300" s="10">
        <v>6</v>
      </c>
      <c r="CB300" s="10">
        <v>6</v>
      </c>
      <c r="CC300" s="10">
        <v>6</v>
      </c>
      <c r="CD300" s="10">
        <v>12</v>
      </c>
      <c r="CE300" s="10">
        <v>10</v>
      </c>
      <c r="CF300" s="10">
        <v>15</v>
      </c>
      <c r="CG300" s="10">
        <v>9</v>
      </c>
      <c r="CH300" s="10">
        <v>11</v>
      </c>
      <c r="CI300" s="10">
        <v>7</v>
      </c>
      <c r="CJ300" s="10">
        <v>12</v>
      </c>
      <c r="CK300" s="10">
        <v>8</v>
      </c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</row>
    <row r="301" ht="15">
      <c r="A301" s="6" t="s">
        <v>1307</v>
      </c>
      <c r="B301" s="6">
        <f t="shared" si="71"/>
        <v>34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10">
        <v>2</v>
      </c>
      <c r="BP301" s="6"/>
      <c r="BQ301" s="6"/>
      <c r="BR301" s="10">
        <v>3</v>
      </c>
      <c r="BS301" s="6"/>
      <c r="BT301" s="10">
        <v>2</v>
      </c>
      <c r="BU301" s="10">
        <v>1</v>
      </c>
      <c r="BV301" s="6"/>
      <c r="BW301" s="10">
        <v>1</v>
      </c>
      <c r="BX301" s="10">
        <v>1</v>
      </c>
      <c r="BY301" s="10">
        <v>3</v>
      </c>
      <c r="BZ301" s="10">
        <v>4</v>
      </c>
      <c r="CA301" s="10">
        <v>3</v>
      </c>
      <c r="CB301" s="6"/>
      <c r="CC301" s="10">
        <v>2</v>
      </c>
      <c r="CD301" s="10">
        <v>2</v>
      </c>
      <c r="CE301" s="10">
        <v>7</v>
      </c>
      <c r="CF301" s="10">
        <v>3</v>
      </c>
      <c r="CG301" s="6"/>
      <c r="CH301" s="10">
        <v>4</v>
      </c>
      <c r="CI301" s="6"/>
      <c r="CJ301" s="10">
        <v>6</v>
      </c>
      <c r="CK301" s="10">
        <v>14</v>
      </c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</row>
    <row r="302" ht="15">
      <c r="A302" s="6" t="s">
        <v>1311</v>
      </c>
      <c r="B302" s="6">
        <f t="shared" si="71"/>
        <v>45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10">
        <v>1</v>
      </c>
      <c r="BV302" s="6"/>
      <c r="BW302" s="10">
        <v>2</v>
      </c>
      <c r="BX302" s="10">
        <v>3</v>
      </c>
      <c r="BY302" s="10">
        <v>6</v>
      </c>
      <c r="BZ302" s="10">
        <v>8</v>
      </c>
      <c r="CA302" s="10">
        <v>3</v>
      </c>
      <c r="CB302" s="10">
        <v>5</v>
      </c>
      <c r="CC302" s="6"/>
      <c r="CD302" s="10">
        <v>3</v>
      </c>
      <c r="CE302" s="10">
        <v>10</v>
      </c>
      <c r="CF302" s="10">
        <v>4</v>
      </c>
      <c r="CG302" s="10">
        <v>8</v>
      </c>
      <c r="CH302" s="10">
        <v>7</v>
      </c>
      <c r="CI302" s="10">
        <v>3</v>
      </c>
      <c r="CJ302" s="10">
        <v>2</v>
      </c>
      <c r="CK302" s="10">
        <v>1</v>
      </c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</row>
    <row r="303" ht="15">
      <c r="A303" s="6" t="s">
        <v>1315</v>
      </c>
      <c r="B303" s="6">
        <f t="shared" si="71"/>
        <v>103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10">
        <v>1</v>
      </c>
      <c r="BA303" s="6"/>
      <c r="BB303" s="6"/>
      <c r="BC303" s="10">
        <v>1</v>
      </c>
      <c r="BD303" s="6"/>
      <c r="BE303" s="10">
        <v>1</v>
      </c>
      <c r="BF303" s="6"/>
      <c r="BG303" s="6"/>
      <c r="BH303" s="6"/>
      <c r="BI303" s="10">
        <v>1</v>
      </c>
      <c r="BJ303" s="6"/>
      <c r="BK303" s="6"/>
      <c r="BL303" s="10">
        <v>1</v>
      </c>
      <c r="BM303" s="6"/>
      <c r="BN303" s="10">
        <v>1</v>
      </c>
      <c r="BO303" s="10">
        <v>1</v>
      </c>
      <c r="BP303" s="10">
        <v>2</v>
      </c>
      <c r="BQ303" s="10">
        <v>5</v>
      </c>
      <c r="BR303" s="10">
        <v>4</v>
      </c>
      <c r="BS303" s="10">
        <v>4</v>
      </c>
      <c r="BT303" s="10">
        <v>3</v>
      </c>
      <c r="BU303" s="10">
        <v>4</v>
      </c>
      <c r="BV303" s="10">
        <v>4</v>
      </c>
      <c r="BW303" s="10">
        <v>3</v>
      </c>
      <c r="BX303" s="10">
        <v>1</v>
      </c>
      <c r="BY303" s="10">
        <v>7</v>
      </c>
      <c r="BZ303" s="10">
        <v>5</v>
      </c>
      <c r="CA303" s="10">
        <v>9</v>
      </c>
      <c r="CB303" s="10">
        <v>5</v>
      </c>
      <c r="CC303" s="10">
        <v>16</v>
      </c>
      <c r="CD303" s="10">
        <v>14</v>
      </c>
      <c r="CE303" s="10">
        <v>6</v>
      </c>
      <c r="CF303" s="10">
        <v>4</v>
      </c>
      <c r="CG303" s="10">
        <v>4</v>
      </c>
      <c r="CH303" s="10">
        <v>2</v>
      </c>
      <c r="CI303" s="10">
        <v>1</v>
      </c>
      <c r="CJ303" s="10">
        <v>4</v>
      </c>
      <c r="CK303" s="10">
        <v>7</v>
      </c>
      <c r="CL303" s="6"/>
      <c r="CM303" s="6"/>
      <c r="CN303" s="6"/>
      <c r="CO303" s="6"/>
      <c r="CP303" s="10">
        <v>1</v>
      </c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10">
        <v>1</v>
      </c>
      <c r="EH303" s="10"/>
      <c r="EI303" s="10"/>
      <c r="EJ303" s="10"/>
      <c r="EK303" s="10"/>
      <c r="EL303" s="10"/>
    </row>
    <row r="304" ht="15">
      <c r="A304" s="6" t="s">
        <v>1319</v>
      </c>
      <c r="B304" s="6">
        <f t="shared" si="71"/>
        <v>638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10">
        <v>9</v>
      </c>
      <c r="AS304" s="6"/>
      <c r="AT304" s="6"/>
      <c r="AU304" s="6"/>
      <c r="AV304" s="6"/>
      <c r="AW304" s="10">
        <v>2</v>
      </c>
      <c r="AX304" s="10">
        <v>12</v>
      </c>
      <c r="AY304" s="10">
        <v>10</v>
      </c>
      <c r="AZ304" s="10">
        <v>8</v>
      </c>
      <c r="BA304" s="10">
        <v>11</v>
      </c>
      <c r="BB304" s="10">
        <v>43</v>
      </c>
      <c r="BC304" s="10">
        <v>5</v>
      </c>
      <c r="BD304" s="10">
        <v>10</v>
      </c>
      <c r="BE304" s="10">
        <v>15</v>
      </c>
      <c r="BF304" s="10">
        <v>36</v>
      </c>
      <c r="BG304" s="10">
        <v>93</v>
      </c>
      <c r="BH304" s="10">
        <v>25</v>
      </c>
      <c r="BI304" s="10">
        <v>12</v>
      </c>
      <c r="BJ304" s="10">
        <v>9</v>
      </c>
      <c r="BK304" s="10">
        <v>9</v>
      </c>
      <c r="BL304" s="10">
        <v>28</v>
      </c>
      <c r="BM304" s="10">
        <v>22</v>
      </c>
      <c r="BN304" s="10">
        <v>33</v>
      </c>
      <c r="BO304" s="10">
        <v>48</v>
      </c>
      <c r="BP304" s="10">
        <v>24</v>
      </c>
      <c r="BQ304" s="10">
        <v>20</v>
      </c>
      <c r="BR304" s="10">
        <v>4</v>
      </c>
      <c r="BS304" s="10">
        <v>3</v>
      </c>
      <c r="BT304" s="10">
        <v>13</v>
      </c>
      <c r="BU304" s="10">
        <v>10</v>
      </c>
      <c r="BV304" s="10">
        <v>27</v>
      </c>
      <c r="BW304" s="10">
        <v>14</v>
      </c>
      <c r="BX304" s="10">
        <v>21</v>
      </c>
      <c r="BY304" s="10">
        <v>12</v>
      </c>
      <c r="BZ304" s="10">
        <v>5</v>
      </c>
      <c r="CA304" s="10">
        <v>8</v>
      </c>
      <c r="CB304" s="10">
        <v>8</v>
      </c>
      <c r="CC304" s="10">
        <v>5</v>
      </c>
      <c r="CD304" s="10">
        <v>8</v>
      </c>
      <c r="CE304" s="10">
        <v>6</v>
      </c>
      <c r="CF304" s="10">
        <v>10</v>
      </c>
      <c r="CG304" s="10">
        <v>10</v>
      </c>
      <c r="CH304" s="10">
        <v>10</v>
      </c>
      <c r="CI304" s="10">
        <v>5</v>
      </c>
      <c r="CJ304" s="10">
        <v>5</v>
      </c>
      <c r="CK304" s="10">
        <v>1</v>
      </c>
      <c r="CL304" s="10">
        <v>1</v>
      </c>
      <c r="CM304" s="10">
        <v>2</v>
      </c>
      <c r="CN304" s="6"/>
      <c r="CO304" s="10">
        <v>2</v>
      </c>
      <c r="CP304" s="10">
        <v>3</v>
      </c>
      <c r="CQ304" s="6"/>
      <c r="CR304" s="6"/>
      <c r="CS304" s="6"/>
      <c r="CT304" s="6"/>
      <c r="CU304" s="10">
        <v>1</v>
      </c>
      <c r="CV304" s="6"/>
      <c r="CW304" s="6"/>
      <c r="CX304" s="10">
        <v>1</v>
      </c>
      <c r="CY304" s="6"/>
      <c r="CZ304" s="10">
        <v>2</v>
      </c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</row>
    <row r="305" ht="15">
      <c r="A305" s="6" t="s">
        <v>1323</v>
      </c>
      <c r="B305" s="6">
        <f t="shared" si="71"/>
        <v>227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10">
        <v>1</v>
      </c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0">
        <v>1</v>
      </c>
      <c r="AV305" s="10">
        <v>2</v>
      </c>
      <c r="AW305" s="6"/>
      <c r="AX305" s="6"/>
      <c r="AY305" s="6"/>
      <c r="AZ305" s="6"/>
      <c r="BA305" s="6"/>
      <c r="BB305" s="10">
        <v>3</v>
      </c>
      <c r="BC305" s="6"/>
      <c r="BD305" s="6"/>
      <c r="BE305" s="10">
        <v>3</v>
      </c>
      <c r="BF305" s="10">
        <v>1</v>
      </c>
      <c r="BG305" s="6"/>
      <c r="BH305" s="6"/>
      <c r="BI305" s="6"/>
      <c r="BJ305" s="10">
        <v>4</v>
      </c>
      <c r="BK305" s="10">
        <v>2</v>
      </c>
      <c r="BL305" s="10">
        <v>20</v>
      </c>
      <c r="BM305" s="10">
        <v>2</v>
      </c>
      <c r="BN305" s="10">
        <v>2</v>
      </c>
      <c r="BO305" s="10">
        <v>8</v>
      </c>
      <c r="BP305" s="10">
        <v>6</v>
      </c>
      <c r="BQ305" s="10">
        <v>13</v>
      </c>
      <c r="BR305" s="10">
        <v>6</v>
      </c>
      <c r="BS305" s="10">
        <v>1</v>
      </c>
      <c r="BT305" s="10">
        <v>4</v>
      </c>
      <c r="BU305" s="10">
        <v>8</v>
      </c>
      <c r="BV305" s="10">
        <v>53</v>
      </c>
      <c r="BW305" s="10">
        <v>7</v>
      </c>
      <c r="BX305" s="10">
        <v>9</v>
      </c>
      <c r="BY305" s="10">
        <v>2</v>
      </c>
      <c r="BZ305" s="10">
        <v>6</v>
      </c>
      <c r="CA305" s="10">
        <v>4</v>
      </c>
      <c r="CB305" s="10">
        <v>16</v>
      </c>
      <c r="CC305" s="10">
        <v>6</v>
      </c>
      <c r="CD305" s="10">
        <v>12</v>
      </c>
      <c r="CE305" s="10">
        <v>11</v>
      </c>
      <c r="CF305" s="10">
        <v>14</v>
      </c>
      <c r="CG305" s="10">
        <v>2</v>
      </c>
      <c r="CH305" s="10">
        <v>1</v>
      </c>
      <c r="CI305" s="10">
        <v>2</v>
      </c>
      <c r="CJ305" s="6"/>
      <c r="CK305" s="6"/>
      <c r="CL305" s="6"/>
      <c r="CM305" s="10">
        <v>1</v>
      </c>
      <c r="CN305" s="6"/>
      <c r="CO305" s="6"/>
      <c r="CP305" s="10">
        <v>1</v>
      </c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</row>
    <row r="306" ht="15">
      <c r="A306" s="6" t="s">
        <v>1327</v>
      </c>
      <c r="B306" s="6">
        <f t="shared" si="71"/>
        <v>15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10">
        <v>1</v>
      </c>
      <c r="AW306" s="6"/>
      <c r="AX306" s="6"/>
      <c r="AY306" s="6"/>
      <c r="AZ306" s="6"/>
      <c r="BA306" s="10">
        <v>1</v>
      </c>
      <c r="BB306" s="6"/>
      <c r="BC306" s="6"/>
      <c r="BD306" s="6"/>
      <c r="BE306" s="10">
        <v>2</v>
      </c>
      <c r="BF306" s="6"/>
      <c r="BG306" s="10">
        <v>2</v>
      </c>
      <c r="BH306" s="10">
        <v>4</v>
      </c>
      <c r="BI306" s="6"/>
      <c r="BJ306" s="6"/>
      <c r="BK306" s="10">
        <v>1</v>
      </c>
      <c r="BL306" s="6"/>
      <c r="BM306" s="10">
        <v>1</v>
      </c>
      <c r="BN306" s="6"/>
      <c r="BO306" s="6"/>
      <c r="BP306" s="6"/>
      <c r="BQ306" s="6"/>
      <c r="BR306" s="6"/>
      <c r="BS306" s="6"/>
      <c r="BT306" s="10">
        <v>1</v>
      </c>
      <c r="BU306" s="10">
        <v>2</v>
      </c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</row>
    <row r="307" ht="15">
      <c r="A307" s="6" t="s">
        <v>1331</v>
      </c>
      <c r="B307" s="6">
        <f t="shared" si="71"/>
        <v>12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10">
        <v>2</v>
      </c>
      <c r="BF307" s="6"/>
      <c r="BG307" s="6"/>
      <c r="BH307" s="6"/>
      <c r="BI307" s="10">
        <v>1</v>
      </c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10">
        <v>1</v>
      </c>
      <c r="CD307" s="10">
        <v>4</v>
      </c>
      <c r="CE307" s="10">
        <v>1</v>
      </c>
      <c r="CF307" s="10">
        <v>3</v>
      </c>
      <c r="CG307" s="10">
        <v>5</v>
      </c>
      <c r="CH307" s="6"/>
      <c r="CI307" s="10">
        <v>1</v>
      </c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</row>
    <row r="308" ht="15">
      <c r="A308" s="6" t="s">
        <v>1335</v>
      </c>
      <c r="B308" s="6">
        <f t="shared" si="71"/>
        <v>95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10">
        <v>2</v>
      </c>
      <c r="AQ308" s="10">
        <v>1</v>
      </c>
      <c r="AR308" s="10">
        <v>7</v>
      </c>
      <c r="AS308" s="10">
        <v>2</v>
      </c>
      <c r="AT308" s="10">
        <v>1</v>
      </c>
      <c r="AU308" s="10">
        <v>1</v>
      </c>
      <c r="AV308" s="10">
        <v>1</v>
      </c>
      <c r="AW308" s="10">
        <v>4</v>
      </c>
      <c r="AX308" s="10">
        <v>2</v>
      </c>
      <c r="AY308" s="10">
        <v>3</v>
      </c>
      <c r="AZ308" s="6"/>
      <c r="BA308" s="10">
        <v>1</v>
      </c>
      <c r="BB308" s="10">
        <v>3</v>
      </c>
      <c r="BC308" s="10">
        <v>1</v>
      </c>
      <c r="BD308" s="10">
        <v>2</v>
      </c>
      <c r="BE308" s="10">
        <v>3</v>
      </c>
      <c r="BF308" s="10">
        <v>1</v>
      </c>
      <c r="BG308" s="10">
        <v>1</v>
      </c>
      <c r="BH308" s="10">
        <v>2</v>
      </c>
      <c r="BI308" s="10">
        <v>3</v>
      </c>
      <c r="BJ308" s="10">
        <v>3</v>
      </c>
      <c r="BK308" s="10">
        <v>3</v>
      </c>
      <c r="BL308" s="10">
        <v>4</v>
      </c>
      <c r="BM308" s="10">
        <v>2</v>
      </c>
      <c r="BN308" s="10">
        <v>1</v>
      </c>
      <c r="BO308" s="10">
        <v>4</v>
      </c>
      <c r="BP308" s="10">
        <v>1</v>
      </c>
      <c r="BQ308" s="10">
        <v>8</v>
      </c>
      <c r="BR308" s="10">
        <v>4</v>
      </c>
      <c r="BS308" s="10">
        <v>3</v>
      </c>
      <c r="BT308" s="10">
        <v>3</v>
      </c>
      <c r="BU308" s="6"/>
      <c r="BV308" s="10">
        <v>2</v>
      </c>
      <c r="BW308" s="10">
        <v>8</v>
      </c>
      <c r="BX308" s="10">
        <v>2</v>
      </c>
      <c r="BY308" s="10">
        <v>2</v>
      </c>
      <c r="BZ308" s="6"/>
      <c r="CA308" s="10">
        <v>2</v>
      </c>
      <c r="CB308" s="10">
        <v>1</v>
      </c>
      <c r="CC308" s="6"/>
      <c r="CD308" s="10">
        <v>1</v>
      </c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</row>
    <row r="309" ht="15">
      <c r="A309" s="6" t="s">
        <v>1339</v>
      </c>
      <c r="B309" s="6">
        <f t="shared" si="71"/>
        <v>873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0">
        <v>2</v>
      </c>
      <c r="AL309" s="6"/>
      <c r="AM309" s="6"/>
      <c r="AN309" s="6"/>
      <c r="AO309" s="10">
        <v>2</v>
      </c>
      <c r="AP309" s="10">
        <v>1</v>
      </c>
      <c r="AQ309" s="10">
        <v>3</v>
      </c>
      <c r="AR309" s="10">
        <v>5</v>
      </c>
      <c r="AS309" s="6"/>
      <c r="AT309" s="6"/>
      <c r="AU309" s="10">
        <v>2</v>
      </c>
      <c r="AV309" s="10">
        <v>5</v>
      </c>
      <c r="AW309" s="10">
        <v>6</v>
      </c>
      <c r="AX309" s="10">
        <v>7</v>
      </c>
      <c r="AY309" s="10">
        <v>3</v>
      </c>
      <c r="AZ309" s="10">
        <v>9</v>
      </c>
      <c r="BA309" s="10">
        <v>10</v>
      </c>
      <c r="BB309" s="10">
        <v>28</v>
      </c>
      <c r="BC309" s="10">
        <v>19</v>
      </c>
      <c r="BD309" s="10">
        <v>49</v>
      </c>
      <c r="BE309" s="10">
        <v>59</v>
      </c>
      <c r="BF309" s="10">
        <v>70</v>
      </c>
      <c r="BG309" s="10">
        <v>75</v>
      </c>
      <c r="BH309" s="10">
        <v>82</v>
      </c>
      <c r="BI309" s="10">
        <v>73</v>
      </c>
      <c r="BJ309" s="10">
        <v>31</v>
      </c>
      <c r="BK309" s="10">
        <v>20</v>
      </c>
      <c r="BL309" s="10">
        <v>31</v>
      </c>
      <c r="BM309" s="10">
        <v>33</v>
      </c>
      <c r="BN309" s="10">
        <v>25</v>
      </c>
      <c r="BO309" s="10">
        <v>51</v>
      </c>
      <c r="BP309" s="10">
        <v>11</v>
      </c>
      <c r="BQ309" s="10">
        <v>25</v>
      </c>
      <c r="BR309" s="10">
        <v>14</v>
      </c>
      <c r="BS309" s="10">
        <v>10</v>
      </c>
      <c r="BT309" s="10">
        <v>16</v>
      </c>
      <c r="BU309" s="10">
        <v>11</v>
      </c>
      <c r="BV309" s="10">
        <v>3</v>
      </c>
      <c r="BW309" s="10">
        <v>2</v>
      </c>
      <c r="BX309" s="10">
        <v>11</v>
      </c>
      <c r="BY309" s="10">
        <v>3</v>
      </c>
      <c r="BZ309" s="10">
        <v>8</v>
      </c>
      <c r="CA309" s="10">
        <v>12</v>
      </c>
      <c r="CB309" s="10">
        <v>2</v>
      </c>
      <c r="CC309" s="10">
        <v>12</v>
      </c>
      <c r="CD309" s="10">
        <v>5</v>
      </c>
      <c r="CE309" s="10">
        <v>22</v>
      </c>
      <c r="CF309" s="10">
        <v>5</v>
      </c>
      <c r="CG309" s="10">
        <v>6</v>
      </c>
      <c r="CH309" s="10">
        <v>2</v>
      </c>
      <c r="CI309" s="10">
        <v>6</v>
      </c>
      <c r="CJ309" s="10">
        <v>16</v>
      </c>
      <c r="CK309" s="10">
        <v>6</v>
      </c>
      <c r="CL309" s="10">
        <v>4</v>
      </c>
      <c r="CM309" s="10">
        <v>1</v>
      </c>
      <c r="CN309" s="10">
        <v>5</v>
      </c>
      <c r="CO309" s="10">
        <v>16</v>
      </c>
      <c r="CP309" s="10">
        <v>5</v>
      </c>
      <c r="CQ309" s="10">
        <v>1</v>
      </c>
      <c r="CR309" s="10">
        <v>5</v>
      </c>
      <c r="CS309" s="6"/>
      <c r="CT309" s="6"/>
      <c r="CU309" s="6"/>
      <c r="CV309" s="10">
        <v>2</v>
      </c>
      <c r="CW309" s="10">
        <v>1</v>
      </c>
      <c r="CX309" s="10">
        <v>1</v>
      </c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10">
        <v>1</v>
      </c>
      <c r="EH309" s="10"/>
      <c r="EI309" s="10"/>
      <c r="EJ309" s="10"/>
      <c r="EK309" s="10"/>
      <c r="EL309" s="10"/>
    </row>
    <row r="310" ht="15">
      <c r="A310" s="6" t="s">
        <v>1343</v>
      </c>
      <c r="B310" s="6">
        <f t="shared" si="71"/>
        <v>883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10">
        <v>1</v>
      </c>
      <c r="AE310" s="6"/>
      <c r="AF310" s="6"/>
      <c r="AG310" s="6"/>
      <c r="AH310" s="10">
        <v>1</v>
      </c>
      <c r="AI310" s="6"/>
      <c r="AJ310" s="6"/>
      <c r="AK310" s="6"/>
      <c r="AL310" s="6"/>
      <c r="AM310" s="6"/>
      <c r="AN310" s="6"/>
      <c r="AO310" s="6"/>
      <c r="AP310" s="6"/>
      <c r="AQ310" s="6"/>
      <c r="AR310" s="10">
        <v>5</v>
      </c>
      <c r="AS310" s="10">
        <v>3</v>
      </c>
      <c r="AT310" s="10">
        <v>1</v>
      </c>
      <c r="AU310" s="10">
        <v>1</v>
      </c>
      <c r="AV310" s="6"/>
      <c r="AW310" s="10">
        <v>2</v>
      </c>
      <c r="AX310" s="10">
        <v>10</v>
      </c>
      <c r="AY310" s="10">
        <v>7</v>
      </c>
      <c r="AZ310" s="10">
        <v>4</v>
      </c>
      <c r="BA310" s="10">
        <v>7</v>
      </c>
      <c r="BB310" s="10">
        <v>23</v>
      </c>
      <c r="BC310" s="10">
        <v>7</v>
      </c>
      <c r="BD310" s="10">
        <v>11</v>
      </c>
      <c r="BE310" s="10">
        <v>34</v>
      </c>
      <c r="BF310" s="10">
        <v>40</v>
      </c>
      <c r="BG310" s="10">
        <v>63</v>
      </c>
      <c r="BH310" s="10">
        <v>77</v>
      </c>
      <c r="BI310" s="10">
        <v>35</v>
      </c>
      <c r="BJ310" s="10">
        <v>24</v>
      </c>
      <c r="BK310" s="10">
        <v>43</v>
      </c>
      <c r="BL310" s="10">
        <v>52</v>
      </c>
      <c r="BM310" s="10">
        <v>28</v>
      </c>
      <c r="BN310" s="10">
        <v>39</v>
      </c>
      <c r="BO310" s="10">
        <v>36</v>
      </c>
      <c r="BP310" s="10">
        <v>24</v>
      </c>
      <c r="BQ310" s="10">
        <v>21</v>
      </c>
      <c r="BR310" s="10">
        <v>27</v>
      </c>
      <c r="BS310" s="10">
        <v>24</v>
      </c>
      <c r="BT310" s="10">
        <v>41</v>
      </c>
      <c r="BU310" s="10">
        <v>21</v>
      </c>
      <c r="BV310" s="10">
        <v>41</v>
      </c>
      <c r="BW310" s="10">
        <v>30</v>
      </c>
      <c r="BX310" s="10">
        <v>19</v>
      </c>
      <c r="BY310" s="10">
        <v>20</v>
      </c>
      <c r="BZ310" s="10">
        <v>10</v>
      </c>
      <c r="CA310" s="10">
        <v>6</v>
      </c>
      <c r="CB310" s="10">
        <v>5</v>
      </c>
      <c r="CC310" s="10">
        <v>8</v>
      </c>
      <c r="CD310" s="10">
        <v>10</v>
      </c>
      <c r="CE310" s="10">
        <v>10</v>
      </c>
      <c r="CF310" s="10">
        <v>12</v>
      </c>
      <c r="CG310" s="10">
        <v>11</v>
      </c>
      <c r="CH310" s="10">
        <v>4</v>
      </c>
      <c r="CI310" s="10">
        <v>1</v>
      </c>
      <c r="CJ310" s="10">
        <v>2</v>
      </c>
      <c r="CK310" s="6"/>
      <c r="CL310" s="6"/>
      <c r="CM310" s="6"/>
      <c r="CN310" s="10">
        <v>1</v>
      </c>
      <c r="CO310" s="10">
        <v>1</v>
      </c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10">
        <v>1</v>
      </c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</row>
    <row r="311" ht="15">
      <c r="A311" s="6" t="s">
        <v>1347</v>
      </c>
      <c r="B311" s="6">
        <f t="shared" si="71"/>
        <v>30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10">
        <v>1</v>
      </c>
      <c r="AY311" s="6"/>
      <c r="AZ311" s="10">
        <v>1</v>
      </c>
      <c r="BA311" s="10">
        <v>2</v>
      </c>
      <c r="BB311" s="10">
        <v>1</v>
      </c>
      <c r="BC311" s="6"/>
      <c r="BD311" s="6"/>
      <c r="BE311" s="10">
        <v>2</v>
      </c>
      <c r="BF311" s="6"/>
      <c r="BG311" s="10">
        <v>1</v>
      </c>
      <c r="BH311" s="10">
        <v>2</v>
      </c>
      <c r="BI311" s="6"/>
      <c r="BJ311" s="10">
        <v>2</v>
      </c>
      <c r="BK311" s="6"/>
      <c r="BL311" s="10">
        <v>3</v>
      </c>
      <c r="BM311" s="10">
        <v>4</v>
      </c>
      <c r="BN311" s="6"/>
      <c r="BO311" s="10">
        <v>1</v>
      </c>
      <c r="BP311" s="6"/>
      <c r="BQ311" s="10">
        <v>2</v>
      </c>
      <c r="BR311" s="10">
        <v>1</v>
      </c>
      <c r="BS311" s="10">
        <v>1</v>
      </c>
      <c r="BT311" s="10">
        <v>5</v>
      </c>
      <c r="BU311" s="6"/>
      <c r="BV311" s="6"/>
      <c r="BW311" s="6"/>
      <c r="BX311" s="6"/>
      <c r="BY311" s="6"/>
      <c r="BZ311" s="10">
        <v>1</v>
      </c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</row>
    <row r="312" ht="15">
      <c r="A312" s="6" t="s">
        <v>1351</v>
      </c>
      <c r="B312" s="6">
        <f t="shared" si="71"/>
        <v>44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0">
        <v>2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10">
        <v>1</v>
      </c>
      <c r="AS312" s="6"/>
      <c r="AT312" s="6"/>
      <c r="AU312" s="6"/>
      <c r="AV312" s="6"/>
      <c r="AW312" s="6"/>
      <c r="AX312" s="6"/>
      <c r="AY312" s="6"/>
      <c r="AZ312" s="10">
        <v>1</v>
      </c>
      <c r="BA312" s="6"/>
      <c r="BB312" s="10">
        <v>1</v>
      </c>
      <c r="BC312" s="10">
        <v>2</v>
      </c>
      <c r="BD312" s="10">
        <v>4</v>
      </c>
      <c r="BE312" s="10">
        <v>1</v>
      </c>
      <c r="BF312" s="6"/>
      <c r="BG312" s="10">
        <v>2</v>
      </c>
      <c r="BH312" s="10">
        <v>1</v>
      </c>
      <c r="BI312" s="6"/>
      <c r="BJ312" s="6"/>
      <c r="BK312" s="10">
        <v>3</v>
      </c>
      <c r="BL312" s="10">
        <v>1</v>
      </c>
      <c r="BM312" s="10">
        <v>1</v>
      </c>
      <c r="BN312" s="6"/>
      <c r="BO312" s="10">
        <v>2</v>
      </c>
      <c r="BP312" s="6"/>
      <c r="BQ312" s="10">
        <v>1</v>
      </c>
      <c r="BR312" s="10">
        <v>1</v>
      </c>
      <c r="BS312" s="10">
        <v>1</v>
      </c>
      <c r="BT312" s="10">
        <v>2</v>
      </c>
      <c r="BU312" s="10">
        <v>1</v>
      </c>
      <c r="BV312" s="10">
        <v>1</v>
      </c>
      <c r="BW312" s="10">
        <v>2</v>
      </c>
      <c r="BX312" s="10">
        <v>2</v>
      </c>
      <c r="BY312" s="10">
        <v>2</v>
      </c>
      <c r="BZ312" s="6"/>
      <c r="CA312" s="10">
        <v>1</v>
      </c>
      <c r="CB312" s="10">
        <v>1</v>
      </c>
      <c r="CC312" s="10">
        <v>3</v>
      </c>
      <c r="CD312" s="6"/>
      <c r="CE312" s="10">
        <v>3</v>
      </c>
      <c r="CF312" s="10">
        <v>1</v>
      </c>
      <c r="CG312" s="6"/>
      <c r="CH312" s="10">
        <v>1</v>
      </c>
      <c r="CI312" s="10">
        <v>4</v>
      </c>
      <c r="CJ312" s="10">
        <v>3</v>
      </c>
      <c r="CK312" s="6"/>
      <c r="CL312" s="10">
        <v>3</v>
      </c>
      <c r="CM312" s="10">
        <v>1</v>
      </c>
      <c r="CN312" s="10">
        <v>2</v>
      </c>
      <c r="CO312" s="10">
        <v>1</v>
      </c>
      <c r="CP312" s="10">
        <v>3</v>
      </c>
      <c r="CQ312" s="6"/>
      <c r="CR312" s="10">
        <v>1</v>
      </c>
      <c r="CS312" s="10">
        <v>3</v>
      </c>
      <c r="CT312" s="10">
        <v>1</v>
      </c>
      <c r="CU312" s="6"/>
      <c r="CV312" s="10">
        <v>1</v>
      </c>
      <c r="CW312" s="10">
        <v>1</v>
      </c>
      <c r="CX312" s="6"/>
      <c r="CY312" s="10">
        <v>1</v>
      </c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</row>
    <row r="313" ht="15">
      <c r="A313" s="6" t="s">
        <v>1355</v>
      </c>
      <c r="B313" s="6">
        <f t="shared" si="71"/>
        <v>13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10">
        <v>1</v>
      </c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10">
        <v>1</v>
      </c>
      <c r="BD313" s="10">
        <v>1</v>
      </c>
      <c r="BE313" s="10">
        <v>2</v>
      </c>
      <c r="BF313" s="6"/>
      <c r="BG313" s="6"/>
      <c r="BH313" s="6"/>
      <c r="BI313" s="10">
        <v>1</v>
      </c>
      <c r="BJ313" s="10">
        <v>3</v>
      </c>
      <c r="BK313" s="10">
        <v>2</v>
      </c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10">
        <v>2</v>
      </c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</row>
    <row r="314" ht="15">
      <c r="A314" s="6" t="s">
        <v>1359</v>
      </c>
      <c r="B314" s="6">
        <f t="shared" si="71"/>
        <v>3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10">
        <v>1</v>
      </c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10">
        <v>1</v>
      </c>
      <c r="BD314" s="10">
        <v>1</v>
      </c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</row>
    <row r="315" ht="15">
      <c r="A315" s="6" t="s">
        <v>1363</v>
      </c>
      <c r="B315" s="6">
        <f t="shared" si="71"/>
        <v>26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10">
        <v>3</v>
      </c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10">
        <v>1</v>
      </c>
      <c r="AW315" s="10">
        <v>3</v>
      </c>
      <c r="AX315" s="10">
        <v>1</v>
      </c>
      <c r="AY315" s="6"/>
      <c r="AZ315" s="10">
        <v>2</v>
      </c>
      <c r="BA315" s="6"/>
      <c r="BB315" s="10">
        <v>1</v>
      </c>
      <c r="BC315" s="10">
        <v>1</v>
      </c>
      <c r="BD315" s="6"/>
      <c r="BE315" s="10">
        <v>3</v>
      </c>
      <c r="BF315" s="6"/>
      <c r="BG315" s="6"/>
      <c r="BH315" s="6"/>
      <c r="BI315" s="6"/>
      <c r="BJ315" s="6"/>
      <c r="BK315" s="6"/>
      <c r="BL315" s="10">
        <v>2</v>
      </c>
      <c r="BM315" s="10">
        <v>3</v>
      </c>
      <c r="BN315" s="6"/>
      <c r="BO315" s="6"/>
      <c r="BP315" s="6"/>
      <c r="BQ315" s="10">
        <v>1</v>
      </c>
      <c r="BR315" s="6"/>
      <c r="BS315" s="6"/>
      <c r="BT315" s="6"/>
      <c r="BU315" s="6"/>
      <c r="BV315" s="10">
        <v>2</v>
      </c>
      <c r="BW315" s="10">
        <v>1</v>
      </c>
      <c r="BX315" s="6"/>
      <c r="BY315" s="6"/>
      <c r="BZ315" s="6"/>
      <c r="CA315" s="6"/>
      <c r="CB315" s="6"/>
      <c r="CC315" s="6"/>
      <c r="CD315" s="6"/>
      <c r="CE315" s="10">
        <v>2</v>
      </c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</row>
    <row r="316" ht="15">
      <c r="A316" s="6" t="s">
        <v>1367</v>
      </c>
      <c r="B316" s="6">
        <f t="shared" si="71"/>
        <v>477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10">
        <v>4</v>
      </c>
      <c r="AU316" s="10">
        <v>3</v>
      </c>
      <c r="AV316" s="10">
        <v>2</v>
      </c>
      <c r="AW316" s="10">
        <v>2</v>
      </c>
      <c r="AX316" s="10">
        <v>2</v>
      </c>
      <c r="AY316" s="10">
        <v>2</v>
      </c>
      <c r="AZ316" s="10">
        <v>1</v>
      </c>
      <c r="BA316" s="6"/>
      <c r="BB316" s="10">
        <v>3</v>
      </c>
      <c r="BC316" s="10">
        <v>4</v>
      </c>
      <c r="BD316" s="10">
        <v>9</v>
      </c>
      <c r="BE316" s="10">
        <v>11</v>
      </c>
      <c r="BF316" s="10">
        <v>12</v>
      </c>
      <c r="BG316" s="10">
        <v>6</v>
      </c>
      <c r="BH316" s="10">
        <v>14</v>
      </c>
      <c r="BI316" s="10">
        <v>25</v>
      </c>
      <c r="BJ316" s="10">
        <v>25</v>
      </c>
      <c r="BK316" s="10">
        <v>19</v>
      </c>
      <c r="BL316" s="10">
        <v>31</v>
      </c>
      <c r="BM316" s="10">
        <v>39</v>
      </c>
      <c r="BN316" s="10">
        <v>26</v>
      </c>
      <c r="BO316" s="10">
        <v>16</v>
      </c>
      <c r="BP316" s="10">
        <v>19</v>
      </c>
      <c r="BQ316" s="10">
        <v>22</v>
      </c>
      <c r="BR316" s="10">
        <v>18</v>
      </c>
      <c r="BS316" s="10">
        <v>6</v>
      </c>
      <c r="BT316" s="10">
        <v>14</v>
      </c>
      <c r="BU316" s="10">
        <v>11</v>
      </c>
      <c r="BV316" s="10">
        <v>14</v>
      </c>
      <c r="BW316" s="10">
        <v>12</v>
      </c>
      <c r="BX316" s="10">
        <v>5</v>
      </c>
      <c r="BY316" s="10">
        <v>16</v>
      </c>
      <c r="BZ316" s="10">
        <v>16</v>
      </c>
      <c r="CA316" s="10">
        <v>37</v>
      </c>
      <c r="CB316" s="10">
        <v>6</v>
      </c>
      <c r="CC316" s="10">
        <v>4</v>
      </c>
      <c r="CD316" s="10">
        <v>13</v>
      </c>
      <c r="CE316" s="10">
        <v>5</v>
      </c>
      <c r="CF316" s="10">
        <v>3</v>
      </c>
      <c r="CG316" s="10">
        <v>8</v>
      </c>
      <c r="CH316" s="10">
        <v>1</v>
      </c>
      <c r="CI316" s="10">
        <v>1</v>
      </c>
      <c r="CJ316" s="10">
        <v>1</v>
      </c>
      <c r="CK316" s="6"/>
      <c r="CL316" s="10">
        <v>1</v>
      </c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10">
        <v>1</v>
      </c>
      <c r="EH316" s="10"/>
      <c r="EI316" s="10"/>
      <c r="EJ316" s="10"/>
      <c r="EK316" s="10"/>
      <c r="EL316" s="10"/>
    </row>
    <row r="317" ht="15">
      <c r="A317" s="6" t="s">
        <v>1371</v>
      </c>
      <c r="B317" s="6">
        <f t="shared" si="71"/>
        <v>20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10">
        <v>1</v>
      </c>
      <c r="AQ317" s="6"/>
      <c r="AR317" s="10">
        <v>1</v>
      </c>
      <c r="AS317" s="10">
        <v>1</v>
      </c>
      <c r="AT317" s="6"/>
      <c r="AU317" s="10">
        <v>1</v>
      </c>
      <c r="AV317" s="10">
        <v>2</v>
      </c>
      <c r="AW317" s="6"/>
      <c r="AX317" s="6"/>
      <c r="AY317" s="10">
        <v>1</v>
      </c>
      <c r="AZ317" s="10">
        <v>1</v>
      </c>
      <c r="BA317" s="10">
        <v>1</v>
      </c>
      <c r="BB317" s="10">
        <v>3</v>
      </c>
      <c r="BC317" s="10">
        <v>1</v>
      </c>
      <c r="BD317" s="10">
        <v>1</v>
      </c>
      <c r="BE317" s="10">
        <v>1</v>
      </c>
      <c r="BF317" s="10">
        <v>1</v>
      </c>
      <c r="BG317" s="10">
        <v>1</v>
      </c>
      <c r="BH317" s="10">
        <v>1</v>
      </c>
      <c r="BI317" s="6"/>
      <c r="BJ317" s="6"/>
      <c r="BK317" s="10">
        <v>1</v>
      </c>
      <c r="BL317" s="10">
        <v>1</v>
      </c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</row>
    <row r="318" ht="15">
      <c r="A318" s="6" t="s">
        <v>1375</v>
      </c>
      <c r="B318" s="6">
        <f t="shared" si="71"/>
        <v>97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10">
        <v>1</v>
      </c>
      <c r="AD318" s="6"/>
      <c r="AE318" s="6"/>
      <c r="AF318" s="6"/>
      <c r="AG318" s="6"/>
      <c r="AH318" s="6"/>
      <c r="AI318" s="6"/>
      <c r="AJ318" s="6"/>
      <c r="AK318" s="6"/>
      <c r="AL318" s="10">
        <v>1</v>
      </c>
      <c r="AM318" s="6"/>
      <c r="AN318" s="6"/>
      <c r="AO318" s="6"/>
      <c r="AP318" s="6"/>
      <c r="AQ318" s="6"/>
      <c r="AR318" s="6"/>
      <c r="AS318" s="6"/>
      <c r="AT318" s="6"/>
      <c r="AU318" s="6"/>
      <c r="AV318" s="10">
        <v>2</v>
      </c>
      <c r="AW318" s="10">
        <v>1</v>
      </c>
      <c r="AX318" s="10">
        <v>1</v>
      </c>
      <c r="AY318" s="6"/>
      <c r="AZ318" s="6"/>
      <c r="BA318" s="6"/>
      <c r="BB318" s="10">
        <v>1</v>
      </c>
      <c r="BC318" s="6"/>
      <c r="BD318" s="10">
        <v>2</v>
      </c>
      <c r="BE318" s="10">
        <v>24</v>
      </c>
      <c r="BF318" s="6"/>
      <c r="BG318" s="6"/>
      <c r="BH318" s="10">
        <v>4</v>
      </c>
      <c r="BI318" s="10">
        <v>3</v>
      </c>
      <c r="BJ318" s="10">
        <v>1</v>
      </c>
      <c r="BK318" s="10">
        <v>5</v>
      </c>
      <c r="BL318" s="10">
        <v>4</v>
      </c>
      <c r="BM318" s="10">
        <v>4</v>
      </c>
      <c r="BN318" s="10">
        <v>2</v>
      </c>
      <c r="BO318" s="10">
        <v>6</v>
      </c>
      <c r="BP318" s="10">
        <v>2</v>
      </c>
      <c r="BQ318" s="10">
        <v>5</v>
      </c>
      <c r="BR318" s="10">
        <v>1</v>
      </c>
      <c r="BS318" s="10">
        <v>1</v>
      </c>
      <c r="BT318" s="10">
        <v>4</v>
      </c>
      <c r="BU318" s="10">
        <v>1</v>
      </c>
      <c r="BV318" s="10">
        <v>2</v>
      </c>
      <c r="BW318" s="10">
        <v>1</v>
      </c>
      <c r="BX318" s="6"/>
      <c r="BY318" s="10">
        <v>1</v>
      </c>
      <c r="BZ318" s="10">
        <v>1</v>
      </c>
      <c r="CA318" s="6"/>
      <c r="CB318" s="10">
        <v>4</v>
      </c>
      <c r="CC318" s="10">
        <v>2</v>
      </c>
      <c r="CD318" s="10">
        <v>6</v>
      </c>
      <c r="CE318" s="10">
        <v>4</v>
      </c>
      <c r="CF318" s="6"/>
      <c r="CG318" s="6"/>
      <c r="CH318" s="10">
        <v>2</v>
      </c>
      <c r="CI318" s="10">
        <v>4</v>
      </c>
      <c r="CJ318" s="6"/>
      <c r="CK318" s="10">
        <v>1</v>
      </c>
      <c r="CL318" s="10">
        <v>1</v>
      </c>
      <c r="CM318" s="6"/>
      <c r="CN318" s="6"/>
      <c r="CO318" s="6"/>
      <c r="CP318" s="10">
        <v>4</v>
      </c>
      <c r="CQ318" s="6"/>
      <c r="CR318" s="6"/>
      <c r="CS318" s="10">
        <v>1</v>
      </c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</row>
    <row r="319" ht="15">
      <c r="A319" s="6" t="s">
        <v>1379</v>
      </c>
      <c r="B319" s="6">
        <f t="shared" si="71"/>
        <v>13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10">
        <v>1</v>
      </c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10">
        <v>2</v>
      </c>
      <c r="BC319" s="6"/>
      <c r="BD319" s="10">
        <v>2</v>
      </c>
      <c r="BE319" s="10">
        <v>2</v>
      </c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10">
        <v>3</v>
      </c>
      <c r="BS319" s="10">
        <v>2</v>
      </c>
      <c r="BT319" s="10">
        <v>1</v>
      </c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</row>
    <row r="320" ht="15">
      <c r="A320" s="6" t="s">
        <v>1383</v>
      </c>
      <c r="B320" s="6">
        <f t="shared" si="71"/>
        <v>20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10">
        <v>1</v>
      </c>
      <c r="BY320" s="10">
        <v>3</v>
      </c>
      <c r="BZ320" s="10">
        <v>1</v>
      </c>
      <c r="CA320" s="10">
        <v>3</v>
      </c>
      <c r="CB320" s="10">
        <v>4</v>
      </c>
      <c r="CC320" s="10">
        <v>1</v>
      </c>
      <c r="CD320" s="10">
        <v>2</v>
      </c>
      <c r="CE320" s="10">
        <v>3</v>
      </c>
      <c r="CF320" s="10">
        <v>2</v>
      </c>
      <c r="CG320" s="6"/>
      <c r="CH320" s="10">
        <v>5</v>
      </c>
      <c r="CI320" s="6"/>
      <c r="CJ320" s="10">
        <v>1</v>
      </c>
      <c r="CK320" s="6"/>
      <c r="CL320" s="10">
        <v>1</v>
      </c>
      <c r="CM320" s="6"/>
      <c r="CN320" s="6"/>
      <c r="CO320" s="6"/>
      <c r="CP320" s="6"/>
      <c r="CQ320" s="6"/>
      <c r="CR320" s="6"/>
      <c r="CS320" s="6"/>
      <c r="CT320" s="6"/>
      <c r="CU320" s="6"/>
      <c r="CV320" s="10">
        <v>1</v>
      </c>
      <c r="CW320" s="6"/>
      <c r="CX320" s="6"/>
      <c r="CY320" s="6"/>
      <c r="CZ320" s="10">
        <v>1</v>
      </c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</row>
    <row r="321" ht="15">
      <c r="A321" s="6" t="s">
        <v>1387</v>
      </c>
      <c r="B321" s="6">
        <f t="shared" si="71"/>
        <v>15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10">
        <v>1</v>
      </c>
      <c r="BV321" s="6"/>
      <c r="BW321" s="6"/>
      <c r="BX321" s="10">
        <v>2</v>
      </c>
      <c r="BY321" s="10">
        <v>1</v>
      </c>
      <c r="BZ321" s="10">
        <v>2</v>
      </c>
      <c r="CA321" s="10">
        <v>1</v>
      </c>
      <c r="CB321" s="10">
        <v>1</v>
      </c>
      <c r="CC321" s="6"/>
      <c r="CD321" s="10">
        <v>1</v>
      </c>
      <c r="CE321" s="10">
        <v>4</v>
      </c>
      <c r="CF321" s="10">
        <v>2</v>
      </c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10">
        <v>5</v>
      </c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</row>
    <row r="322" ht="15" hidden="1">
      <c r="A322" s="6" t="s">
        <v>1995</v>
      </c>
      <c r="B322" s="6">
        <f t="shared" si="71"/>
        <v>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10">
        <v>3</v>
      </c>
      <c r="CK322" s="10">
        <v>2</v>
      </c>
      <c r="CL322" s="10">
        <v>1</v>
      </c>
      <c r="CM322" s="10">
        <v>8</v>
      </c>
      <c r="CN322" s="10">
        <v>18</v>
      </c>
      <c r="CO322" s="10">
        <v>12</v>
      </c>
      <c r="CP322" s="10">
        <v>11</v>
      </c>
      <c r="CQ322" s="10">
        <v>10</v>
      </c>
      <c r="CR322" s="10">
        <v>8</v>
      </c>
      <c r="CS322" s="10">
        <v>7</v>
      </c>
      <c r="CT322" s="10">
        <v>6</v>
      </c>
      <c r="CU322" s="10">
        <v>3</v>
      </c>
      <c r="CV322" s="10">
        <v>11</v>
      </c>
      <c r="CW322" s="10">
        <v>3</v>
      </c>
      <c r="CX322" s="10">
        <v>6</v>
      </c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10">
        <v>11</v>
      </c>
      <c r="EH322" s="10"/>
      <c r="EI322" s="10"/>
      <c r="EJ322" s="10"/>
      <c r="EK322" s="10"/>
      <c r="EL322" s="10"/>
    </row>
    <row r="323" ht="15" hidden="1">
      <c r="A323" s="6" t="s">
        <v>1992</v>
      </c>
      <c r="B323" s="6">
        <f t="shared" si="71"/>
        <v>0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10">
        <v>1</v>
      </c>
      <c r="CH323" s="10">
        <v>2</v>
      </c>
      <c r="CI323" s="10">
        <v>2</v>
      </c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</row>
    <row r="324" ht="15">
      <c r="A324" s="6" t="s">
        <v>1391</v>
      </c>
      <c r="B324" s="6">
        <f t="shared" si="71"/>
        <v>877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10">
        <v>1</v>
      </c>
      <c r="AQ324" s="6"/>
      <c r="AR324" s="6"/>
      <c r="AS324" s="6"/>
      <c r="AT324" s="6"/>
      <c r="AU324" s="6"/>
      <c r="AV324" s="6"/>
      <c r="AW324" s="6"/>
      <c r="AX324" s="6"/>
      <c r="AY324" s="6"/>
      <c r="AZ324" s="10">
        <v>1</v>
      </c>
      <c r="BA324" s="6"/>
      <c r="BB324" s="6"/>
      <c r="BC324" s="10">
        <v>1</v>
      </c>
      <c r="BD324" s="10">
        <v>4</v>
      </c>
      <c r="BE324" s="10">
        <v>1</v>
      </c>
      <c r="BF324" s="10">
        <v>3</v>
      </c>
      <c r="BG324" s="10">
        <v>6</v>
      </c>
      <c r="BH324" s="10">
        <v>7</v>
      </c>
      <c r="BI324" s="10">
        <v>13</v>
      </c>
      <c r="BJ324" s="10">
        <v>1</v>
      </c>
      <c r="BK324" s="10">
        <v>1</v>
      </c>
      <c r="BL324" s="10">
        <v>3</v>
      </c>
      <c r="BM324" s="6"/>
      <c r="BN324" s="10">
        <v>2</v>
      </c>
      <c r="BO324" s="10">
        <v>10</v>
      </c>
      <c r="BP324" s="10">
        <v>9</v>
      </c>
      <c r="BQ324" s="10">
        <v>12</v>
      </c>
      <c r="BR324" s="10">
        <v>50</v>
      </c>
      <c r="BS324" s="10">
        <v>44</v>
      </c>
      <c r="BT324" s="10">
        <v>32</v>
      </c>
      <c r="BU324" s="10">
        <v>11</v>
      </c>
      <c r="BV324" s="10">
        <v>22</v>
      </c>
      <c r="BW324" s="10">
        <v>69</v>
      </c>
      <c r="BX324" s="10">
        <v>32</v>
      </c>
      <c r="BY324" s="10">
        <v>108</v>
      </c>
      <c r="BZ324" s="10">
        <v>95</v>
      </c>
      <c r="CA324" s="10">
        <v>76</v>
      </c>
      <c r="CB324" s="10">
        <v>89</v>
      </c>
      <c r="CC324" s="10">
        <v>63</v>
      </c>
      <c r="CD324" s="10">
        <v>40</v>
      </c>
      <c r="CE324" s="10">
        <v>21</v>
      </c>
      <c r="CF324" s="10">
        <v>50</v>
      </c>
      <c r="CG324" s="10">
        <v>36</v>
      </c>
      <c r="CH324" s="10">
        <v>40</v>
      </c>
      <c r="CI324" s="10">
        <v>15</v>
      </c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10">
        <v>15</v>
      </c>
      <c r="EH324" s="10"/>
      <c r="EI324" s="10"/>
      <c r="EJ324" s="10"/>
      <c r="EK324" s="10"/>
      <c r="EL324" s="10"/>
    </row>
    <row r="325" ht="15">
      <c r="A325" s="6" t="s">
        <v>1395</v>
      </c>
      <c r="B325" s="6">
        <f t="shared" si="71"/>
        <v>1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10">
        <v>1</v>
      </c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</row>
    <row r="326" ht="15">
      <c r="A326" s="6" t="s">
        <v>1399</v>
      </c>
      <c r="B326" s="6">
        <f t="shared" si="71"/>
        <v>4012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10">
        <v>11</v>
      </c>
      <c r="BH326" s="10">
        <v>2</v>
      </c>
      <c r="BI326" s="10">
        <v>11</v>
      </c>
      <c r="BJ326" s="10">
        <v>9</v>
      </c>
      <c r="BK326" s="10">
        <v>6</v>
      </c>
      <c r="BL326" s="10">
        <v>11</v>
      </c>
      <c r="BM326" s="10">
        <v>18</v>
      </c>
      <c r="BN326" s="10">
        <v>38</v>
      </c>
      <c r="BO326" s="10">
        <v>77</v>
      </c>
      <c r="BP326" s="10">
        <v>45</v>
      </c>
      <c r="BQ326" s="10">
        <v>71</v>
      </c>
      <c r="BR326" s="10">
        <v>107</v>
      </c>
      <c r="BS326" s="10">
        <v>109</v>
      </c>
      <c r="BT326" s="10">
        <v>210</v>
      </c>
      <c r="BU326" s="10">
        <v>152</v>
      </c>
      <c r="BV326" s="10">
        <v>276</v>
      </c>
      <c r="BW326" s="10">
        <v>318</v>
      </c>
      <c r="BX326" s="10">
        <v>300</v>
      </c>
      <c r="BY326" s="10">
        <v>239</v>
      </c>
      <c r="BZ326" s="10">
        <v>153</v>
      </c>
      <c r="CA326" s="10">
        <v>276</v>
      </c>
      <c r="CB326" s="10">
        <v>398</v>
      </c>
      <c r="CC326" s="10">
        <v>339</v>
      </c>
      <c r="CD326" s="10">
        <v>283</v>
      </c>
      <c r="CE326" s="10">
        <v>246</v>
      </c>
      <c r="CF326" s="10">
        <v>307</v>
      </c>
      <c r="CG326" s="10">
        <v>275</v>
      </c>
      <c r="CH326" s="10">
        <v>264</v>
      </c>
      <c r="CI326" s="10">
        <v>31</v>
      </c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10">
        <v>51</v>
      </c>
      <c r="EH326" s="10"/>
      <c r="EI326" s="10"/>
      <c r="EJ326" s="10"/>
      <c r="EK326" s="10"/>
      <c r="EL326" s="10"/>
    </row>
    <row r="327" ht="15">
      <c r="A327" s="6" t="s">
        <v>1403</v>
      </c>
      <c r="B327" s="6">
        <f t="shared" si="71"/>
        <v>51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10">
        <v>2</v>
      </c>
      <c r="AO327" s="6"/>
      <c r="AP327" s="6"/>
      <c r="AQ327" s="6"/>
      <c r="AR327" s="10">
        <v>1</v>
      </c>
      <c r="AS327" s="6"/>
      <c r="AT327" s="6"/>
      <c r="AU327" s="6"/>
      <c r="AV327" s="6"/>
      <c r="AW327" s="6"/>
      <c r="AX327" s="6"/>
      <c r="AY327" s="6"/>
      <c r="AZ327" s="10">
        <v>1</v>
      </c>
      <c r="BA327" s="6"/>
      <c r="BB327" s="6"/>
      <c r="BC327" s="10">
        <v>2</v>
      </c>
      <c r="BD327" s="6"/>
      <c r="BE327" s="10">
        <v>2</v>
      </c>
      <c r="BF327" s="10">
        <v>1</v>
      </c>
      <c r="BG327" s="10">
        <v>1</v>
      </c>
      <c r="BH327" s="6"/>
      <c r="BI327" s="10">
        <v>7</v>
      </c>
      <c r="BJ327" s="10">
        <v>2</v>
      </c>
      <c r="BK327" s="6"/>
      <c r="BL327" s="10">
        <v>1</v>
      </c>
      <c r="BM327" s="6"/>
      <c r="BN327" s="6"/>
      <c r="BO327" s="10">
        <v>1</v>
      </c>
      <c r="BP327" s="6"/>
      <c r="BQ327" s="10">
        <v>1</v>
      </c>
      <c r="BR327" s="10">
        <v>2</v>
      </c>
      <c r="BS327" s="10">
        <v>3</v>
      </c>
      <c r="BT327" s="10">
        <v>2</v>
      </c>
      <c r="BU327" s="10">
        <v>6</v>
      </c>
      <c r="BV327" s="10">
        <v>4</v>
      </c>
      <c r="BW327" s="10">
        <v>2</v>
      </c>
      <c r="BX327" s="10">
        <v>4</v>
      </c>
      <c r="BY327" s="10">
        <v>1</v>
      </c>
      <c r="BZ327" s="6"/>
      <c r="CA327" s="10">
        <v>1</v>
      </c>
      <c r="CB327" s="10">
        <v>1</v>
      </c>
      <c r="CC327" s="10">
        <v>2</v>
      </c>
      <c r="CD327" s="10">
        <v>1</v>
      </c>
      <c r="CE327" s="6"/>
      <c r="CF327" s="6"/>
      <c r="CG327" s="10">
        <v>1</v>
      </c>
      <c r="CH327" s="10">
        <v>1</v>
      </c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</row>
    <row r="328" ht="15">
      <c r="A328" s="6" t="s">
        <v>1407</v>
      </c>
      <c r="B328" s="6">
        <f t="shared" si="71"/>
        <v>3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10">
        <v>1</v>
      </c>
      <c r="BH328" s="6"/>
      <c r="BI328" s="6"/>
      <c r="BJ328" s="6"/>
      <c r="BK328" s="6"/>
      <c r="BL328" s="6"/>
      <c r="BM328" s="6"/>
      <c r="BN328" s="6"/>
      <c r="BO328" s="10">
        <v>1</v>
      </c>
      <c r="BP328" s="6"/>
      <c r="BQ328" s="6"/>
      <c r="BR328" s="6"/>
      <c r="BS328" s="6"/>
      <c r="BT328" s="10">
        <v>1</v>
      </c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10">
        <v>2</v>
      </c>
      <c r="CI328" s="10">
        <v>1</v>
      </c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</row>
    <row r="329" ht="15">
      <c r="A329" s="6" t="s">
        <v>1411</v>
      </c>
      <c r="B329" s="6">
        <f t="shared" si="71"/>
        <v>14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10">
        <v>3</v>
      </c>
      <c r="BD329" s="10">
        <v>2</v>
      </c>
      <c r="BE329" s="10">
        <v>1</v>
      </c>
      <c r="BF329" s="6"/>
      <c r="BG329" s="6"/>
      <c r="BH329" s="6"/>
      <c r="BI329" s="6"/>
      <c r="BJ329" s="6"/>
      <c r="BK329" s="6"/>
      <c r="BL329" s="10">
        <v>1</v>
      </c>
      <c r="BM329" s="6"/>
      <c r="BN329" s="10">
        <v>2</v>
      </c>
      <c r="BO329" s="6"/>
      <c r="BP329" s="6"/>
      <c r="BQ329" s="6"/>
      <c r="BR329" s="6"/>
      <c r="BS329" s="6"/>
      <c r="BT329" s="6"/>
      <c r="BU329" s="6"/>
      <c r="BV329" s="10">
        <v>1</v>
      </c>
      <c r="BW329" s="6"/>
      <c r="BX329" s="6"/>
      <c r="BY329" s="6"/>
      <c r="BZ329" s="6"/>
      <c r="CA329" s="6"/>
      <c r="CB329" s="6"/>
      <c r="CC329" s="10">
        <v>2</v>
      </c>
      <c r="CD329" s="6"/>
      <c r="CE329" s="10">
        <v>2</v>
      </c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</row>
    <row r="330" ht="15">
      <c r="A330" s="6" t="s">
        <v>1415</v>
      </c>
      <c r="B330" s="6">
        <f t="shared" si="71"/>
        <v>24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10">
        <v>1</v>
      </c>
      <c r="BC330" s="10">
        <v>2</v>
      </c>
      <c r="BD330" s="10">
        <v>1</v>
      </c>
      <c r="BE330" s="10">
        <v>2</v>
      </c>
      <c r="BF330" s="10">
        <v>1</v>
      </c>
      <c r="BG330" s="6"/>
      <c r="BH330" s="6"/>
      <c r="BI330" s="10">
        <v>1</v>
      </c>
      <c r="BJ330" s="6"/>
      <c r="BK330" s="6"/>
      <c r="BL330" s="6"/>
      <c r="BM330" s="6"/>
      <c r="BN330" s="6"/>
      <c r="BO330" s="6"/>
      <c r="BP330" s="6"/>
      <c r="BQ330" s="10">
        <v>1</v>
      </c>
      <c r="BR330" s="10">
        <v>1</v>
      </c>
      <c r="BS330" s="10">
        <v>1</v>
      </c>
      <c r="BT330" s="6"/>
      <c r="BU330" s="6"/>
      <c r="BV330" s="10">
        <v>1</v>
      </c>
      <c r="BW330" s="10">
        <v>2</v>
      </c>
      <c r="BX330" s="6"/>
      <c r="BY330" s="6"/>
      <c r="BZ330" s="10">
        <v>1</v>
      </c>
      <c r="CA330" s="6"/>
      <c r="CB330" s="10">
        <v>1</v>
      </c>
      <c r="CC330" s="10">
        <v>1</v>
      </c>
      <c r="CD330" s="6"/>
      <c r="CE330" s="10">
        <v>2</v>
      </c>
      <c r="CF330" s="10">
        <v>5</v>
      </c>
      <c r="CG330" s="10">
        <v>4</v>
      </c>
      <c r="CH330" s="10">
        <v>15</v>
      </c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</row>
    <row r="331" ht="15">
      <c r="A331" s="6" t="s">
        <v>1419</v>
      </c>
      <c r="B331" s="6">
        <f t="shared" si="71"/>
        <v>1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10">
        <v>1</v>
      </c>
      <c r="CA331" s="6"/>
      <c r="CB331" s="6"/>
      <c r="CC331" s="6"/>
      <c r="CD331" s="6"/>
      <c r="CE331" s="6"/>
      <c r="CF331" s="6"/>
      <c r="CG331" s="6"/>
      <c r="CH331" s="10">
        <v>2</v>
      </c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10">
        <v>13</v>
      </c>
      <c r="EH331" s="10"/>
      <c r="EI331" s="10"/>
      <c r="EJ331" s="10"/>
      <c r="EK331" s="10"/>
      <c r="EL331" s="10"/>
    </row>
    <row r="332" ht="15" hidden="1">
      <c r="A332" s="6" t="s">
        <v>1423</v>
      </c>
      <c r="B332" s="6">
        <f t="shared" si="71"/>
        <v>0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10">
        <v>2</v>
      </c>
      <c r="CX332" s="10">
        <v>1</v>
      </c>
      <c r="CY332" s="10">
        <v>1</v>
      </c>
      <c r="CZ332" s="6"/>
      <c r="DA332" s="6"/>
      <c r="DB332" s="10">
        <v>3</v>
      </c>
      <c r="DC332" s="10">
        <v>3</v>
      </c>
      <c r="DD332" s="10">
        <v>1</v>
      </c>
      <c r="DE332" s="10">
        <v>3</v>
      </c>
      <c r="DF332" s="10">
        <v>2</v>
      </c>
      <c r="DG332" s="10">
        <v>1</v>
      </c>
      <c r="DH332" s="10">
        <v>1</v>
      </c>
      <c r="DI332" s="6"/>
      <c r="DJ332" s="10">
        <v>2</v>
      </c>
      <c r="DK332" s="6"/>
      <c r="DL332" s="10">
        <v>2</v>
      </c>
      <c r="DM332" s="10">
        <v>4</v>
      </c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</row>
    <row r="333" ht="15" hidden="1">
      <c r="A333" s="6" t="s">
        <v>1427</v>
      </c>
      <c r="B333" s="6">
        <f t="shared" si="71"/>
        <v>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10">
        <v>1</v>
      </c>
      <c r="CL333" s="10">
        <v>4</v>
      </c>
      <c r="CM333" s="10">
        <v>6</v>
      </c>
      <c r="CN333" s="10">
        <v>2</v>
      </c>
      <c r="CO333" s="10">
        <v>8</v>
      </c>
      <c r="CP333" s="10">
        <v>9</v>
      </c>
      <c r="CQ333" s="10">
        <v>8</v>
      </c>
      <c r="CR333" s="10">
        <v>3</v>
      </c>
      <c r="CS333" s="10">
        <v>3</v>
      </c>
      <c r="CT333" s="10">
        <v>1</v>
      </c>
      <c r="CU333" s="10">
        <v>1</v>
      </c>
      <c r="CV333" s="10">
        <v>1</v>
      </c>
      <c r="CW333" s="6"/>
      <c r="CX333" s="10">
        <v>2</v>
      </c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</row>
    <row r="334" ht="15">
      <c r="A334" s="6" t="s">
        <v>1431</v>
      </c>
      <c r="B334" s="6">
        <f t="shared" si="71"/>
        <v>58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10">
        <v>1</v>
      </c>
      <c r="BD334" s="10">
        <v>2</v>
      </c>
      <c r="BE334" s="10">
        <v>1</v>
      </c>
      <c r="BF334" s="10">
        <v>1</v>
      </c>
      <c r="BG334" s="6"/>
      <c r="BH334" s="10">
        <v>2</v>
      </c>
      <c r="BI334" s="10">
        <v>2</v>
      </c>
      <c r="BJ334" s="10">
        <v>7</v>
      </c>
      <c r="BK334" s="10">
        <v>1</v>
      </c>
      <c r="BL334" s="10">
        <v>1</v>
      </c>
      <c r="BM334" s="6"/>
      <c r="BN334" s="6"/>
      <c r="BO334" s="6"/>
      <c r="BP334" s="10">
        <v>3</v>
      </c>
      <c r="BQ334" s="10">
        <v>3</v>
      </c>
      <c r="BR334" s="10">
        <v>14</v>
      </c>
      <c r="BS334" s="10">
        <v>5</v>
      </c>
      <c r="BT334" s="10">
        <v>4</v>
      </c>
      <c r="BU334" s="10">
        <v>11</v>
      </c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</row>
    <row r="335" ht="15">
      <c r="A335" s="6" t="s">
        <v>1435</v>
      </c>
      <c r="B335" s="6">
        <f t="shared" si="71"/>
        <v>4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10">
        <v>1</v>
      </c>
      <c r="BH335" s="6"/>
      <c r="BI335" s="6"/>
      <c r="BJ335" s="6"/>
      <c r="BK335" s="6"/>
      <c r="BL335" s="10">
        <v>1</v>
      </c>
      <c r="BM335" s="10">
        <v>1</v>
      </c>
      <c r="BN335" s="10">
        <v>1</v>
      </c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</row>
    <row r="336" ht="15">
      <c r="A336" s="6" t="s">
        <v>1439</v>
      </c>
      <c r="B336" s="6">
        <f t="shared" si="71"/>
        <v>33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10">
        <v>1</v>
      </c>
      <c r="BG336" s="10">
        <v>1</v>
      </c>
      <c r="BH336" s="6"/>
      <c r="BI336" s="10">
        <v>3</v>
      </c>
      <c r="BJ336" s="10">
        <v>1</v>
      </c>
      <c r="BK336" s="6"/>
      <c r="BL336" s="10">
        <v>3</v>
      </c>
      <c r="BM336" s="10">
        <v>2</v>
      </c>
      <c r="BN336" s="10">
        <v>4</v>
      </c>
      <c r="BO336" s="10">
        <v>4</v>
      </c>
      <c r="BP336" s="10">
        <v>5</v>
      </c>
      <c r="BQ336" s="10">
        <v>2</v>
      </c>
      <c r="BR336" s="10">
        <v>2</v>
      </c>
      <c r="BS336" s="10">
        <v>1</v>
      </c>
      <c r="BT336" s="10">
        <v>1</v>
      </c>
      <c r="BU336" s="10">
        <v>3</v>
      </c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</row>
    <row r="337" ht="15">
      <c r="A337" s="6" t="s">
        <v>1443</v>
      </c>
      <c r="B337" s="6">
        <f t="shared" si="71"/>
        <v>928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10">
        <v>1</v>
      </c>
      <c r="AE337" s="6"/>
      <c r="AF337" s="6"/>
      <c r="AG337" s="6"/>
      <c r="AH337" s="6"/>
      <c r="AI337" s="10">
        <v>1</v>
      </c>
      <c r="AJ337" s="10">
        <v>1</v>
      </c>
      <c r="AK337" s="10">
        <v>1</v>
      </c>
      <c r="AL337" s="10">
        <v>3</v>
      </c>
      <c r="AM337" s="10">
        <v>3</v>
      </c>
      <c r="AN337" s="10">
        <v>1</v>
      </c>
      <c r="AO337" s="10">
        <v>4</v>
      </c>
      <c r="AP337" s="10">
        <v>1</v>
      </c>
      <c r="AQ337" s="10">
        <v>1</v>
      </c>
      <c r="AR337" s="10">
        <v>6</v>
      </c>
      <c r="AS337" s="10">
        <v>4</v>
      </c>
      <c r="AT337" s="10">
        <v>5</v>
      </c>
      <c r="AU337" s="10">
        <v>7</v>
      </c>
      <c r="AV337" s="10">
        <v>7</v>
      </c>
      <c r="AW337" s="10">
        <v>7</v>
      </c>
      <c r="AX337" s="10">
        <v>8</v>
      </c>
      <c r="AY337" s="10">
        <v>15</v>
      </c>
      <c r="AZ337" s="10">
        <v>13</v>
      </c>
      <c r="BA337" s="10">
        <v>7</v>
      </c>
      <c r="BB337" s="10">
        <v>10</v>
      </c>
      <c r="BC337" s="10">
        <v>11</v>
      </c>
      <c r="BD337" s="10">
        <v>19</v>
      </c>
      <c r="BE337" s="10">
        <v>10</v>
      </c>
      <c r="BF337" s="10">
        <v>24</v>
      </c>
      <c r="BG337" s="10">
        <v>4</v>
      </c>
      <c r="BH337" s="10">
        <v>24</v>
      </c>
      <c r="BI337" s="10">
        <v>14</v>
      </c>
      <c r="BJ337" s="10">
        <v>27</v>
      </c>
      <c r="BK337" s="10">
        <v>30</v>
      </c>
      <c r="BL337" s="10">
        <v>26</v>
      </c>
      <c r="BM337" s="10">
        <v>26</v>
      </c>
      <c r="BN337" s="10">
        <v>25</v>
      </c>
      <c r="BO337" s="10">
        <v>71</v>
      </c>
      <c r="BP337" s="10">
        <v>120</v>
      </c>
      <c r="BQ337" s="10">
        <v>92</v>
      </c>
      <c r="BR337" s="10">
        <v>41</v>
      </c>
      <c r="BS337" s="10">
        <v>75</v>
      </c>
      <c r="BT337" s="10">
        <v>86</v>
      </c>
      <c r="BU337" s="10">
        <v>77</v>
      </c>
      <c r="BV337" s="10">
        <v>20</v>
      </c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</row>
    <row r="338" ht="15">
      <c r="A338" s="6" t="s">
        <v>1447</v>
      </c>
      <c r="B338" s="6">
        <f t="shared" si="71"/>
        <v>15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10">
        <v>1</v>
      </c>
      <c r="BD338" s="6"/>
      <c r="BE338" s="6"/>
      <c r="BF338" s="6"/>
      <c r="BG338" s="6"/>
      <c r="BH338" s="6"/>
      <c r="BI338" s="6"/>
      <c r="BJ338" s="6"/>
      <c r="BK338" s="6"/>
      <c r="BL338" s="10">
        <v>1</v>
      </c>
      <c r="BM338" s="10">
        <v>1</v>
      </c>
      <c r="BN338" s="10">
        <v>2</v>
      </c>
      <c r="BO338" s="6"/>
      <c r="BP338" s="10">
        <v>1</v>
      </c>
      <c r="BQ338" s="10">
        <v>1</v>
      </c>
      <c r="BR338" s="10">
        <v>2</v>
      </c>
      <c r="BS338" s="10">
        <v>2</v>
      </c>
      <c r="BT338" s="10">
        <v>1</v>
      </c>
      <c r="BU338" s="10">
        <v>3</v>
      </c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</row>
    <row r="339" ht="15">
      <c r="A339" s="6" t="s">
        <v>1451</v>
      </c>
      <c r="B339" s="6">
        <f t="shared" si="71"/>
        <v>472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10">
        <v>1</v>
      </c>
      <c r="BA339" s="10">
        <v>1</v>
      </c>
      <c r="BB339" s="10">
        <v>1</v>
      </c>
      <c r="BC339" s="6"/>
      <c r="BD339" s="10">
        <v>1</v>
      </c>
      <c r="BE339" s="10">
        <v>4</v>
      </c>
      <c r="BF339" s="10">
        <v>16</v>
      </c>
      <c r="BG339" s="10">
        <v>20</v>
      </c>
      <c r="BH339" s="10">
        <v>29</v>
      </c>
      <c r="BI339" s="10">
        <v>12</v>
      </c>
      <c r="BJ339" s="10">
        <v>26</v>
      </c>
      <c r="BK339" s="10">
        <v>20</v>
      </c>
      <c r="BL339" s="10">
        <v>35</v>
      </c>
      <c r="BM339" s="10">
        <v>21</v>
      </c>
      <c r="BN339" s="10">
        <v>35</v>
      </c>
      <c r="BO339" s="10">
        <v>16</v>
      </c>
      <c r="BP339" s="10">
        <v>26</v>
      </c>
      <c r="BQ339" s="10">
        <v>52</v>
      </c>
      <c r="BR339" s="10">
        <v>23</v>
      </c>
      <c r="BS339" s="10">
        <v>43</v>
      </c>
      <c r="BT339" s="10">
        <v>34</v>
      </c>
      <c r="BU339" s="10">
        <v>40</v>
      </c>
      <c r="BV339" s="10">
        <v>16</v>
      </c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</row>
    <row r="340" ht="15">
      <c r="A340" s="6" t="s">
        <v>1455</v>
      </c>
      <c r="B340" s="6">
        <f t="shared" si="71"/>
        <v>124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10">
        <v>1</v>
      </c>
      <c r="BB340" s="6"/>
      <c r="BC340" s="6"/>
      <c r="BD340" s="10">
        <v>2</v>
      </c>
      <c r="BE340" s="10">
        <v>3</v>
      </c>
      <c r="BF340" s="10">
        <v>1</v>
      </c>
      <c r="BG340" s="10">
        <v>5</v>
      </c>
      <c r="BH340" s="10">
        <v>5</v>
      </c>
      <c r="BI340" s="10">
        <v>7</v>
      </c>
      <c r="BJ340" s="10">
        <v>6</v>
      </c>
      <c r="BK340" s="10">
        <v>9</v>
      </c>
      <c r="BL340" s="10">
        <v>12</v>
      </c>
      <c r="BM340" s="10">
        <v>8</v>
      </c>
      <c r="BN340" s="10">
        <v>9</v>
      </c>
      <c r="BO340" s="10">
        <v>13</v>
      </c>
      <c r="BP340" s="10">
        <v>17</v>
      </c>
      <c r="BQ340" s="10">
        <v>6</v>
      </c>
      <c r="BR340" s="10">
        <v>5</v>
      </c>
      <c r="BS340" s="10">
        <v>6</v>
      </c>
      <c r="BT340" s="10">
        <v>1</v>
      </c>
      <c r="BU340" s="10">
        <v>5</v>
      </c>
      <c r="BV340" s="10">
        <v>3</v>
      </c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</row>
    <row r="341" ht="15">
      <c r="A341" s="6" t="s">
        <v>1459</v>
      </c>
      <c r="B341" s="6">
        <f t="shared" si="71"/>
        <v>7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10">
        <v>1</v>
      </c>
      <c r="BM341" s="6"/>
      <c r="BN341" s="6"/>
      <c r="BO341" s="10">
        <v>2</v>
      </c>
      <c r="BP341" s="6"/>
      <c r="BQ341" s="10">
        <v>1</v>
      </c>
      <c r="BR341" s="6"/>
      <c r="BS341" s="6"/>
      <c r="BT341" s="10">
        <v>2</v>
      </c>
      <c r="BU341" s="10">
        <v>1</v>
      </c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</row>
    <row r="342" ht="15">
      <c r="A342" s="6" t="s">
        <v>1463</v>
      </c>
      <c r="B342" s="6">
        <f t="shared" si="71"/>
        <v>84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10">
        <v>1</v>
      </c>
      <c r="BG342" s="6"/>
      <c r="BH342" s="6"/>
      <c r="BI342" s="6"/>
      <c r="BJ342" s="10">
        <v>2</v>
      </c>
      <c r="BK342" s="10">
        <v>1</v>
      </c>
      <c r="BL342" s="10">
        <v>1</v>
      </c>
      <c r="BM342" s="10">
        <v>9</v>
      </c>
      <c r="BN342" s="10">
        <v>6</v>
      </c>
      <c r="BO342" s="10">
        <v>21</v>
      </c>
      <c r="BP342" s="10">
        <v>13</v>
      </c>
      <c r="BQ342" s="10">
        <v>15</v>
      </c>
      <c r="BR342" s="10">
        <v>3</v>
      </c>
      <c r="BS342" s="10">
        <v>7</v>
      </c>
      <c r="BT342" s="10">
        <v>2</v>
      </c>
      <c r="BU342" s="10">
        <v>3</v>
      </c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</row>
    <row r="343" ht="15">
      <c r="A343" s="6" t="s">
        <v>1467</v>
      </c>
      <c r="B343" s="6">
        <f t="shared" si="71"/>
        <v>3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10">
        <v>1</v>
      </c>
      <c r="BN343" s="6"/>
      <c r="BO343" s="6"/>
      <c r="BP343" s="10">
        <v>1</v>
      </c>
      <c r="BQ343" s="6"/>
      <c r="BR343" s="6"/>
      <c r="BS343" s="6"/>
      <c r="BT343" s="6"/>
      <c r="BU343" s="10">
        <v>1</v>
      </c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</row>
    <row r="344" ht="15">
      <c r="A344" s="6" t="s">
        <v>1471</v>
      </c>
      <c r="B344" s="6">
        <f t="shared" si="71"/>
        <v>185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10">
        <v>1</v>
      </c>
      <c r="AM344" s="10">
        <v>1</v>
      </c>
      <c r="AN344" s="10">
        <v>5</v>
      </c>
      <c r="AO344" s="10">
        <v>3</v>
      </c>
      <c r="AP344" s="10">
        <v>6</v>
      </c>
      <c r="AQ344" s="10">
        <v>5</v>
      </c>
      <c r="AR344" s="10">
        <v>1</v>
      </c>
      <c r="AS344" s="10">
        <v>1</v>
      </c>
      <c r="AT344" s="10">
        <v>2</v>
      </c>
      <c r="AU344" s="10">
        <v>1</v>
      </c>
      <c r="AV344" s="10">
        <v>4</v>
      </c>
      <c r="AW344" s="10">
        <v>4</v>
      </c>
      <c r="AX344" s="10">
        <v>1</v>
      </c>
      <c r="AY344" s="10">
        <v>7</v>
      </c>
      <c r="AZ344" s="10">
        <v>3</v>
      </c>
      <c r="BA344" s="10">
        <v>1</v>
      </c>
      <c r="BB344" s="10">
        <v>2</v>
      </c>
      <c r="BC344" s="10">
        <v>8</v>
      </c>
      <c r="BD344" s="10">
        <v>4</v>
      </c>
      <c r="BE344" s="10">
        <v>2</v>
      </c>
      <c r="BF344" s="10">
        <v>2</v>
      </c>
      <c r="BG344" s="10">
        <v>11</v>
      </c>
      <c r="BH344" s="10">
        <v>5</v>
      </c>
      <c r="BI344" s="10">
        <v>6</v>
      </c>
      <c r="BJ344" s="10">
        <v>3</v>
      </c>
      <c r="BK344" s="10">
        <v>11</v>
      </c>
      <c r="BL344" s="10">
        <v>18</v>
      </c>
      <c r="BM344" s="10">
        <v>6</v>
      </c>
      <c r="BN344" s="6"/>
      <c r="BO344" s="10">
        <v>10</v>
      </c>
      <c r="BP344" s="10">
        <v>1</v>
      </c>
      <c r="BQ344" s="10">
        <v>10</v>
      </c>
      <c r="BR344" s="10">
        <v>11</v>
      </c>
      <c r="BS344" s="10">
        <v>10</v>
      </c>
      <c r="BT344" s="10">
        <v>11</v>
      </c>
      <c r="BU344" s="10">
        <v>5</v>
      </c>
      <c r="BV344" s="10">
        <v>3</v>
      </c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</row>
    <row r="345" ht="15">
      <c r="A345" s="6" t="s">
        <v>1475</v>
      </c>
      <c r="B345" s="6">
        <f t="shared" si="71"/>
        <v>11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10">
        <v>1</v>
      </c>
      <c r="BK345" s="6"/>
      <c r="BL345" s="10">
        <v>1</v>
      </c>
      <c r="BM345" s="10">
        <v>1</v>
      </c>
      <c r="BN345" s="6"/>
      <c r="BO345" s="10">
        <v>1</v>
      </c>
      <c r="BP345" s="10">
        <v>1</v>
      </c>
      <c r="BQ345" s="6"/>
      <c r="BR345" s="10">
        <v>2</v>
      </c>
      <c r="BS345" s="10">
        <v>1</v>
      </c>
      <c r="BT345" s="10">
        <v>1</v>
      </c>
      <c r="BU345" s="10">
        <v>2</v>
      </c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</row>
    <row r="346" ht="15">
      <c r="A346" s="6" t="s">
        <v>1479</v>
      </c>
      <c r="B346" s="6">
        <f t="shared" si="71"/>
        <v>12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10">
        <v>1</v>
      </c>
      <c r="BN346" s="6"/>
      <c r="BO346" s="10">
        <v>1</v>
      </c>
      <c r="BP346" s="6"/>
      <c r="BQ346" s="10">
        <v>1</v>
      </c>
      <c r="BR346" s="10">
        <v>4</v>
      </c>
      <c r="BS346" s="6"/>
      <c r="BT346" s="10">
        <v>2</v>
      </c>
      <c r="BU346" s="10">
        <v>1</v>
      </c>
      <c r="BV346" s="10">
        <v>2</v>
      </c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</row>
    <row r="347" ht="15">
      <c r="A347" s="6" t="s">
        <v>1483</v>
      </c>
      <c r="B347" s="6">
        <f t="shared" si="71"/>
        <v>443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10">
        <v>1</v>
      </c>
      <c r="AH347" s="6"/>
      <c r="AI347" s="6"/>
      <c r="AJ347" s="10">
        <v>1</v>
      </c>
      <c r="AK347" s="6"/>
      <c r="AL347" s="6"/>
      <c r="AM347" s="10">
        <v>1</v>
      </c>
      <c r="AN347" s="10">
        <v>1</v>
      </c>
      <c r="AO347" s="10">
        <v>1</v>
      </c>
      <c r="AP347" s="10">
        <v>12</v>
      </c>
      <c r="AQ347" s="10">
        <v>11</v>
      </c>
      <c r="AR347" s="10">
        <v>3</v>
      </c>
      <c r="AS347" s="10">
        <v>3</v>
      </c>
      <c r="AT347" s="10">
        <v>2</v>
      </c>
      <c r="AU347" s="10">
        <v>2</v>
      </c>
      <c r="AV347" s="10">
        <v>1</v>
      </c>
      <c r="AW347" s="10">
        <v>6</v>
      </c>
      <c r="AX347" s="10">
        <v>5</v>
      </c>
      <c r="AY347" s="10">
        <v>6</v>
      </c>
      <c r="AZ347" s="10">
        <v>6</v>
      </c>
      <c r="BA347" s="10">
        <v>5</v>
      </c>
      <c r="BB347" s="10">
        <v>2</v>
      </c>
      <c r="BC347" s="10">
        <v>5</v>
      </c>
      <c r="BD347" s="10">
        <v>7</v>
      </c>
      <c r="BE347" s="10">
        <v>4</v>
      </c>
      <c r="BF347" s="10">
        <v>2</v>
      </c>
      <c r="BG347" s="10">
        <v>1</v>
      </c>
      <c r="BH347" s="10">
        <v>8</v>
      </c>
      <c r="BI347" s="10">
        <v>12</v>
      </c>
      <c r="BJ347" s="10">
        <v>16</v>
      </c>
      <c r="BK347" s="10">
        <v>29</v>
      </c>
      <c r="BL347" s="10">
        <v>51</v>
      </c>
      <c r="BM347" s="10">
        <v>31</v>
      </c>
      <c r="BN347" s="10">
        <v>49</v>
      </c>
      <c r="BO347" s="10">
        <v>35</v>
      </c>
      <c r="BP347" s="10">
        <v>23</v>
      </c>
      <c r="BQ347" s="10">
        <v>38</v>
      </c>
      <c r="BR347" s="10">
        <v>10</v>
      </c>
      <c r="BS347" s="10">
        <v>7</v>
      </c>
      <c r="BT347" s="10">
        <v>22</v>
      </c>
      <c r="BU347" s="10">
        <v>18</v>
      </c>
      <c r="BV347" s="10">
        <v>6</v>
      </c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</row>
    <row r="348" ht="15">
      <c r="A348" s="6" t="s">
        <v>1487</v>
      </c>
      <c r="B348" s="6">
        <f t="shared" si="71"/>
        <v>82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10">
        <v>1</v>
      </c>
      <c r="BC348" s="6"/>
      <c r="BD348" s="10">
        <v>1</v>
      </c>
      <c r="BE348" s="10">
        <v>1</v>
      </c>
      <c r="BF348" s="10">
        <v>3</v>
      </c>
      <c r="BG348" s="6"/>
      <c r="BH348" s="10">
        <v>2</v>
      </c>
      <c r="BI348" s="6"/>
      <c r="BJ348" s="10">
        <v>2</v>
      </c>
      <c r="BK348" s="10">
        <v>2</v>
      </c>
      <c r="BL348" s="6"/>
      <c r="BM348" s="10">
        <v>13</v>
      </c>
      <c r="BN348" s="10">
        <v>10</v>
      </c>
      <c r="BO348" s="10">
        <v>11</v>
      </c>
      <c r="BP348" s="10">
        <v>12</v>
      </c>
      <c r="BQ348" s="10">
        <v>8</v>
      </c>
      <c r="BR348" s="10">
        <v>5</v>
      </c>
      <c r="BS348" s="10">
        <v>9</v>
      </c>
      <c r="BT348" s="6"/>
      <c r="BU348" s="10">
        <v>2</v>
      </c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</row>
    <row r="349" ht="15">
      <c r="A349" s="6" t="s">
        <v>1491</v>
      </c>
      <c r="B349" s="6">
        <f t="shared" si="71"/>
        <v>1105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10">
        <v>3</v>
      </c>
      <c r="AP349" s="10">
        <v>2</v>
      </c>
      <c r="AQ349" s="6"/>
      <c r="AR349" s="10">
        <v>4</v>
      </c>
      <c r="AS349" s="10">
        <v>4</v>
      </c>
      <c r="AT349" s="10">
        <v>2</v>
      </c>
      <c r="AU349" s="10">
        <v>4</v>
      </c>
      <c r="AV349" s="10">
        <v>1</v>
      </c>
      <c r="AW349" s="10">
        <v>1</v>
      </c>
      <c r="AX349" s="10">
        <v>1</v>
      </c>
      <c r="AY349" s="6"/>
      <c r="AZ349" s="10">
        <v>2</v>
      </c>
      <c r="BA349" s="6"/>
      <c r="BB349" s="10">
        <v>2</v>
      </c>
      <c r="BC349" s="10">
        <v>10</v>
      </c>
      <c r="BD349" s="10">
        <v>9</v>
      </c>
      <c r="BE349" s="10">
        <v>9</v>
      </c>
      <c r="BF349" s="10">
        <v>8</v>
      </c>
      <c r="BG349" s="10">
        <v>23</v>
      </c>
      <c r="BH349" s="10">
        <v>49</v>
      </c>
      <c r="BI349" s="10">
        <v>51</v>
      </c>
      <c r="BJ349" s="10">
        <v>102</v>
      </c>
      <c r="BK349" s="10">
        <v>122</v>
      </c>
      <c r="BL349" s="10">
        <v>80</v>
      </c>
      <c r="BM349" s="10">
        <v>64</v>
      </c>
      <c r="BN349" s="10">
        <v>115</v>
      </c>
      <c r="BO349" s="10">
        <v>98</v>
      </c>
      <c r="BP349" s="10">
        <v>101</v>
      </c>
      <c r="BQ349" s="10">
        <v>59</v>
      </c>
      <c r="BR349" s="10">
        <v>36</v>
      </c>
      <c r="BS349" s="10">
        <v>48</v>
      </c>
      <c r="BT349" s="10">
        <v>37</v>
      </c>
      <c r="BU349" s="10">
        <v>42</v>
      </c>
      <c r="BV349" s="10">
        <v>16</v>
      </c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</row>
    <row r="350" ht="15">
      <c r="A350" s="6" t="s">
        <v>1495</v>
      </c>
      <c r="B350" s="6">
        <f t="shared" si="71"/>
        <v>211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10">
        <v>2</v>
      </c>
      <c r="BE350" s="10">
        <v>2</v>
      </c>
      <c r="BF350" s="10">
        <v>7</v>
      </c>
      <c r="BG350" s="10">
        <v>9</v>
      </c>
      <c r="BH350" s="10">
        <v>13</v>
      </c>
      <c r="BI350" s="10">
        <v>7</v>
      </c>
      <c r="BJ350" s="10">
        <v>18</v>
      </c>
      <c r="BK350" s="10">
        <v>5</v>
      </c>
      <c r="BL350" s="10">
        <v>21</v>
      </c>
      <c r="BM350" s="10">
        <v>7</v>
      </c>
      <c r="BN350" s="10">
        <v>7</v>
      </c>
      <c r="BO350" s="10">
        <v>17</v>
      </c>
      <c r="BP350" s="10">
        <v>30</v>
      </c>
      <c r="BQ350" s="10">
        <v>31</v>
      </c>
      <c r="BR350" s="10">
        <v>4</v>
      </c>
      <c r="BS350" s="10">
        <v>1</v>
      </c>
      <c r="BT350" s="10">
        <v>8</v>
      </c>
      <c r="BU350" s="10">
        <v>21</v>
      </c>
      <c r="BV350" s="10">
        <v>1</v>
      </c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</row>
    <row r="351" ht="15">
      <c r="A351" s="6" t="s">
        <v>1499</v>
      </c>
      <c r="B351" s="6">
        <f t="shared" si="71"/>
        <v>18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10">
        <v>1</v>
      </c>
      <c r="BG351" s="6"/>
      <c r="BH351" s="6"/>
      <c r="BI351" s="6"/>
      <c r="BJ351" s="6"/>
      <c r="BK351" s="6"/>
      <c r="BL351" s="6"/>
      <c r="BM351" s="6"/>
      <c r="BN351" s="10">
        <v>1</v>
      </c>
      <c r="BO351" s="10">
        <v>1</v>
      </c>
      <c r="BP351" s="6"/>
      <c r="BQ351" s="10">
        <v>4</v>
      </c>
      <c r="BR351" s="10">
        <v>1</v>
      </c>
      <c r="BS351" s="10">
        <v>2</v>
      </c>
      <c r="BT351" s="10">
        <v>3</v>
      </c>
      <c r="BU351" s="10">
        <v>5</v>
      </c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</row>
    <row r="352" ht="15">
      <c r="A352" s="6" t="s">
        <v>1503</v>
      </c>
      <c r="B352" s="6">
        <f t="shared" si="71"/>
        <v>200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10">
        <v>1</v>
      </c>
      <c r="AX352" s="6"/>
      <c r="AY352" s="6"/>
      <c r="AZ352" s="6"/>
      <c r="BA352" s="6"/>
      <c r="BB352" s="6"/>
      <c r="BC352" s="6"/>
      <c r="BD352" s="10">
        <v>2</v>
      </c>
      <c r="BE352" s="10">
        <v>2</v>
      </c>
      <c r="BF352" s="10">
        <v>20</v>
      </c>
      <c r="BG352" s="10">
        <v>5</v>
      </c>
      <c r="BH352" s="10">
        <v>6</v>
      </c>
      <c r="BI352" s="10">
        <v>9</v>
      </c>
      <c r="BJ352" s="10">
        <v>7</v>
      </c>
      <c r="BK352" s="10">
        <v>8</v>
      </c>
      <c r="BL352" s="10">
        <v>16</v>
      </c>
      <c r="BM352" s="10">
        <v>23</v>
      </c>
      <c r="BN352" s="10">
        <v>10</v>
      </c>
      <c r="BO352" s="10">
        <v>4</v>
      </c>
      <c r="BP352" s="10">
        <v>8</v>
      </c>
      <c r="BQ352" s="10">
        <v>7</v>
      </c>
      <c r="BR352" s="10">
        <v>14</v>
      </c>
      <c r="BS352" s="10">
        <v>13</v>
      </c>
      <c r="BT352" s="10">
        <v>16</v>
      </c>
      <c r="BU352" s="10">
        <v>23</v>
      </c>
      <c r="BV352" s="10">
        <v>6</v>
      </c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</row>
    <row r="353" ht="15">
      <c r="A353" s="6" t="s">
        <v>1507</v>
      </c>
      <c r="B353" s="6">
        <f t="shared" si="71"/>
        <v>505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10">
        <v>1</v>
      </c>
      <c r="BC353" s="10">
        <v>2</v>
      </c>
      <c r="BD353" s="10">
        <v>2</v>
      </c>
      <c r="BE353" s="10">
        <v>3</v>
      </c>
      <c r="BF353" s="10">
        <v>5</v>
      </c>
      <c r="BG353" s="6"/>
      <c r="BH353" s="10">
        <v>5</v>
      </c>
      <c r="BI353" s="10">
        <v>6</v>
      </c>
      <c r="BJ353" s="10">
        <v>7</v>
      </c>
      <c r="BK353" s="10">
        <v>15</v>
      </c>
      <c r="BL353" s="10">
        <v>5</v>
      </c>
      <c r="BM353" s="10">
        <v>18</v>
      </c>
      <c r="BN353" s="10">
        <v>34</v>
      </c>
      <c r="BO353" s="10">
        <v>33</v>
      </c>
      <c r="BP353" s="10">
        <v>52</v>
      </c>
      <c r="BQ353" s="10">
        <v>79</v>
      </c>
      <c r="BR353" s="10">
        <v>79</v>
      </c>
      <c r="BS353" s="10">
        <v>63</v>
      </c>
      <c r="BT353" s="10">
        <v>51</v>
      </c>
      <c r="BU353" s="10">
        <v>37</v>
      </c>
      <c r="BV353" s="10">
        <v>8</v>
      </c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</row>
    <row r="354" ht="15">
      <c r="A354" s="6" t="s">
        <v>1511</v>
      </c>
      <c r="B354" s="6">
        <f t="shared" si="71"/>
        <v>1526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10">
        <v>1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10">
        <v>1</v>
      </c>
      <c r="AI354" s="10">
        <v>1</v>
      </c>
      <c r="AJ354" s="10">
        <v>1</v>
      </c>
      <c r="AK354" s="10">
        <v>1</v>
      </c>
      <c r="AL354" s="10">
        <v>4</v>
      </c>
      <c r="AM354" s="10">
        <v>2</v>
      </c>
      <c r="AN354" s="10">
        <v>2</v>
      </c>
      <c r="AO354" s="10">
        <v>6</v>
      </c>
      <c r="AP354" s="10">
        <v>25</v>
      </c>
      <c r="AQ354" s="10">
        <v>37</v>
      </c>
      <c r="AR354" s="10">
        <v>45</v>
      </c>
      <c r="AS354" s="10">
        <v>25</v>
      </c>
      <c r="AT354" s="10">
        <v>17</v>
      </c>
      <c r="AU354" s="10">
        <v>31</v>
      </c>
      <c r="AV354" s="10">
        <v>69</v>
      </c>
      <c r="AW354" s="10">
        <v>74</v>
      </c>
      <c r="AX354" s="10">
        <v>27</v>
      </c>
      <c r="AY354" s="10">
        <v>24</v>
      </c>
      <c r="AZ354" s="10">
        <v>43</v>
      </c>
      <c r="BA354" s="10">
        <v>59</v>
      </c>
      <c r="BB354" s="10">
        <v>61</v>
      </c>
      <c r="BC354" s="10">
        <v>62</v>
      </c>
      <c r="BD354" s="10">
        <v>48</v>
      </c>
      <c r="BE354" s="10">
        <v>80</v>
      </c>
      <c r="BF354" s="10">
        <v>87</v>
      </c>
      <c r="BG354" s="10">
        <v>27</v>
      </c>
      <c r="BH354" s="10">
        <v>91</v>
      </c>
      <c r="BI354" s="10">
        <v>38</v>
      </c>
      <c r="BJ354" s="10">
        <v>49</v>
      </c>
      <c r="BK354" s="10">
        <v>52</v>
      </c>
      <c r="BL354" s="10">
        <v>38</v>
      </c>
      <c r="BM354" s="10">
        <v>57</v>
      </c>
      <c r="BN354" s="10">
        <v>49</v>
      </c>
      <c r="BO354" s="10">
        <v>42</v>
      </c>
      <c r="BP354" s="10">
        <v>47</v>
      </c>
      <c r="BQ354" s="10">
        <v>39</v>
      </c>
      <c r="BR354" s="10">
        <v>26</v>
      </c>
      <c r="BS354" s="10">
        <v>45</v>
      </c>
      <c r="BT354" s="10">
        <v>47</v>
      </c>
      <c r="BU354" s="10">
        <v>34</v>
      </c>
      <c r="BV354" s="10">
        <v>12</v>
      </c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</row>
    <row r="355" ht="15">
      <c r="A355" s="6" t="s">
        <v>1515</v>
      </c>
      <c r="B355" s="6">
        <f t="shared" si="71"/>
        <v>91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10">
        <v>1</v>
      </c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10">
        <v>1</v>
      </c>
      <c r="BH355" s="6"/>
      <c r="BI355" s="6"/>
      <c r="BJ355" s="6"/>
      <c r="BK355" s="10">
        <v>1</v>
      </c>
      <c r="BL355" s="10">
        <v>1</v>
      </c>
      <c r="BM355" s="10">
        <v>1</v>
      </c>
      <c r="BN355" s="10">
        <v>8</v>
      </c>
      <c r="BO355" s="10">
        <v>7</v>
      </c>
      <c r="BP355" s="10">
        <v>8</v>
      </c>
      <c r="BQ355" s="10">
        <v>18</v>
      </c>
      <c r="BR355" s="10">
        <v>11</v>
      </c>
      <c r="BS355" s="10">
        <v>10</v>
      </c>
      <c r="BT355" s="10">
        <v>16</v>
      </c>
      <c r="BU355" s="10">
        <v>4</v>
      </c>
      <c r="BV355" s="10">
        <v>4</v>
      </c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</row>
    <row r="356" ht="15" hidden="1">
      <c r="A356" s="6" t="s">
        <v>1519</v>
      </c>
      <c r="B356" s="6">
        <f t="shared" ref="B356:B419" si="72">SUM(C356:CF356)</f>
        <v>0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</row>
    <row r="357" ht="15">
      <c r="A357" s="6" t="s">
        <v>1523</v>
      </c>
      <c r="B357" s="6">
        <f t="shared" si="72"/>
        <v>29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10">
        <v>2</v>
      </c>
      <c r="BK357" s="6"/>
      <c r="BL357" s="10">
        <v>1</v>
      </c>
      <c r="BM357" s="10">
        <v>1</v>
      </c>
      <c r="BN357" s="10">
        <v>1</v>
      </c>
      <c r="BO357" s="10">
        <v>1</v>
      </c>
      <c r="BP357" s="10">
        <v>4</v>
      </c>
      <c r="BQ357" s="10">
        <v>6</v>
      </c>
      <c r="BR357" s="10">
        <v>3</v>
      </c>
      <c r="BS357" s="10">
        <v>4</v>
      </c>
      <c r="BT357" s="10">
        <v>2</v>
      </c>
      <c r="BU357" s="10">
        <v>2</v>
      </c>
      <c r="BV357" s="10">
        <v>2</v>
      </c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</row>
    <row r="358" ht="15">
      <c r="A358" s="6" t="s">
        <v>1527</v>
      </c>
      <c r="B358" s="6">
        <f t="shared" si="72"/>
        <v>39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10">
        <v>1</v>
      </c>
      <c r="BK358" s="6"/>
      <c r="BL358" s="10">
        <v>1</v>
      </c>
      <c r="BM358" s="10">
        <v>4</v>
      </c>
      <c r="BN358" s="6"/>
      <c r="BO358" s="10">
        <v>2</v>
      </c>
      <c r="BP358" s="10">
        <v>4</v>
      </c>
      <c r="BQ358" s="10">
        <v>6</v>
      </c>
      <c r="BR358" s="10">
        <v>4</v>
      </c>
      <c r="BS358" s="10">
        <v>2</v>
      </c>
      <c r="BT358" s="10">
        <v>2</v>
      </c>
      <c r="BU358" s="10">
        <v>9</v>
      </c>
      <c r="BV358" s="10">
        <v>4</v>
      </c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</row>
    <row r="359" ht="15">
      <c r="A359" s="6" t="s">
        <v>1531</v>
      </c>
      <c r="B359" s="6">
        <f t="shared" si="72"/>
        <v>60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10">
        <v>2</v>
      </c>
      <c r="BL359" s="10">
        <v>2</v>
      </c>
      <c r="BM359" s="10">
        <v>1</v>
      </c>
      <c r="BN359" s="10">
        <v>4</v>
      </c>
      <c r="BO359" s="10">
        <v>6</v>
      </c>
      <c r="BP359" s="10">
        <v>9</v>
      </c>
      <c r="BQ359" s="10">
        <v>15</v>
      </c>
      <c r="BR359" s="10">
        <v>7</v>
      </c>
      <c r="BS359" s="10">
        <v>3</v>
      </c>
      <c r="BT359" s="10">
        <v>3</v>
      </c>
      <c r="BU359" s="10">
        <v>8</v>
      </c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</row>
    <row r="360" ht="15">
      <c r="A360" s="6" t="s">
        <v>1535</v>
      </c>
      <c r="B360" s="6">
        <f t="shared" si="72"/>
        <v>51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10">
        <v>1</v>
      </c>
      <c r="BE360" s="6"/>
      <c r="BF360" s="6"/>
      <c r="BG360" s="6"/>
      <c r="BH360" s="6"/>
      <c r="BI360" s="10">
        <v>3</v>
      </c>
      <c r="BJ360" s="10">
        <v>4</v>
      </c>
      <c r="BK360" s="10">
        <v>12</v>
      </c>
      <c r="BL360" s="10">
        <v>12</v>
      </c>
      <c r="BM360" s="10">
        <v>8</v>
      </c>
      <c r="BN360" s="10">
        <v>3</v>
      </c>
      <c r="BO360" s="10">
        <v>1</v>
      </c>
      <c r="BP360" s="10">
        <v>1</v>
      </c>
      <c r="BQ360" s="10">
        <v>3</v>
      </c>
      <c r="BR360" s="6"/>
      <c r="BS360" s="10">
        <v>1</v>
      </c>
      <c r="BT360" s="6"/>
      <c r="BU360" s="10">
        <v>2</v>
      </c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</row>
    <row r="361" ht="15">
      <c r="A361" s="6" t="s">
        <v>1539</v>
      </c>
      <c r="B361" s="6">
        <f t="shared" si="72"/>
        <v>1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10">
        <v>1</v>
      </c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</row>
    <row r="362" ht="15">
      <c r="A362" s="6" t="s">
        <v>1543</v>
      </c>
      <c r="B362" s="6">
        <f t="shared" si="72"/>
        <v>275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10">
        <v>10</v>
      </c>
      <c r="AP362" s="10">
        <v>1</v>
      </c>
      <c r="AQ362" s="10">
        <v>5</v>
      </c>
      <c r="AR362" s="6"/>
      <c r="AS362" s="10">
        <v>1</v>
      </c>
      <c r="AT362" s="6"/>
      <c r="AU362" s="10">
        <v>1</v>
      </c>
      <c r="AV362" s="6"/>
      <c r="AW362" s="10">
        <v>3</v>
      </c>
      <c r="AX362" s="10">
        <v>1</v>
      </c>
      <c r="AY362" s="6"/>
      <c r="AZ362" s="10">
        <v>1</v>
      </c>
      <c r="BA362" s="10">
        <v>1</v>
      </c>
      <c r="BB362" s="10">
        <v>1</v>
      </c>
      <c r="BC362" s="6"/>
      <c r="BD362" s="10">
        <v>2</v>
      </c>
      <c r="BE362" s="10">
        <v>3</v>
      </c>
      <c r="BF362" s="10">
        <v>7</v>
      </c>
      <c r="BG362" s="6"/>
      <c r="BH362" s="10">
        <v>2</v>
      </c>
      <c r="BI362" s="10">
        <v>8</v>
      </c>
      <c r="BJ362" s="10">
        <v>5</v>
      </c>
      <c r="BK362" s="10">
        <v>15</v>
      </c>
      <c r="BL362" s="10">
        <v>32</v>
      </c>
      <c r="BM362" s="10">
        <v>24</v>
      </c>
      <c r="BN362" s="10">
        <v>30</v>
      </c>
      <c r="BO362" s="10">
        <v>31</v>
      </c>
      <c r="BP362" s="10">
        <v>17</v>
      </c>
      <c r="BQ362" s="10">
        <v>24</v>
      </c>
      <c r="BR362" s="10">
        <v>11</v>
      </c>
      <c r="BS362" s="10">
        <v>15</v>
      </c>
      <c r="BT362" s="10">
        <v>11</v>
      </c>
      <c r="BU362" s="10">
        <v>9</v>
      </c>
      <c r="BV362" s="10">
        <v>4</v>
      </c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</row>
    <row r="363" ht="15">
      <c r="A363" s="6" t="s">
        <v>1547</v>
      </c>
      <c r="B363" s="6">
        <f t="shared" si="72"/>
        <v>46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10">
        <v>3</v>
      </c>
      <c r="BP363" s="10">
        <v>3</v>
      </c>
      <c r="BQ363" s="10">
        <v>10</v>
      </c>
      <c r="BR363" s="10">
        <v>6</v>
      </c>
      <c r="BS363" s="10">
        <v>7</v>
      </c>
      <c r="BT363" s="10">
        <v>7</v>
      </c>
      <c r="BU363" s="10">
        <v>7</v>
      </c>
      <c r="BV363" s="10">
        <v>3</v>
      </c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</row>
    <row r="364" ht="15">
      <c r="A364" s="6" t="s">
        <v>1551</v>
      </c>
      <c r="B364" s="6">
        <f t="shared" si="72"/>
        <v>22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10">
        <v>1</v>
      </c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10">
        <v>1</v>
      </c>
      <c r="BM364" s="6"/>
      <c r="BN364" s="10">
        <v>2</v>
      </c>
      <c r="BO364" s="10">
        <v>1</v>
      </c>
      <c r="BP364" s="10">
        <v>4</v>
      </c>
      <c r="BQ364" s="10">
        <v>4</v>
      </c>
      <c r="BR364" s="10">
        <v>5</v>
      </c>
      <c r="BS364" s="10">
        <v>1</v>
      </c>
      <c r="BT364" s="10">
        <v>2</v>
      </c>
      <c r="BU364" s="6"/>
      <c r="BV364" s="10">
        <v>1</v>
      </c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</row>
    <row r="365" ht="15">
      <c r="A365" s="6" t="s">
        <v>1555</v>
      </c>
      <c r="B365" s="6">
        <f t="shared" si="72"/>
        <v>66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10">
        <v>1</v>
      </c>
      <c r="BC365" s="6"/>
      <c r="BD365" s="6"/>
      <c r="BE365" s="10">
        <v>8</v>
      </c>
      <c r="BF365" s="10">
        <v>10</v>
      </c>
      <c r="BG365" s="10">
        <v>5</v>
      </c>
      <c r="BH365" s="10">
        <v>20</v>
      </c>
      <c r="BI365" s="10">
        <v>3</v>
      </c>
      <c r="BJ365" s="10">
        <v>1</v>
      </c>
      <c r="BK365" s="10">
        <v>2</v>
      </c>
      <c r="BL365" s="10">
        <v>4</v>
      </c>
      <c r="BM365" s="10">
        <v>4</v>
      </c>
      <c r="BN365" s="10">
        <v>2</v>
      </c>
      <c r="BO365" s="6"/>
      <c r="BP365" s="10">
        <v>1</v>
      </c>
      <c r="BQ365" s="10">
        <v>1</v>
      </c>
      <c r="BR365" s="6"/>
      <c r="BS365" s="6"/>
      <c r="BT365" s="6"/>
      <c r="BU365" s="10">
        <v>4</v>
      </c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</row>
    <row r="366" ht="15">
      <c r="A366" s="6" t="s">
        <v>1559</v>
      </c>
      <c r="B366" s="6">
        <f t="shared" si="72"/>
        <v>1727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10">
        <v>3</v>
      </c>
      <c r="AF366" s="10">
        <v>3</v>
      </c>
      <c r="AG366" s="6"/>
      <c r="AH366" s="10">
        <v>12</v>
      </c>
      <c r="AI366" s="10">
        <v>8</v>
      </c>
      <c r="AJ366" s="10">
        <v>3</v>
      </c>
      <c r="AK366" s="10">
        <v>11</v>
      </c>
      <c r="AL366" s="10">
        <v>4</v>
      </c>
      <c r="AM366" s="10">
        <v>3</v>
      </c>
      <c r="AN366" s="10">
        <v>14</v>
      </c>
      <c r="AO366" s="10">
        <v>48</v>
      </c>
      <c r="AP366" s="10">
        <v>25</v>
      </c>
      <c r="AQ366" s="10">
        <v>9</v>
      </c>
      <c r="AR366" s="10">
        <v>10</v>
      </c>
      <c r="AS366" s="10">
        <v>7</v>
      </c>
      <c r="AT366" s="10">
        <v>7</v>
      </c>
      <c r="AU366" s="10">
        <v>5</v>
      </c>
      <c r="AV366" s="10">
        <v>5</v>
      </c>
      <c r="AW366" s="10">
        <v>10</v>
      </c>
      <c r="AX366" s="10">
        <v>5</v>
      </c>
      <c r="AY366" s="10">
        <v>11</v>
      </c>
      <c r="AZ366" s="10">
        <v>22</v>
      </c>
      <c r="BA366" s="10">
        <v>23</v>
      </c>
      <c r="BB366" s="10">
        <v>24</v>
      </c>
      <c r="BC366" s="10">
        <v>49</v>
      </c>
      <c r="BD366" s="10">
        <v>68</v>
      </c>
      <c r="BE366" s="10">
        <v>39</v>
      </c>
      <c r="BF366" s="10">
        <v>48</v>
      </c>
      <c r="BG366" s="10">
        <v>51</v>
      </c>
      <c r="BH366" s="10">
        <v>73</v>
      </c>
      <c r="BI366" s="10">
        <v>75</v>
      </c>
      <c r="BJ366" s="10">
        <v>48</v>
      </c>
      <c r="BK366" s="10">
        <v>51</v>
      </c>
      <c r="BL366" s="10">
        <v>74</v>
      </c>
      <c r="BM366" s="10">
        <v>80</v>
      </c>
      <c r="BN366" s="10">
        <v>103</v>
      </c>
      <c r="BO366" s="10">
        <v>76</v>
      </c>
      <c r="BP366" s="10">
        <v>104</v>
      </c>
      <c r="BQ366" s="10">
        <v>141</v>
      </c>
      <c r="BR366" s="10">
        <v>68</v>
      </c>
      <c r="BS366" s="10">
        <v>92</v>
      </c>
      <c r="BT366" s="10">
        <v>72</v>
      </c>
      <c r="BU366" s="10">
        <v>114</v>
      </c>
      <c r="BV366" s="10">
        <v>29</v>
      </c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</row>
    <row r="367" ht="15">
      <c r="A367" s="6" t="s">
        <v>1563</v>
      </c>
      <c r="B367" s="6">
        <f t="shared" si="72"/>
        <v>25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10">
        <v>1</v>
      </c>
      <c r="BL367" s="6"/>
      <c r="BM367" s="10">
        <v>2</v>
      </c>
      <c r="BN367" s="10">
        <v>2</v>
      </c>
      <c r="BO367" s="10">
        <v>1</v>
      </c>
      <c r="BP367" s="10">
        <v>6</v>
      </c>
      <c r="BQ367" s="10">
        <v>2</v>
      </c>
      <c r="BR367" s="10">
        <v>5</v>
      </c>
      <c r="BS367" s="10">
        <v>2</v>
      </c>
      <c r="BT367" s="10">
        <v>1</v>
      </c>
      <c r="BU367" s="10">
        <v>3</v>
      </c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</row>
    <row r="368" ht="15">
      <c r="A368" s="6" t="s">
        <v>1567</v>
      </c>
      <c r="B368" s="6">
        <f t="shared" si="72"/>
        <v>1434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10">
        <v>1</v>
      </c>
      <c r="AR368" s="6"/>
      <c r="AS368" s="10">
        <v>2</v>
      </c>
      <c r="AT368" s="10">
        <v>2</v>
      </c>
      <c r="AU368" s="6"/>
      <c r="AV368" s="6"/>
      <c r="AW368" s="6"/>
      <c r="AX368" s="10">
        <v>1</v>
      </c>
      <c r="AY368" s="10">
        <v>2</v>
      </c>
      <c r="AZ368" s="10">
        <v>1</v>
      </c>
      <c r="BA368" s="10">
        <v>2</v>
      </c>
      <c r="BB368" s="10">
        <v>5</v>
      </c>
      <c r="BC368" s="10">
        <v>6</v>
      </c>
      <c r="BD368" s="10">
        <v>13</v>
      </c>
      <c r="BE368" s="10">
        <v>26</v>
      </c>
      <c r="BF368" s="10">
        <v>30</v>
      </c>
      <c r="BG368" s="10">
        <v>36</v>
      </c>
      <c r="BH368" s="10">
        <v>36</v>
      </c>
      <c r="BI368" s="10">
        <v>20</v>
      </c>
      <c r="BJ368" s="10">
        <v>44</v>
      </c>
      <c r="BK368" s="10">
        <v>98</v>
      </c>
      <c r="BL368" s="10">
        <v>137</v>
      </c>
      <c r="BM368" s="10">
        <v>57</v>
      </c>
      <c r="BN368" s="10">
        <v>74</v>
      </c>
      <c r="BO368" s="10">
        <v>109</v>
      </c>
      <c r="BP368" s="10">
        <v>188</v>
      </c>
      <c r="BQ368" s="10">
        <v>139</v>
      </c>
      <c r="BR368" s="10">
        <v>105</v>
      </c>
      <c r="BS368" s="10">
        <v>82</v>
      </c>
      <c r="BT368" s="10">
        <v>91</v>
      </c>
      <c r="BU368" s="10">
        <v>89</v>
      </c>
      <c r="BV368" s="10">
        <v>38</v>
      </c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</row>
    <row r="369" ht="15">
      <c r="A369" s="6" t="s">
        <v>1571</v>
      </c>
      <c r="B369" s="6">
        <f t="shared" si="72"/>
        <v>182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10">
        <v>1</v>
      </c>
      <c r="BF369" s="10">
        <v>3</v>
      </c>
      <c r="BG369" s="10">
        <v>1</v>
      </c>
      <c r="BH369" s="10">
        <v>1</v>
      </c>
      <c r="BI369" s="6"/>
      <c r="BJ369" s="10">
        <v>1</v>
      </c>
      <c r="BK369" s="10">
        <v>3</v>
      </c>
      <c r="BL369" s="10">
        <v>9</v>
      </c>
      <c r="BM369" s="10">
        <v>10</v>
      </c>
      <c r="BN369" s="10">
        <v>8</v>
      </c>
      <c r="BO369" s="10">
        <v>13</v>
      </c>
      <c r="BP369" s="10">
        <v>9</v>
      </c>
      <c r="BQ369" s="10">
        <v>26</v>
      </c>
      <c r="BR369" s="10">
        <v>24</v>
      </c>
      <c r="BS369" s="10">
        <v>23</v>
      </c>
      <c r="BT369" s="10">
        <v>31</v>
      </c>
      <c r="BU369" s="10">
        <v>19</v>
      </c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</row>
    <row r="370" ht="15">
      <c r="A370" s="6" t="s">
        <v>1575</v>
      </c>
      <c r="B370" s="6">
        <f t="shared" si="72"/>
        <v>1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10">
        <v>1</v>
      </c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</row>
    <row r="371" ht="15">
      <c r="A371" s="6" t="s">
        <v>1579</v>
      </c>
      <c r="B371" s="6">
        <f t="shared" si="72"/>
        <v>2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10">
        <v>1</v>
      </c>
      <c r="BU371" s="6"/>
      <c r="BV371" s="10">
        <v>1</v>
      </c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</row>
    <row r="372" ht="15">
      <c r="A372" s="6" t="s">
        <v>1583</v>
      </c>
      <c r="B372" s="6">
        <f t="shared" si="72"/>
        <v>465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10">
        <v>3</v>
      </c>
      <c r="BD372" s="10">
        <v>2</v>
      </c>
      <c r="BE372" s="10">
        <v>1</v>
      </c>
      <c r="BF372" s="10">
        <v>8</v>
      </c>
      <c r="BG372" s="10">
        <v>1</v>
      </c>
      <c r="BH372" s="10">
        <v>2</v>
      </c>
      <c r="BI372" s="10">
        <v>1</v>
      </c>
      <c r="BJ372" s="10">
        <v>8</v>
      </c>
      <c r="BK372" s="10">
        <v>15</v>
      </c>
      <c r="BL372" s="10">
        <v>41</v>
      </c>
      <c r="BM372" s="10">
        <v>42</v>
      </c>
      <c r="BN372" s="10">
        <v>60</v>
      </c>
      <c r="BO372" s="10">
        <v>67</v>
      </c>
      <c r="BP372" s="10">
        <v>63</v>
      </c>
      <c r="BQ372" s="10">
        <v>45</v>
      </c>
      <c r="BR372" s="10">
        <v>24</v>
      </c>
      <c r="BS372" s="10">
        <v>20</v>
      </c>
      <c r="BT372" s="10">
        <v>26</v>
      </c>
      <c r="BU372" s="10">
        <v>21</v>
      </c>
      <c r="BV372" s="10">
        <v>15</v>
      </c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</row>
    <row r="373" ht="15">
      <c r="A373" s="6" t="s">
        <v>1587</v>
      </c>
      <c r="B373" s="6">
        <f t="shared" si="72"/>
        <v>27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0">
        <v>1</v>
      </c>
      <c r="AV373" s="6"/>
      <c r="AW373" s="6"/>
      <c r="AX373" s="6"/>
      <c r="AY373" s="6"/>
      <c r="AZ373" s="6"/>
      <c r="BA373" s="6"/>
      <c r="BB373" s="10">
        <v>1</v>
      </c>
      <c r="BC373" s="6"/>
      <c r="BD373" s="10">
        <v>1</v>
      </c>
      <c r="BE373" s="6"/>
      <c r="BF373" s="6"/>
      <c r="BG373" s="10">
        <v>1</v>
      </c>
      <c r="BH373" s="6"/>
      <c r="BI373" s="6"/>
      <c r="BJ373" s="10">
        <v>2</v>
      </c>
      <c r="BK373" s="10">
        <v>1</v>
      </c>
      <c r="BL373" s="10">
        <v>1</v>
      </c>
      <c r="BM373" s="10">
        <v>1</v>
      </c>
      <c r="BN373" s="10">
        <v>4</v>
      </c>
      <c r="BO373" s="10">
        <v>4</v>
      </c>
      <c r="BP373" s="10">
        <v>1</v>
      </c>
      <c r="BQ373" s="10">
        <v>1</v>
      </c>
      <c r="BR373" s="10">
        <v>1</v>
      </c>
      <c r="BS373" s="10">
        <v>5</v>
      </c>
      <c r="BT373" s="10">
        <v>2</v>
      </c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</row>
    <row r="374" ht="15">
      <c r="A374" s="6" t="s">
        <v>1595</v>
      </c>
      <c r="B374" s="6">
        <f t="shared" si="72"/>
        <v>26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10">
        <v>1</v>
      </c>
      <c r="BD374" s="6"/>
      <c r="BE374" s="10">
        <v>1</v>
      </c>
      <c r="BF374" s="6"/>
      <c r="BG374" s="6"/>
      <c r="BH374" s="6"/>
      <c r="BI374" s="6"/>
      <c r="BJ374" s="10">
        <v>1</v>
      </c>
      <c r="BK374" s="10">
        <v>1</v>
      </c>
      <c r="BL374" s="10">
        <v>2</v>
      </c>
      <c r="BM374" s="10">
        <v>2</v>
      </c>
      <c r="BN374" s="10">
        <v>3</v>
      </c>
      <c r="BO374" s="10">
        <v>2</v>
      </c>
      <c r="BP374" s="10">
        <v>7</v>
      </c>
      <c r="BQ374" s="10">
        <v>3</v>
      </c>
      <c r="BR374" s="10">
        <v>1</v>
      </c>
      <c r="BS374" s="6"/>
      <c r="BT374" s="10">
        <v>1</v>
      </c>
      <c r="BU374" s="10">
        <v>1</v>
      </c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</row>
    <row r="375" ht="15">
      <c r="A375" s="6" t="s">
        <v>1599</v>
      </c>
      <c r="B375" s="6">
        <f t="shared" si="72"/>
        <v>288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10">
        <v>1</v>
      </c>
      <c r="BA375" s="10">
        <v>1</v>
      </c>
      <c r="BB375" s="6"/>
      <c r="BC375" s="10">
        <v>2</v>
      </c>
      <c r="BD375" s="10">
        <v>2</v>
      </c>
      <c r="BE375" s="10">
        <v>1</v>
      </c>
      <c r="BF375" s="10">
        <v>5</v>
      </c>
      <c r="BG375" s="10">
        <v>8</v>
      </c>
      <c r="BH375" s="10">
        <v>19</v>
      </c>
      <c r="BI375" s="10">
        <v>7</v>
      </c>
      <c r="BJ375" s="10">
        <v>16</v>
      </c>
      <c r="BK375" s="10">
        <v>14</v>
      </c>
      <c r="BL375" s="10">
        <v>18</v>
      </c>
      <c r="BM375" s="10">
        <v>43</v>
      </c>
      <c r="BN375" s="10">
        <v>49</v>
      </c>
      <c r="BO375" s="10">
        <v>22</v>
      </c>
      <c r="BP375" s="10">
        <v>22</v>
      </c>
      <c r="BQ375" s="10">
        <v>25</v>
      </c>
      <c r="BR375" s="10">
        <v>10</v>
      </c>
      <c r="BS375" s="10">
        <v>4</v>
      </c>
      <c r="BT375" s="10">
        <v>13</v>
      </c>
      <c r="BU375" s="10">
        <v>6</v>
      </c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</row>
    <row r="376" ht="15">
      <c r="A376" s="6" t="s">
        <v>1603</v>
      </c>
      <c r="B376" s="6">
        <f t="shared" si="72"/>
        <v>10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10">
        <v>1</v>
      </c>
      <c r="BM376" s="6"/>
      <c r="BN376" s="6"/>
      <c r="BO376" s="6"/>
      <c r="BP376" s="10">
        <v>1</v>
      </c>
      <c r="BQ376" s="10">
        <v>3</v>
      </c>
      <c r="BR376" s="6"/>
      <c r="BS376" s="10">
        <v>3</v>
      </c>
      <c r="BT376" s="10">
        <v>1</v>
      </c>
      <c r="BU376" s="10">
        <v>1</v>
      </c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</row>
    <row r="377" ht="15">
      <c r="A377" s="6" t="s">
        <v>1607</v>
      </c>
      <c r="B377" s="6">
        <f t="shared" si="72"/>
        <v>10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10">
        <v>1</v>
      </c>
      <c r="BI377" s="6"/>
      <c r="BJ377" s="6"/>
      <c r="BK377" s="10">
        <v>1</v>
      </c>
      <c r="BL377" s="6"/>
      <c r="BM377" s="10">
        <v>1</v>
      </c>
      <c r="BN377" s="6"/>
      <c r="BO377" s="10">
        <v>1</v>
      </c>
      <c r="BP377" s="6"/>
      <c r="BQ377" s="10">
        <v>2</v>
      </c>
      <c r="BR377" s="10">
        <v>2</v>
      </c>
      <c r="BS377" s="10">
        <v>1</v>
      </c>
      <c r="BT377" s="10">
        <v>1</v>
      </c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</row>
    <row r="378" ht="15">
      <c r="A378" s="6" t="s">
        <v>1611</v>
      </c>
      <c r="B378" s="6">
        <f t="shared" si="72"/>
        <v>743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10">
        <v>4</v>
      </c>
      <c r="AJ378" s="10">
        <v>2</v>
      </c>
      <c r="AK378" s="10">
        <v>1</v>
      </c>
      <c r="AL378" s="10">
        <v>3</v>
      </c>
      <c r="AM378" s="10">
        <v>3</v>
      </c>
      <c r="AN378" s="10">
        <v>3</v>
      </c>
      <c r="AO378" s="10">
        <v>6</v>
      </c>
      <c r="AP378" s="10">
        <v>8</v>
      </c>
      <c r="AQ378" s="10">
        <v>13</v>
      </c>
      <c r="AR378" s="10">
        <v>3</v>
      </c>
      <c r="AS378" s="10">
        <v>4</v>
      </c>
      <c r="AT378" s="10">
        <v>12</v>
      </c>
      <c r="AU378" s="10">
        <v>12</v>
      </c>
      <c r="AV378" s="10">
        <v>12</v>
      </c>
      <c r="AW378" s="10">
        <v>11</v>
      </c>
      <c r="AX378" s="10">
        <v>12</v>
      </c>
      <c r="AY378" s="10">
        <v>13</v>
      </c>
      <c r="AZ378" s="10">
        <v>11</v>
      </c>
      <c r="BA378" s="10">
        <v>20</v>
      </c>
      <c r="BB378" s="10">
        <v>8</v>
      </c>
      <c r="BC378" s="10">
        <v>24</v>
      </c>
      <c r="BD378" s="10">
        <v>24</v>
      </c>
      <c r="BE378" s="10">
        <v>27</v>
      </c>
      <c r="BF378" s="10">
        <v>44</v>
      </c>
      <c r="BG378" s="10">
        <v>26</v>
      </c>
      <c r="BH378" s="10">
        <v>19</v>
      </c>
      <c r="BI378" s="10">
        <v>19</v>
      </c>
      <c r="BJ378" s="10">
        <v>27</v>
      </c>
      <c r="BK378" s="10">
        <v>28</v>
      </c>
      <c r="BL378" s="10">
        <v>36</v>
      </c>
      <c r="BM378" s="10">
        <v>27</v>
      </c>
      <c r="BN378" s="10">
        <v>83</v>
      </c>
      <c r="BO378" s="10">
        <v>26</v>
      </c>
      <c r="BP378" s="10">
        <v>22</v>
      </c>
      <c r="BQ378" s="10">
        <v>25</v>
      </c>
      <c r="BR378" s="10">
        <v>30</v>
      </c>
      <c r="BS378" s="10">
        <v>30</v>
      </c>
      <c r="BT378" s="10">
        <v>22</v>
      </c>
      <c r="BU378" s="10">
        <v>34</v>
      </c>
      <c r="BV378" s="10">
        <v>9</v>
      </c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</row>
    <row r="379" ht="15">
      <c r="A379" s="6" t="s">
        <v>1615</v>
      </c>
      <c r="B379" s="6">
        <f t="shared" si="72"/>
        <v>1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10">
        <v>1</v>
      </c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</row>
    <row r="380" ht="15">
      <c r="A380" s="6" t="s">
        <v>1619</v>
      </c>
      <c r="B380" s="6">
        <f t="shared" si="72"/>
        <v>3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10">
        <v>1</v>
      </c>
      <c r="BT380" s="10">
        <v>1</v>
      </c>
      <c r="BU380" s="10">
        <v>1</v>
      </c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</row>
    <row r="381" ht="15">
      <c r="A381" s="6" t="s">
        <v>1623</v>
      </c>
      <c r="B381" s="6">
        <f t="shared" si="72"/>
        <v>437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10">
        <v>1</v>
      </c>
      <c r="BC381" s="6"/>
      <c r="BD381" s="10">
        <v>1</v>
      </c>
      <c r="BE381" s="10">
        <v>4</v>
      </c>
      <c r="BF381" s="10">
        <v>12</v>
      </c>
      <c r="BG381" s="10">
        <v>13</v>
      </c>
      <c r="BH381" s="10">
        <v>46</v>
      </c>
      <c r="BI381" s="10">
        <v>32</v>
      </c>
      <c r="BJ381" s="10">
        <v>31</v>
      </c>
      <c r="BK381" s="10">
        <v>52</v>
      </c>
      <c r="BL381" s="10">
        <v>53</v>
      </c>
      <c r="BM381" s="10">
        <v>35</v>
      </c>
      <c r="BN381" s="10">
        <v>21</v>
      </c>
      <c r="BO381" s="10">
        <v>22</v>
      </c>
      <c r="BP381" s="10">
        <v>29</v>
      </c>
      <c r="BQ381" s="10">
        <v>23</v>
      </c>
      <c r="BR381" s="10">
        <v>15</v>
      </c>
      <c r="BS381" s="10">
        <v>15</v>
      </c>
      <c r="BT381" s="10">
        <v>15</v>
      </c>
      <c r="BU381" s="10">
        <v>16</v>
      </c>
      <c r="BV381" s="10">
        <v>1</v>
      </c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</row>
    <row r="382" ht="15">
      <c r="A382" s="6" t="s">
        <v>1627</v>
      </c>
      <c r="B382" s="6">
        <f t="shared" si="72"/>
        <v>83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10">
        <v>1</v>
      </c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10">
        <v>1</v>
      </c>
      <c r="BG382" s="10">
        <v>2</v>
      </c>
      <c r="BH382" s="10">
        <v>1</v>
      </c>
      <c r="BI382" s="6"/>
      <c r="BJ382" s="10">
        <v>3</v>
      </c>
      <c r="BK382" s="10">
        <v>1</v>
      </c>
      <c r="BL382" s="10">
        <v>3</v>
      </c>
      <c r="BM382" s="10">
        <v>1</v>
      </c>
      <c r="BN382" s="10">
        <v>6</v>
      </c>
      <c r="BO382" s="10">
        <v>1</v>
      </c>
      <c r="BP382" s="10">
        <v>6</v>
      </c>
      <c r="BQ382" s="10">
        <v>12</v>
      </c>
      <c r="BR382" s="10">
        <v>11</v>
      </c>
      <c r="BS382" s="10">
        <v>13</v>
      </c>
      <c r="BT382" s="10">
        <v>9</v>
      </c>
      <c r="BU382" s="10">
        <v>8</v>
      </c>
      <c r="BV382" s="10">
        <v>4</v>
      </c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</row>
    <row r="383" ht="15">
      <c r="A383" s="6" t="s">
        <v>1631</v>
      </c>
      <c r="B383" s="6">
        <f t="shared" si="72"/>
        <v>979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10">
        <v>3</v>
      </c>
      <c r="AN383" s="10">
        <v>2</v>
      </c>
      <c r="AO383" s="10">
        <v>1</v>
      </c>
      <c r="AP383" s="10">
        <v>1</v>
      </c>
      <c r="AQ383" s="10">
        <v>2</v>
      </c>
      <c r="AR383" s="6"/>
      <c r="AS383" s="10">
        <v>1</v>
      </c>
      <c r="AT383" s="6"/>
      <c r="AU383" s="10">
        <v>1</v>
      </c>
      <c r="AV383" s="10">
        <v>3</v>
      </c>
      <c r="AW383" s="10">
        <v>2</v>
      </c>
      <c r="AX383" s="10">
        <v>1</v>
      </c>
      <c r="AY383" s="10">
        <v>2</v>
      </c>
      <c r="AZ383" s="10">
        <v>4</v>
      </c>
      <c r="BA383" s="6"/>
      <c r="BB383" s="10">
        <v>1</v>
      </c>
      <c r="BC383" s="10">
        <v>3</v>
      </c>
      <c r="BD383" s="10">
        <v>3</v>
      </c>
      <c r="BE383" s="10">
        <v>12</v>
      </c>
      <c r="BF383" s="10">
        <v>4</v>
      </c>
      <c r="BG383" s="10">
        <v>10</v>
      </c>
      <c r="BH383" s="10">
        <v>9</v>
      </c>
      <c r="BI383" s="10">
        <v>5</v>
      </c>
      <c r="BJ383" s="10">
        <v>25</v>
      </c>
      <c r="BK383" s="10">
        <v>32</v>
      </c>
      <c r="BL383" s="10">
        <v>64</v>
      </c>
      <c r="BM383" s="10">
        <v>38</v>
      </c>
      <c r="BN383" s="10">
        <v>38</v>
      </c>
      <c r="BO383" s="10">
        <v>57</v>
      </c>
      <c r="BP383" s="10">
        <v>97</v>
      </c>
      <c r="BQ383" s="10">
        <v>99</v>
      </c>
      <c r="BR383" s="10">
        <v>101</v>
      </c>
      <c r="BS383" s="10">
        <v>86</v>
      </c>
      <c r="BT383" s="10">
        <v>103</v>
      </c>
      <c r="BU383" s="10">
        <v>119</v>
      </c>
      <c r="BV383" s="10">
        <v>50</v>
      </c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</row>
    <row r="384" ht="15">
      <c r="A384" s="6" t="s">
        <v>1635</v>
      </c>
      <c r="B384" s="6">
        <f t="shared" si="72"/>
        <v>96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10">
        <v>3</v>
      </c>
      <c r="AK384" s="6"/>
      <c r="AL384" s="10">
        <v>2</v>
      </c>
      <c r="AM384" s="6"/>
      <c r="AN384" s="6"/>
      <c r="AO384" s="10">
        <v>2</v>
      </c>
      <c r="AP384" s="10">
        <v>3</v>
      </c>
      <c r="AQ384" s="10">
        <v>1</v>
      </c>
      <c r="AR384" s="10">
        <v>5</v>
      </c>
      <c r="AS384" s="6"/>
      <c r="AT384" s="10">
        <v>1</v>
      </c>
      <c r="AU384" s="10">
        <v>2</v>
      </c>
      <c r="AV384" s="10">
        <v>4</v>
      </c>
      <c r="AW384" s="10">
        <v>2</v>
      </c>
      <c r="AX384" s="6"/>
      <c r="AY384" s="10">
        <v>4</v>
      </c>
      <c r="AZ384" s="10">
        <v>2</v>
      </c>
      <c r="BA384" s="10">
        <v>3</v>
      </c>
      <c r="BB384" s="10">
        <v>8</v>
      </c>
      <c r="BC384" s="10">
        <v>3</v>
      </c>
      <c r="BD384" s="10">
        <v>4</v>
      </c>
      <c r="BE384" s="10">
        <v>5</v>
      </c>
      <c r="BF384" s="10">
        <v>4</v>
      </c>
      <c r="BG384" s="10">
        <v>4</v>
      </c>
      <c r="BH384" s="10">
        <v>2</v>
      </c>
      <c r="BI384" s="6"/>
      <c r="BJ384" s="10">
        <v>1</v>
      </c>
      <c r="BK384" s="10">
        <v>3</v>
      </c>
      <c r="BL384" s="10">
        <v>4</v>
      </c>
      <c r="BM384" s="10">
        <v>3</v>
      </c>
      <c r="BN384" s="10">
        <v>1</v>
      </c>
      <c r="BO384" s="10">
        <v>5</v>
      </c>
      <c r="BP384" s="10">
        <v>6</v>
      </c>
      <c r="BQ384" s="6"/>
      <c r="BR384" s="10">
        <v>3</v>
      </c>
      <c r="BS384" s="10">
        <v>1</v>
      </c>
      <c r="BT384" s="6"/>
      <c r="BU384" s="10">
        <v>4</v>
      </c>
      <c r="BV384" s="10">
        <v>1</v>
      </c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</row>
    <row r="385" ht="15">
      <c r="A385" s="6" t="s">
        <v>1639</v>
      </c>
      <c r="B385" s="6">
        <f t="shared" si="72"/>
        <v>29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10">
        <v>1</v>
      </c>
      <c r="BL385" s="6"/>
      <c r="BM385" s="10">
        <v>1</v>
      </c>
      <c r="BN385" s="6"/>
      <c r="BO385" s="6"/>
      <c r="BP385" s="6"/>
      <c r="BQ385" s="10">
        <v>2</v>
      </c>
      <c r="BR385" s="10">
        <v>7</v>
      </c>
      <c r="BS385" s="10">
        <v>5</v>
      </c>
      <c r="BT385" s="10">
        <v>7</v>
      </c>
      <c r="BU385" s="10">
        <v>6</v>
      </c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</row>
    <row r="386" ht="15">
      <c r="A386" s="6" t="s">
        <v>1643</v>
      </c>
      <c r="B386" s="6">
        <f t="shared" si="72"/>
        <v>10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10">
        <v>2</v>
      </c>
      <c r="BF386" s="10">
        <v>1</v>
      </c>
      <c r="BG386" s="6"/>
      <c r="BH386" s="10">
        <v>1</v>
      </c>
      <c r="BI386" s="6"/>
      <c r="BJ386" s="10">
        <v>2</v>
      </c>
      <c r="BK386" s="6"/>
      <c r="BL386" s="6"/>
      <c r="BM386" s="10">
        <v>1</v>
      </c>
      <c r="BN386" s="6"/>
      <c r="BO386" s="6"/>
      <c r="BP386" s="6"/>
      <c r="BQ386" s="10">
        <v>1</v>
      </c>
      <c r="BR386" s="6"/>
      <c r="BS386" s="6"/>
      <c r="BT386" s="10">
        <v>1</v>
      </c>
      <c r="BU386" s="10">
        <v>1</v>
      </c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</row>
    <row r="387" ht="15">
      <c r="A387" s="6" t="s">
        <v>1647</v>
      </c>
      <c r="B387" s="6">
        <f t="shared" si="72"/>
        <v>68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10">
        <v>2</v>
      </c>
      <c r="BM387" s="6"/>
      <c r="BN387" s="10">
        <v>2</v>
      </c>
      <c r="BO387" s="6"/>
      <c r="BP387" s="10">
        <v>5</v>
      </c>
      <c r="BQ387" s="10">
        <v>6</v>
      </c>
      <c r="BR387" s="10">
        <v>6</v>
      </c>
      <c r="BS387" s="10">
        <v>22</v>
      </c>
      <c r="BT387" s="10">
        <v>7</v>
      </c>
      <c r="BU387" s="10">
        <v>14</v>
      </c>
      <c r="BV387" s="10">
        <v>4</v>
      </c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</row>
    <row r="388" ht="15">
      <c r="A388" s="6" t="s">
        <v>1651</v>
      </c>
      <c r="B388" s="6">
        <f t="shared" si="72"/>
        <v>15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10">
        <v>1</v>
      </c>
      <c r="BP388" s="10">
        <v>1</v>
      </c>
      <c r="BQ388" s="10">
        <v>2</v>
      </c>
      <c r="BR388" s="10">
        <v>1</v>
      </c>
      <c r="BS388" s="10">
        <v>1</v>
      </c>
      <c r="BT388" s="10">
        <v>3</v>
      </c>
      <c r="BU388" s="10">
        <v>6</v>
      </c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</row>
    <row r="389" ht="15">
      <c r="A389" s="6" t="s">
        <v>1655</v>
      </c>
      <c r="B389" s="6">
        <f t="shared" si="72"/>
        <v>36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10">
        <v>4</v>
      </c>
      <c r="BK389" s="10">
        <v>1</v>
      </c>
      <c r="BL389" s="10">
        <v>1</v>
      </c>
      <c r="BM389" s="10">
        <v>8</v>
      </c>
      <c r="BN389" s="10">
        <v>4</v>
      </c>
      <c r="BO389" s="10">
        <v>2</v>
      </c>
      <c r="BP389" s="10">
        <v>2</v>
      </c>
      <c r="BQ389" s="10">
        <v>5</v>
      </c>
      <c r="BR389" s="10">
        <v>2</v>
      </c>
      <c r="BS389" s="10">
        <v>3</v>
      </c>
      <c r="BT389" s="10">
        <v>3</v>
      </c>
      <c r="BU389" s="6"/>
      <c r="BV389" s="10">
        <v>1</v>
      </c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</row>
    <row r="390" ht="15">
      <c r="A390" s="6" t="s">
        <v>1659</v>
      </c>
      <c r="B390" s="6">
        <f t="shared" si="72"/>
        <v>95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10">
        <v>2</v>
      </c>
      <c r="BI390" s="10">
        <v>2</v>
      </c>
      <c r="BJ390" s="10">
        <v>3</v>
      </c>
      <c r="BK390" s="10">
        <v>8</v>
      </c>
      <c r="BL390" s="10">
        <v>10</v>
      </c>
      <c r="BM390" s="10">
        <v>3</v>
      </c>
      <c r="BN390" s="10">
        <v>1</v>
      </c>
      <c r="BO390" s="10">
        <v>8</v>
      </c>
      <c r="BP390" s="10">
        <v>6</v>
      </c>
      <c r="BQ390" s="10">
        <v>20</v>
      </c>
      <c r="BR390" s="10">
        <v>8</v>
      </c>
      <c r="BS390" s="10">
        <v>4</v>
      </c>
      <c r="BT390" s="10">
        <v>14</v>
      </c>
      <c r="BU390" s="10">
        <v>6</v>
      </c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</row>
    <row r="391" ht="15">
      <c r="A391" s="6" t="s">
        <v>1663</v>
      </c>
      <c r="B391" s="6">
        <f t="shared" si="72"/>
        <v>7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10">
        <v>1</v>
      </c>
      <c r="BM391" s="6"/>
      <c r="BN391" s="10">
        <v>2</v>
      </c>
      <c r="BO391" s="6"/>
      <c r="BP391" s="6"/>
      <c r="BQ391" s="6"/>
      <c r="BR391" s="6"/>
      <c r="BS391" s="10">
        <v>4</v>
      </c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</row>
    <row r="392" ht="15">
      <c r="A392" s="6" t="s">
        <v>1667</v>
      </c>
      <c r="B392" s="6">
        <f t="shared" si="72"/>
        <v>1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10">
        <v>1</v>
      </c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</row>
    <row r="393" ht="15">
      <c r="A393" s="6" t="s">
        <v>1671</v>
      </c>
      <c r="B393" s="6">
        <f t="shared" si="72"/>
        <v>16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10">
        <v>3</v>
      </c>
      <c r="BQ393" s="10">
        <v>5</v>
      </c>
      <c r="BR393" s="10">
        <v>3</v>
      </c>
      <c r="BS393" s="10">
        <v>3</v>
      </c>
      <c r="BT393" s="6"/>
      <c r="BU393" s="10">
        <v>1</v>
      </c>
      <c r="BV393" s="10">
        <v>1</v>
      </c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</row>
    <row r="394" ht="15">
      <c r="A394" s="6" t="s">
        <v>1675</v>
      </c>
      <c r="B394" s="6">
        <f t="shared" si="72"/>
        <v>150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10">
        <v>1</v>
      </c>
      <c r="BE394" s="10">
        <v>1</v>
      </c>
      <c r="BF394" s="10">
        <v>1</v>
      </c>
      <c r="BG394" s="6"/>
      <c r="BH394" s="10">
        <v>2</v>
      </c>
      <c r="BI394" s="10">
        <v>6</v>
      </c>
      <c r="BJ394" s="10">
        <v>8</v>
      </c>
      <c r="BK394" s="10">
        <v>15</v>
      </c>
      <c r="BL394" s="10">
        <v>26</v>
      </c>
      <c r="BM394" s="10">
        <v>23</v>
      </c>
      <c r="BN394" s="10">
        <v>35</v>
      </c>
      <c r="BO394" s="10">
        <v>8</v>
      </c>
      <c r="BP394" s="10">
        <v>6</v>
      </c>
      <c r="BQ394" s="10">
        <v>7</v>
      </c>
      <c r="BR394" s="10">
        <v>1</v>
      </c>
      <c r="BS394" s="10">
        <v>4</v>
      </c>
      <c r="BT394" s="10">
        <v>1</v>
      </c>
      <c r="BU394" s="10">
        <v>4</v>
      </c>
      <c r="BV394" s="10">
        <v>1</v>
      </c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</row>
    <row r="395" ht="15">
      <c r="A395" s="6" t="s">
        <v>1679</v>
      </c>
      <c r="B395" s="6">
        <f t="shared" si="72"/>
        <v>25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10">
        <v>1</v>
      </c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10">
        <v>2</v>
      </c>
      <c r="BF395" s="6"/>
      <c r="BG395" s="10">
        <v>1</v>
      </c>
      <c r="BH395" s="6"/>
      <c r="BI395" s="6"/>
      <c r="BJ395" s="10">
        <v>1</v>
      </c>
      <c r="BK395" s="10">
        <v>1</v>
      </c>
      <c r="BL395" s="10">
        <v>1</v>
      </c>
      <c r="BM395" s="10">
        <v>1</v>
      </c>
      <c r="BN395" s="6"/>
      <c r="BO395" s="10">
        <v>2</v>
      </c>
      <c r="BP395" s="10">
        <v>9</v>
      </c>
      <c r="BQ395" s="10">
        <v>1</v>
      </c>
      <c r="BR395" s="10">
        <v>3</v>
      </c>
      <c r="BS395" s="10">
        <v>1</v>
      </c>
      <c r="BT395" s="6"/>
      <c r="BU395" s="10">
        <v>1</v>
      </c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</row>
    <row r="396" ht="15">
      <c r="A396" s="6" t="s">
        <v>1683</v>
      </c>
      <c r="B396" s="6">
        <f t="shared" si="72"/>
        <v>995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10">
        <v>1</v>
      </c>
      <c r="AK396" s="6"/>
      <c r="AL396" s="6"/>
      <c r="AM396" s="6"/>
      <c r="AN396" s="6"/>
      <c r="AO396" s="6"/>
      <c r="AP396" s="6"/>
      <c r="AQ396" s="6"/>
      <c r="AR396" s="10">
        <v>1</v>
      </c>
      <c r="AS396" s="6"/>
      <c r="AT396" s="6"/>
      <c r="AU396" s="6"/>
      <c r="AV396" s="6"/>
      <c r="AW396" s="6"/>
      <c r="AX396" s="10">
        <v>2</v>
      </c>
      <c r="AY396" s="10">
        <v>3</v>
      </c>
      <c r="AZ396" s="10">
        <v>12</v>
      </c>
      <c r="BA396" s="10">
        <v>38</v>
      </c>
      <c r="BB396" s="10">
        <v>28</v>
      </c>
      <c r="BC396" s="10">
        <v>38</v>
      </c>
      <c r="BD396" s="10">
        <v>35</v>
      </c>
      <c r="BE396" s="10">
        <v>28</v>
      </c>
      <c r="BF396" s="10">
        <v>65</v>
      </c>
      <c r="BG396" s="10">
        <v>24</v>
      </c>
      <c r="BH396" s="10">
        <v>44</v>
      </c>
      <c r="BI396" s="10">
        <v>75</v>
      </c>
      <c r="BJ396" s="10">
        <v>48</v>
      </c>
      <c r="BK396" s="10">
        <v>49</v>
      </c>
      <c r="BL396" s="10">
        <v>47</v>
      </c>
      <c r="BM396" s="10">
        <v>79</v>
      </c>
      <c r="BN396" s="10">
        <v>50</v>
      </c>
      <c r="BO396" s="10">
        <v>19</v>
      </c>
      <c r="BP396" s="10">
        <v>50</v>
      </c>
      <c r="BQ396" s="10">
        <v>36</v>
      </c>
      <c r="BR396" s="10">
        <v>33</v>
      </c>
      <c r="BS396" s="10">
        <v>36</v>
      </c>
      <c r="BT396" s="10">
        <v>95</v>
      </c>
      <c r="BU396" s="10">
        <v>43</v>
      </c>
      <c r="BV396" s="10">
        <v>16</v>
      </c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</row>
    <row r="397" ht="15">
      <c r="A397" s="6" t="s">
        <v>1687</v>
      </c>
      <c r="B397" s="6">
        <f t="shared" si="72"/>
        <v>61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10">
        <v>1</v>
      </c>
      <c r="AW397" s="10">
        <v>1</v>
      </c>
      <c r="AX397" s="6"/>
      <c r="AY397" s="6"/>
      <c r="AZ397" s="10">
        <v>1</v>
      </c>
      <c r="BA397" s="6"/>
      <c r="BB397" s="6"/>
      <c r="BC397" s="10">
        <v>1</v>
      </c>
      <c r="BD397" s="6"/>
      <c r="BE397" s="6"/>
      <c r="BF397" s="6"/>
      <c r="BG397" s="6"/>
      <c r="BH397" s="10">
        <v>5</v>
      </c>
      <c r="BI397" s="10">
        <v>2</v>
      </c>
      <c r="BJ397" s="10">
        <v>2</v>
      </c>
      <c r="BK397" s="10">
        <v>1</v>
      </c>
      <c r="BL397" s="10">
        <v>3</v>
      </c>
      <c r="BM397" s="10">
        <v>3</v>
      </c>
      <c r="BN397" s="10">
        <v>1</v>
      </c>
      <c r="BO397" s="10">
        <v>1</v>
      </c>
      <c r="BP397" s="10">
        <v>2</v>
      </c>
      <c r="BQ397" s="10">
        <v>5</v>
      </c>
      <c r="BR397" s="10">
        <v>3</v>
      </c>
      <c r="BS397" s="10">
        <v>6</v>
      </c>
      <c r="BT397" s="10">
        <v>6</v>
      </c>
      <c r="BU397" s="10">
        <v>11</v>
      </c>
      <c r="BV397" s="10">
        <v>6</v>
      </c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</row>
    <row r="398" ht="15">
      <c r="A398" s="6" t="s">
        <v>1691</v>
      </c>
      <c r="B398" s="6">
        <f t="shared" si="72"/>
        <v>109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10">
        <v>2</v>
      </c>
      <c r="BK398" s="10">
        <v>13</v>
      </c>
      <c r="BL398" s="10">
        <v>22</v>
      </c>
      <c r="BM398" s="10">
        <v>15</v>
      </c>
      <c r="BN398" s="10">
        <v>7</v>
      </c>
      <c r="BO398" s="10">
        <v>8</v>
      </c>
      <c r="BP398" s="10">
        <v>15</v>
      </c>
      <c r="BQ398" s="10">
        <v>10</v>
      </c>
      <c r="BR398" s="10">
        <v>2</v>
      </c>
      <c r="BS398" s="10">
        <v>5</v>
      </c>
      <c r="BT398" s="10">
        <v>4</v>
      </c>
      <c r="BU398" s="10">
        <v>6</v>
      </c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</row>
    <row r="399" ht="15">
      <c r="A399" s="6" t="s">
        <v>1695</v>
      </c>
      <c r="B399" s="6">
        <f t="shared" si="72"/>
        <v>5419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0">
        <v>1</v>
      </c>
      <c r="W399" s="6"/>
      <c r="X399" s="10">
        <v>2</v>
      </c>
      <c r="Y399" s="6"/>
      <c r="Z399" s="6"/>
      <c r="AA399" s="6"/>
      <c r="AB399" s="10">
        <v>1</v>
      </c>
      <c r="AC399" s="10">
        <v>1</v>
      </c>
      <c r="AD399" s="10">
        <v>2</v>
      </c>
      <c r="AE399" s="10">
        <v>6</v>
      </c>
      <c r="AF399" s="10">
        <v>4</v>
      </c>
      <c r="AG399" s="10">
        <v>31</v>
      </c>
      <c r="AH399" s="10">
        <v>30</v>
      </c>
      <c r="AI399" s="10">
        <v>48</v>
      </c>
      <c r="AJ399" s="10">
        <v>32</v>
      </c>
      <c r="AK399" s="10">
        <v>35</v>
      </c>
      <c r="AL399" s="10">
        <v>71</v>
      </c>
      <c r="AM399" s="10">
        <v>73</v>
      </c>
      <c r="AN399" s="10">
        <v>89</v>
      </c>
      <c r="AO399" s="10">
        <v>145</v>
      </c>
      <c r="AP399" s="10">
        <v>183</v>
      </c>
      <c r="AQ399" s="10">
        <v>210</v>
      </c>
      <c r="AR399" s="10">
        <v>177</v>
      </c>
      <c r="AS399" s="10">
        <v>78</v>
      </c>
      <c r="AT399" s="10">
        <v>118</v>
      </c>
      <c r="AU399" s="10">
        <v>99</v>
      </c>
      <c r="AV399" s="10">
        <v>76</v>
      </c>
      <c r="AW399" s="10">
        <v>98</v>
      </c>
      <c r="AX399" s="10">
        <v>59</v>
      </c>
      <c r="AY399" s="10">
        <v>71</v>
      </c>
      <c r="AZ399" s="10">
        <v>118</v>
      </c>
      <c r="BA399" s="10">
        <v>135</v>
      </c>
      <c r="BB399" s="10">
        <v>188</v>
      </c>
      <c r="BC399" s="10">
        <v>170</v>
      </c>
      <c r="BD399" s="10">
        <v>96</v>
      </c>
      <c r="BE399" s="10">
        <v>210</v>
      </c>
      <c r="BF399" s="10">
        <v>93</v>
      </c>
      <c r="BG399" s="10">
        <v>92</v>
      </c>
      <c r="BH399" s="10">
        <v>85</v>
      </c>
      <c r="BI399" s="10">
        <v>166</v>
      </c>
      <c r="BJ399" s="10">
        <v>231</v>
      </c>
      <c r="BK399" s="10">
        <v>211</v>
      </c>
      <c r="BL399" s="10">
        <v>445</v>
      </c>
      <c r="BM399" s="10">
        <v>348</v>
      </c>
      <c r="BN399" s="10">
        <v>370</v>
      </c>
      <c r="BO399" s="10">
        <v>413</v>
      </c>
      <c r="BP399" s="10">
        <v>145</v>
      </c>
      <c r="BQ399" s="10">
        <v>70</v>
      </c>
      <c r="BR399" s="10">
        <v>38</v>
      </c>
      <c r="BS399" s="10">
        <v>43</v>
      </c>
      <c r="BT399" s="10">
        <v>8</v>
      </c>
      <c r="BU399" s="10">
        <v>4</v>
      </c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</row>
    <row r="400" ht="15">
      <c r="A400" s="6" t="s">
        <v>1699</v>
      </c>
      <c r="B400" s="6">
        <f t="shared" si="72"/>
        <v>904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0">
        <v>1</v>
      </c>
      <c r="AC400" s="6"/>
      <c r="AD400" s="10">
        <v>1</v>
      </c>
      <c r="AE400" s="6"/>
      <c r="AF400" s="6"/>
      <c r="AG400" s="6"/>
      <c r="AH400" s="10">
        <v>5</v>
      </c>
      <c r="AI400" s="10">
        <v>7</v>
      </c>
      <c r="AJ400" s="10">
        <v>6</v>
      </c>
      <c r="AK400" s="10">
        <v>4</v>
      </c>
      <c r="AL400" s="10">
        <v>11</v>
      </c>
      <c r="AM400" s="10">
        <v>8</v>
      </c>
      <c r="AN400" s="10">
        <v>14</v>
      </c>
      <c r="AO400" s="10">
        <v>37</v>
      </c>
      <c r="AP400" s="10">
        <v>63</v>
      </c>
      <c r="AQ400" s="10">
        <v>41</v>
      </c>
      <c r="AR400" s="10">
        <v>43</v>
      </c>
      <c r="AS400" s="10">
        <v>36</v>
      </c>
      <c r="AT400" s="10">
        <v>40</v>
      </c>
      <c r="AU400" s="10">
        <v>40</v>
      </c>
      <c r="AV400" s="10">
        <v>33</v>
      </c>
      <c r="AW400" s="10">
        <v>38</v>
      </c>
      <c r="AX400" s="10">
        <v>33</v>
      </c>
      <c r="AY400" s="10">
        <v>19</v>
      </c>
      <c r="AZ400" s="10">
        <v>15</v>
      </c>
      <c r="BA400" s="10">
        <v>21</v>
      </c>
      <c r="BB400" s="10">
        <v>27</v>
      </c>
      <c r="BC400" s="10">
        <v>9</v>
      </c>
      <c r="BD400" s="10">
        <v>9</v>
      </c>
      <c r="BE400" s="10">
        <v>12</v>
      </c>
      <c r="BF400" s="10">
        <v>56</v>
      </c>
      <c r="BG400" s="10">
        <v>43</v>
      </c>
      <c r="BH400" s="10">
        <v>51</v>
      </c>
      <c r="BI400" s="10">
        <v>25</v>
      </c>
      <c r="BJ400" s="10">
        <v>26</v>
      </c>
      <c r="BK400" s="10">
        <v>20</v>
      </c>
      <c r="BL400" s="10">
        <v>42</v>
      </c>
      <c r="BM400" s="10">
        <v>10</v>
      </c>
      <c r="BN400" s="10">
        <v>18</v>
      </c>
      <c r="BO400" s="10">
        <v>7</v>
      </c>
      <c r="BP400" s="10">
        <v>15</v>
      </c>
      <c r="BQ400" s="10">
        <v>5</v>
      </c>
      <c r="BR400" s="10">
        <v>2</v>
      </c>
      <c r="BS400" s="10">
        <v>6</v>
      </c>
      <c r="BT400" s="10">
        <v>3</v>
      </c>
      <c r="BU400" s="10">
        <v>1</v>
      </c>
      <c r="BV400" s="10">
        <v>1</v>
      </c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</row>
    <row r="401" ht="15">
      <c r="A401" s="6" t="s">
        <v>1703</v>
      </c>
      <c r="B401" s="6">
        <f t="shared" si="72"/>
        <v>35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10">
        <v>1</v>
      </c>
      <c r="BI401" s="6"/>
      <c r="BJ401" s="6"/>
      <c r="BK401" s="6"/>
      <c r="BL401" s="6"/>
      <c r="BM401" s="6"/>
      <c r="BN401" s="6"/>
      <c r="BO401" s="10">
        <v>7</v>
      </c>
      <c r="BP401" s="10">
        <v>4</v>
      </c>
      <c r="BQ401" s="10">
        <v>4</v>
      </c>
      <c r="BR401" s="10">
        <v>5</v>
      </c>
      <c r="BS401" s="10">
        <v>3</v>
      </c>
      <c r="BT401" s="10">
        <v>4</v>
      </c>
      <c r="BU401" s="10">
        <v>4</v>
      </c>
      <c r="BV401" s="10">
        <v>3</v>
      </c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</row>
    <row r="402" ht="15">
      <c r="A402" s="6" t="s">
        <v>1707</v>
      </c>
      <c r="B402" s="6">
        <f t="shared" si="72"/>
        <v>242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10">
        <v>1</v>
      </c>
      <c r="AD402" s="6"/>
      <c r="AE402" s="6"/>
      <c r="AF402" s="6"/>
      <c r="AG402" s="6"/>
      <c r="AH402" s="10">
        <v>1</v>
      </c>
      <c r="AI402" s="6"/>
      <c r="AJ402" s="6"/>
      <c r="AK402" s="6"/>
      <c r="AL402" s="6"/>
      <c r="AM402" s="10">
        <v>1</v>
      </c>
      <c r="AN402" s="6"/>
      <c r="AO402" s="6"/>
      <c r="AP402" s="10">
        <v>2</v>
      </c>
      <c r="AQ402" s="6"/>
      <c r="AR402" s="10">
        <v>4</v>
      </c>
      <c r="AS402" s="10">
        <v>4</v>
      </c>
      <c r="AT402" s="10">
        <v>2</v>
      </c>
      <c r="AU402" s="10">
        <v>6</v>
      </c>
      <c r="AV402" s="10">
        <v>6</v>
      </c>
      <c r="AW402" s="10">
        <v>6</v>
      </c>
      <c r="AX402" s="10">
        <v>2</v>
      </c>
      <c r="AY402" s="10">
        <v>12</v>
      </c>
      <c r="AZ402" s="10">
        <v>9</v>
      </c>
      <c r="BA402" s="10">
        <v>1</v>
      </c>
      <c r="BB402" s="10">
        <v>2</v>
      </c>
      <c r="BC402" s="10">
        <v>3</v>
      </c>
      <c r="BD402" s="10">
        <v>7</v>
      </c>
      <c r="BE402" s="10">
        <v>3</v>
      </c>
      <c r="BF402" s="10">
        <v>1</v>
      </c>
      <c r="BG402" s="10">
        <v>7</v>
      </c>
      <c r="BH402" s="10">
        <v>7</v>
      </c>
      <c r="BI402" s="10">
        <v>23</v>
      </c>
      <c r="BJ402" s="10">
        <v>16</v>
      </c>
      <c r="BK402" s="10">
        <v>13</v>
      </c>
      <c r="BL402" s="10">
        <v>24</v>
      </c>
      <c r="BM402" s="10">
        <v>24</v>
      </c>
      <c r="BN402" s="10">
        <v>8</v>
      </c>
      <c r="BO402" s="10">
        <v>14</v>
      </c>
      <c r="BP402" s="10">
        <v>12</v>
      </c>
      <c r="BQ402" s="10">
        <v>6</v>
      </c>
      <c r="BR402" s="10">
        <v>5</v>
      </c>
      <c r="BS402" s="10">
        <v>3</v>
      </c>
      <c r="BT402" s="10">
        <v>4</v>
      </c>
      <c r="BU402" s="10">
        <v>2</v>
      </c>
      <c r="BV402" s="10">
        <v>1</v>
      </c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</row>
    <row r="403" ht="15">
      <c r="A403" s="6" t="s">
        <v>1711</v>
      </c>
      <c r="B403" s="6">
        <f t="shared" si="72"/>
        <v>238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0">
        <v>2</v>
      </c>
      <c r="AV403" s="10">
        <v>6</v>
      </c>
      <c r="AW403" s="10">
        <v>5</v>
      </c>
      <c r="AX403" s="10">
        <v>4</v>
      </c>
      <c r="AY403" s="6"/>
      <c r="AZ403" s="10">
        <v>3</v>
      </c>
      <c r="BA403" s="6"/>
      <c r="BB403" s="10">
        <v>2</v>
      </c>
      <c r="BC403" s="10">
        <v>2</v>
      </c>
      <c r="BD403" s="6"/>
      <c r="BE403" s="10">
        <v>2</v>
      </c>
      <c r="BF403" s="10">
        <v>3</v>
      </c>
      <c r="BG403" s="10">
        <v>1</v>
      </c>
      <c r="BH403" s="10">
        <v>5</v>
      </c>
      <c r="BI403" s="10">
        <v>16</v>
      </c>
      <c r="BJ403" s="10">
        <v>11</v>
      </c>
      <c r="BK403" s="10">
        <v>5</v>
      </c>
      <c r="BL403" s="10">
        <v>8</v>
      </c>
      <c r="BM403" s="10">
        <v>25</v>
      </c>
      <c r="BN403" s="10">
        <v>9</v>
      </c>
      <c r="BO403" s="10">
        <v>23</v>
      </c>
      <c r="BP403" s="10">
        <v>63</v>
      </c>
      <c r="BQ403" s="10">
        <v>7</v>
      </c>
      <c r="BR403" s="10">
        <v>6</v>
      </c>
      <c r="BS403" s="10">
        <v>9</v>
      </c>
      <c r="BT403" s="10">
        <v>5</v>
      </c>
      <c r="BU403" s="10">
        <v>12</v>
      </c>
      <c r="BV403" s="10">
        <v>3</v>
      </c>
      <c r="BW403" s="6"/>
      <c r="BX403" s="6"/>
      <c r="BY403" s="6"/>
      <c r="BZ403" s="6"/>
      <c r="CA403" s="6"/>
      <c r="CB403" s="10">
        <v>1</v>
      </c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</row>
    <row r="404" ht="15">
      <c r="A404" s="6" t="s">
        <v>1715</v>
      </c>
      <c r="B404" s="6">
        <f t="shared" si="72"/>
        <v>999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10">
        <v>1</v>
      </c>
      <c r="BC404" s="10">
        <v>1</v>
      </c>
      <c r="BD404" s="10">
        <v>9</v>
      </c>
      <c r="BE404" s="10">
        <v>4</v>
      </c>
      <c r="BF404" s="10">
        <v>13</v>
      </c>
      <c r="BG404" s="10">
        <v>9</v>
      </c>
      <c r="BH404" s="10">
        <v>19</v>
      </c>
      <c r="BI404" s="10">
        <v>29</v>
      </c>
      <c r="BJ404" s="10">
        <v>43</v>
      </c>
      <c r="BK404" s="10">
        <v>77</v>
      </c>
      <c r="BL404" s="10">
        <v>64</v>
      </c>
      <c r="BM404" s="10">
        <v>70</v>
      </c>
      <c r="BN404" s="10">
        <v>74</v>
      </c>
      <c r="BO404" s="10">
        <v>122</v>
      </c>
      <c r="BP404" s="10">
        <v>124</v>
      </c>
      <c r="BQ404" s="10">
        <v>89</v>
      </c>
      <c r="BR404" s="10">
        <v>78</v>
      </c>
      <c r="BS404" s="10">
        <v>59</v>
      </c>
      <c r="BT404" s="10">
        <v>40</v>
      </c>
      <c r="BU404" s="10">
        <v>66</v>
      </c>
      <c r="BV404" s="10">
        <v>8</v>
      </c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</row>
    <row r="405" ht="15">
      <c r="A405" s="6" t="s">
        <v>1719</v>
      </c>
      <c r="B405" s="6">
        <f t="shared" si="72"/>
        <v>3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10">
        <v>1</v>
      </c>
      <c r="BR405" s="10">
        <v>1</v>
      </c>
      <c r="BS405" s="6"/>
      <c r="BT405" s="6"/>
      <c r="BU405" s="6"/>
      <c r="BV405" s="10">
        <v>1</v>
      </c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</row>
    <row r="406" ht="15">
      <c r="A406" s="6" t="s">
        <v>1723</v>
      </c>
      <c r="B406" s="6">
        <f t="shared" si="72"/>
        <v>2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10">
        <v>2</v>
      </c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</row>
    <row r="407" ht="15">
      <c r="A407" s="6" t="s">
        <v>1727</v>
      </c>
      <c r="B407" s="6">
        <f t="shared" si="72"/>
        <v>58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10">
        <v>2</v>
      </c>
      <c r="BH407" s="10">
        <v>2</v>
      </c>
      <c r="BI407" s="10">
        <v>2</v>
      </c>
      <c r="BJ407" s="10">
        <v>1</v>
      </c>
      <c r="BK407" s="10">
        <v>12</v>
      </c>
      <c r="BL407" s="10">
        <v>1</v>
      </c>
      <c r="BM407" s="6"/>
      <c r="BN407" s="10">
        <v>3</v>
      </c>
      <c r="BO407" s="10">
        <v>7</v>
      </c>
      <c r="BP407" s="10">
        <v>1</v>
      </c>
      <c r="BQ407" s="10">
        <v>6</v>
      </c>
      <c r="BR407" s="10">
        <v>4</v>
      </c>
      <c r="BS407" s="10">
        <v>4</v>
      </c>
      <c r="BT407" s="10">
        <v>6</v>
      </c>
      <c r="BU407" s="10">
        <v>6</v>
      </c>
      <c r="BV407" s="10">
        <v>1</v>
      </c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</row>
    <row r="408" ht="15">
      <c r="A408" s="6" t="s">
        <v>1731</v>
      </c>
      <c r="B408" s="6">
        <f t="shared" si="72"/>
        <v>123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10">
        <v>1</v>
      </c>
      <c r="BI408" s="6"/>
      <c r="BJ408" s="6"/>
      <c r="BK408" s="10">
        <v>5</v>
      </c>
      <c r="BL408" s="10">
        <v>6</v>
      </c>
      <c r="BM408" s="10">
        <v>3</v>
      </c>
      <c r="BN408" s="10">
        <v>7</v>
      </c>
      <c r="BO408" s="10">
        <v>14</v>
      </c>
      <c r="BP408" s="10">
        <v>16</v>
      </c>
      <c r="BQ408" s="10">
        <v>10</v>
      </c>
      <c r="BR408" s="10">
        <v>19</v>
      </c>
      <c r="BS408" s="10">
        <v>7</v>
      </c>
      <c r="BT408" s="10">
        <v>7</v>
      </c>
      <c r="BU408" s="10">
        <v>22</v>
      </c>
      <c r="BV408" s="10">
        <v>6</v>
      </c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</row>
    <row r="409" ht="15">
      <c r="A409" s="6" t="s">
        <v>1735</v>
      </c>
      <c r="B409" s="6">
        <f t="shared" si="72"/>
        <v>40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10">
        <v>1</v>
      </c>
      <c r="AW409" s="6"/>
      <c r="AX409" s="6"/>
      <c r="AY409" s="6"/>
      <c r="AZ409" s="6"/>
      <c r="BA409" s="6"/>
      <c r="BB409" s="6"/>
      <c r="BC409" s="10">
        <v>2</v>
      </c>
      <c r="BD409" s="10">
        <v>2</v>
      </c>
      <c r="BE409" s="10">
        <v>3</v>
      </c>
      <c r="BF409" s="10">
        <v>1</v>
      </c>
      <c r="BG409" s="10">
        <v>1</v>
      </c>
      <c r="BH409" s="10">
        <v>1</v>
      </c>
      <c r="BI409" s="10">
        <v>3</v>
      </c>
      <c r="BJ409" s="10">
        <v>1</v>
      </c>
      <c r="BK409" s="10">
        <v>7</v>
      </c>
      <c r="BL409" s="10">
        <v>6</v>
      </c>
      <c r="BM409" s="10">
        <v>1</v>
      </c>
      <c r="BN409" s="10">
        <v>2</v>
      </c>
      <c r="BO409" s="10">
        <v>1</v>
      </c>
      <c r="BP409" s="10">
        <v>2</v>
      </c>
      <c r="BQ409" s="10">
        <v>1</v>
      </c>
      <c r="BR409" s="6"/>
      <c r="BS409" s="10">
        <v>2</v>
      </c>
      <c r="BT409" s="6"/>
      <c r="BU409" s="10">
        <v>1</v>
      </c>
      <c r="BV409" s="10">
        <v>2</v>
      </c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</row>
    <row r="410" ht="15">
      <c r="A410" s="6" t="s">
        <v>1739</v>
      </c>
      <c r="B410" s="6">
        <f t="shared" si="72"/>
        <v>1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10">
        <v>1</v>
      </c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</row>
    <row r="411" ht="15">
      <c r="A411" s="6" t="s">
        <v>1743</v>
      </c>
      <c r="B411" s="6">
        <f t="shared" si="72"/>
        <v>173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10">
        <v>1</v>
      </c>
      <c r="BA411" s="6"/>
      <c r="BB411" s="10">
        <v>2</v>
      </c>
      <c r="BC411" s="10">
        <v>3</v>
      </c>
      <c r="BD411" s="10">
        <v>2</v>
      </c>
      <c r="BE411" s="10">
        <v>4</v>
      </c>
      <c r="BF411" s="10">
        <v>2</v>
      </c>
      <c r="BG411" s="10">
        <v>5</v>
      </c>
      <c r="BH411" s="10">
        <v>7</v>
      </c>
      <c r="BI411" s="10">
        <v>1</v>
      </c>
      <c r="BJ411" s="10">
        <v>4</v>
      </c>
      <c r="BK411" s="10">
        <v>2</v>
      </c>
      <c r="BL411" s="10">
        <v>9</v>
      </c>
      <c r="BM411" s="10">
        <v>12</v>
      </c>
      <c r="BN411" s="10">
        <v>33</v>
      </c>
      <c r="BO411" s="10">
        <v>32</v>
      </c>
      <c r="BP411" s="10">
        <v>36</v>
      </c>
      <c r="BQ411" s="10">
        <v>3</v>
      </c>
      <c r="BR411" s="10">
        <v>3</v>
      </c>
      <c r="BS411" s="10">
        <v>3</v>
      </c>
      <c r="BT411" s="10">
        <v>5</v>
      </c>
      <c r="BU411" s="10">
        <v>4</v>
      </c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</row>
    <row r="412" ht="15">
      <c r="A412" s="6" t="s">
        <v>1747</v>
      </c>
      <c r="B412" s="6">
        <f t="shared" si="72"/>
        <v>885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10">
        <v>1</v>
      </c>
      <c r="AL412" s="10">
        <v>2</v>
      </c>
      <c r="AM412" s="10">
        <v>1</v>
      </c>
      <c r="AN412" s="10">
        <v>5</v>
      </c>
      <c r="AO412" s="10">
        <v>8</v>
      </c>
      <c r="AP412" s="10">
        <v>49</v>
      </c>
      <c r="AQ412" s="10">
        <v>44</v>
      </c>
      <c r="AR412" s="10">
        <v>49</v>
      </c>
      <c r="AS412" s="10">
        <v>40</v>
      </c>
      <c r="AT412" s="10">
        <v>36</v>
      </c>
      <c r="AU412" s="10">
        <v>36</v>
      </c>
      <c r="AV412" s="10">
        <v>26</v>
      </c>
      <c r="AW412" s="10">
        <v>34</v>
      </c>
      <c r="AX412" s="10">
        <v>40</v>
      </c>
      <c r="AY412" s="10">
        <v>27</v>
      </c>
      <c r="AZ412" s="10">
        <v>49</v>
      </c>
      <c r="BA412" s="10">
        <v>30</v>
      </c>
      <c r="BB412" s="10">
        <v>19</v>
      </c>
      <c r="BC412" s="10">
        <v>23</v>
      </c>
      <c r="BD412" s="10">
        <v>27</v>
      </c>
      <c r="BE412" s="10">
        <v>19</v>
      </c>
      <c r="BF412" s="10">
        <v>31</v>
      </c>
      <c r="BG412" s="10">
        <v>21</v>
      </c>
      <c r="BH412" s="10">
        <v>11</v>
      </c>
      <c r="BI412" s="10">
        <v>17</v>
      </c>
      <c r="BJ412" s="10">
        <v>12</v>
      </c>
      <c r="BK412" s="10">
        <v>14</v>
      </c>
      <c r="BL412" s="10">
        <v>15</v>
      </c>
      <c r="BM412" s="10">
        <v>22</v>
      </c>
      <c r="BN412" s="10">
        <v>24</v>
      </c>
      <c r="BO412" s="10">
        <v>45</v>
      </c>
      <c r="BP412" s="10">
        <v>33</v>
      </c>
      <c r="BQ412" s="10">
        <v>16</v>
      </c>
      <c r="BR412" s="10">
        <v>15</v>
      </c>
      <c r="BS412" s="10">
        <v>12</v>
      </c>
      <c r="BT412" s="10">
        <v>21</v>
      </c>
      <c r="BU412" s="10">
        <v>9</v>
      </c>
      <c r="BV412" s="10">
        <v>2</v>
      </c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</row>
    <row r="413" ht="15">
      <c r="A413" s="6" t="s">
        <v>1751</v>
      </c>
      <c r="B413" s="6">
        <f t="shared" si="72"/>
        <v>185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10">
        <v>1</v>
      </c>
      <c r="BG413" s="10">
        <v>1</v>
      </c>
      <c r="BH413" s="10">
        <v>1</v>
      </c>
      <c r="BI413" s="10">
        <v>5</v>
      </c>
      <c r="BJ413" s="10">
        <v>6</v>
      </c>
      <c r="BK413" s="10">
        <v>10</v>
      </c>
      <c r="BL413" s="10">
        <v>4</v>
      </c>
      <c r="BM413" s="10">
        <v>13</v>
      </c>
      <c r="BN413" s="10">
        <v>7</v>
      </c>
      <c r="BO413" s="10">
        <v>12</v>
      </c>
      <c r="BP413" s="10">
        <v>21</v>
      </c>
      <c r="BQ413" s="10">
        <v>26</v>
      </c>
      <c r="BR413" s="10">
        <v>15</v>
      </c>
      <c r="BS413" s="10">
        <v>18</v>
      </c>
      <c r="BT413" s="10">
        <v>27</v>
      </c>
      <c r="BU413" s="10">
        <v>12</v>
      </c>
      <c r="BV413" s="10">
        <v>6</v>
      </c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</row>
    <row r="414" ht="15">
      <c r="A414" s="6" t="s">
        <v>1755</v>
      </c>
      <c r="B414" s="6">
        <f t="shared" si="72"/>
        <v>7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10">
        <v>1</v>
      </c>
      <c r="BQ414" s="6"/>
      <c r="BR414" s="6"/>
      <c r="BS414" s="10">
        <v>2</v>
      </c>
      <c r="BT414" s="10">
        <v>1</v>
      </c>
      <c r="BU414" s="10">
        <v>3</v>
      </c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</row>
    <row r="415" ht="15">
      <c r="A415" s="6" t="s">
        <v>1759</v>
      </c>
      <c r="B415" s="6">
        <f t="shared" si="72"/>
        <v>60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10">
        <v>2</v>
      </c>
      <c r="BO415" s="6"/>
      <c r="BP415" s="10">
        <v>4</v>
      </c>
      <c r="BQ415" s="10">
        <v>23</v>
      </c>
      <c r="BR415" s="10">
        <v>15</v>
      </c>
      <c r="BS415" s="10">
        <v>3</v>
      </c>
      <c r="BT415" s="10">
        <v>6</v>
      </c>
      <c r="BU415" s="10">
        <v>6</v>
      </c>
      <c r="BV415" s="10">
        <v>1</v>
      </c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</row>
    <row r="416" ht="15">
      <c r="A416" s="6" t="s">
        <v>1763</v>
      </c>
      <c r="B416" s="6">
        <f t="shared" si="72"/>
        <v>106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10">
        <v>1</v>
      </c>
      <c r="BH416" s="6"/>
      <c r="BI416" s="6"/>
      <c r="BJ416" s="6"/>
      <c r="BK416" s="10">
        <v>3</v>
      </c>
      <c r="BL416" s="10">
        <v>1</v>
      </c>
      <c r="BM416" s="10">
        <v>14</v>
      </c>
      <c r="BN416" s="10">
        <v>14</v>
      </c>
      <c r="BO416" s="10">
        <v>9</v>
      </c>
      <c r="BP416" s="10">
        <v>23</v>
      </c>
      <c r="BQ416" s="10">
        <v>11</v>
      </c>
      <c r="BR416" s="10">
        <v>13</v>
      </c>
      <c r="BS416" s="10">
        <v>4</v>
      </c>
      <c r="BT416" s="10">
        <v>7</v>
      </c>
      <c r="BU416" s="10">
        <v>6</v>
      </c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</row>
    <row r="417" ht="15">
      <c r="A417" s="6" t="s">
        <v>1767</v>
      </c>
      <c r="B417" s="6">
        <f t="shared" si="72"/>
        <v>23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10">
        <v>1</v>
      </c>
      <c r="BN417" s="6"/>
      <c r="BO417" s="10">
        <v>4</v>
      </c>
      <c r="BP417" s="10">
        <v>3</v>
      </c>
      <c r="BQ417" s="10">
        <v>8</v>
      </c>
      <c r="BR417" s="6"/>
      <c r="BS417" s="6"/>
      <c r="BT417" s="10">
        <v>3</v>
      </c>
      <c r="BU417" s="10">
        <v>4</v>
      </c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</row>
    <row r="418" ht="15">
      <c r="A418" s="6" t="s">
        <v>1771</v>
      </c>
      <c r="B418" s="6">
        <f t="shared" si="72"/>
        <v>114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0">
        <v>1</v>
      </c>
      <c r="AT418" s="6"/>
      <c r="AU418" s="6"/>
      <c r="AV418" s="6"/>
      <c r="AW418" s="10">
        <v>2</v>
      </c>
      <c r="AX418" s="10">
        <v>2</v>
      </c>
      <c r="AY418" s="10">
        <v>1</v>
      </c>
      <c r="AZ418" s="10">
        <v>1</v>
      </c>
      <c r="BA418" s="10">
        <v>1</v>
      </c>
      <c r="BB418" s="10">
        <v>5</v>
      </c>
      <c r="BC418" s="10">
        <v>3</v>
      </c>
      <c r="BD418" s="10">
        <v>2</v>
      </c>
      <c r="BE418" s="10">
        <v>5</v>
      </c>
      <c r="BF418" s="10">
        <v>2</v>
      </c>
      <c r="BG418" s="10">
        <v>3</v>
      </c>
      <c r="BH418" s="10">
        <v>8</v>
      </c>
      <c r="BI418" s="10">
        <v>10</v>
      </c>
      <c r="BJ418" s="10">
        <v>8</v>
      </c>
      <c r="BK418" s="10">
        <v>1</v>
      </c>
      <c r="BL418" s="10">
        <v>7</v>
      </c>
      <c r="BM418" s="10">
        <v>2</v>
      </c>
      <c r="BN418" s="10">
        <v>2</v>
      </c>
      <c r="BO418" s="10">
        <v>3</v>
      </c>
      <c r="BP418" s="10">
        <v>3</v>
      </c>
      <c r="BQ418" s="10">
        <v>3</v>
      </c>
      <c r="BR418" s="10">
        <v>11</v>
      </c>
      <c r="BS418" s="10">
        <v>4</v>
      </c>
      <c r="BT418" s="10">
        <v>6</v>
      </c>
      <c r="BU418" s="10">
        <v>13</v>
      </c>
      <c r="BV418" s="10">
        <v>5</v>
      </c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</row>
    <row r="419" ht="15">
      <c r="A419" s="6" t="s">
        <v>1775</v>
      </c>
      <c r="B419" s="6">
        <f t="shared" si="72"/>
        <v>83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10">
        <v>1</v>
      </c>
      <c r="BM419" s="10">
        <v>3</v>
      </c>
      <c r="BN419" s="10">
        <v>2</v>
      </c>
      <c r="BO419" s="10">
        <v>1</v>
      </c>
      <c r="BP419" s="10">
        <v>22</v>
      </c>
      <c r="BQ419" s="10">
        <v>28</v>
      </c>
      <c r="BR419" s="10">
        <v>4</v>
      </c>
      <c r="BS419" s="10">
        <v>9</v>
      </c>
      <c r="BT419" s="10">
        <v>5</v>
      </c>
      <c r="BU419" s="10">
        <v>4</v>
      </c>
      <c r="BV419" s="10">
        <v>4</v>
      </c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10">
        <v>1</v>
      </c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</row>
    <row r="420" ht="15">
      <c r="A420" s="6" t="s">
        <v>1779</v>
      </c>
      <c r="B420" s="6">
        <f t="shared" ref="B420:B471" si="73">SUM(C420:CF420)</f>
        <v>79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10">
        <v>2</v>
      </c>
      <c r="BI420" s="10">
        <v>5</v>
      </c>
      <c r="BJ420" s="10">
        <v>3</v>
      </c>
      <c r="BK420" s="10">
        <v>4</v>
      </c>
      <c r="BL420" s="10">
        <v>6</v>
      </c>
      <c r="BM420" s="6"/>
      <c r="BN420" s="10">
        <v>4</v>
      </c>
      <c r="BO420" s="10">
        <v>5</v>
      </c>
      <c r="BP420" s="10">
        <v>2</v>
      </c>
      <c r="BQ420" s="10">
        <v>4</v>
      </c>
      <c r="BR420" s="10">
        <v>3</v>
      </c>
      <c r="BS420" s="10">
        <v>13</v>
      </c>
      <c r="BT420" s="10">
        <v>13</v>
      </c>
      <c r="BU420" s="10">
        <v>12</v>
      </c>
      <c r="BV420" s="10">
        <v>3</v>
      </c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</row>
    <row r="421" ht="15">
      <c r="A421" s="6" t="s">
        <v>1783</v>
      </c>
      <c r="B421" s="6">
        <f t="shared" si="73"/>
        <v>95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10">
        <v>1</v>
      </c>
      <c r="AK421" s="6"/>
      <c r="AL421" s="6"/>
      <c r="AM421" s="6"/>
      <c r="AN421" s="6"/>
      <c r="AO421" s="10">
        <v>1</v>
      </c>
      <c r="AP421" s="6"/>
      <c r="AQ421" s="6"/>
      <c r="AR421" s="6"/>
      <c r="AS421" s="6"/>
      <c r="AT421" s="6"/>
      <c r="AU421" s="6"/>
      <c r="AV421" s="6"/>
      <c r="AW421" s="6"/>
      <c r="AX421" s="10">
        <v>2</v>
      </c>
      <c r="AY421" s="6"/>
      <c r="AZ421" s="10">
        <v>1</v>
      </c>
      <c r="BA421" s="10">
        <v>4</v>
      </c>
      <c r="BB421" s="10">
        <v>3</v>
      </c>
      <c r="BC421" s="10">
        <v>1</v>
      </c>
      <c r="BD421" s="10">
        <v>1</v>
      </c>
      <c r="BE421" s="10">
        <v>2</v>
      </c>
      <c r="BF421" s="10">
        <v>4</v>
      </c>
      <c r="BG421" s="6"/>
      <c r="BH421" s="10">
        <v>4</v>
      </c>
      <c r="BI421" s="10">
        <v>2</v>
      </c>
      <c r="BJ421" s="10">
        <v>5</v>
      </c>
      <c r="BK421" s="10">
        <v>7</v>
      </c>
      <c r="BL421" s="10">
        <v>6</v>
      </c>
      <c r="BM421" s="6"/>
      <c r="BN421" s="10">
        <v>2</v>
      </c>
      <c r="BO421" s="10">
        <v>3</v>
      </c>
      <c r="BP421" s="10">
        <v>6</v>
      </c>
      <c r="BQ421" s="10">
        <v>13</v>
      </c>
      <c r="BR421" s="10">
        <v>5</v>
      </c>
      <c r="BS421" s="10">
        <v>12</v>
      </c>
      <c r="BT421" s="10">
        <v>7</v>
      </c>
      <c r="BU421" s="10">
        <v>3</v>
      </c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</row>
    <row r="422" ht="15">
      <c r="A422" s="6" t="s">
        <v>1787</v>
      </c>
      <c r="B422" s="6">
        <f t="shared" si="73"/>
        <v>13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10">
        <v>1</v>
      </c>
      <c r="BS422" s="10">
        <v>2</v>
      </c>
      <c r="BT422" s="10">
        <v>4</v>
      </c>
      <c r="BU422" s="10">
        <v>6</v>
      </c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</row>
    <row r="423" ht="15">
      <c r="A423" s="6" t="s">
        <v>1791</v>
      </c>
      <c r="B423" s="6">
        <f t="shared" si="73"/>
        <v>56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10">
        <v>1</v>
      </c>
      <c r="BE423" s="6"/>
      <c r="BF423" s="6"/>
      <c r="BG423" s="6"/>
      <c r="BH423" s="10">
        <v>1</v>
      </c>
      <c r="BI423" s="6"/>
      <c r="BJ423" s="6"/>
      <c r="BK423" s="6"/>
      <c r="BL423" s="6"/>
      <c r="BM423" s="10">
        <v>1</v>
      </c>
      <c r="BN423" s="10">
        <v>2</v>
      </c>
      <c r="BO423" s="10">
        <v>2</v>
      </c>
      <c r="BP423" s="10">
        <v>12</v>
      </c>
      <c r="BQ423" s="10">
        <v>14</v>
      </c>
      <c r="BR423" s="10">
        <v>11</v>
      </c>
      <c r="BS423" s="10">
        <v>2</v>
      </c>
      <c r="BT423" s="10">
        <v>7</v>
      </c>
      <c r="BU423" s="10">
        <v>2</v>
      </c>
      <c r="BV423" s="10">
        <v>1</v>
      </c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</row>
    <row r="424" ht="15">
      <c r="A424" s="6" t="s">
        <v>1795</v>
      </c>
      <c r="B424" s="6">
        <f t="shared" si="73"/>
        <v>85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10">
        <v>1</v>
      </c>
      <c r="BB424" s="6"/>
      <c r="BC424" s="6"/>
      <c r="BD424" s="10">
        <v>2</v>
      </c>
      <c r="BE424" s="10">
        <v>7</v>
      </c>
      <c r="BF424" s="6"/>
      <c r="BG424" s="6"/>
      <c r="BH424" s="10">
        <v>1</v>
      </c>
      <c r="BI424" s="10">
        <v>2</v>
      </c>
      <c r="BJ424" s="10">
        <v>2</v>
      </c>
      <c r="BK424" s="10">
        <v>1</v>
      </c>
      <c r="BL424" s="10">
        <v>1</v>
      </c>
      <c r="BM424" s="10">
        <v>5</v>
      </c>
      <c r="BN424" s="10">
        <v>2</v>
      </c>
      <c r="BO424" s="10">
        <v>8</v>
      </c>
      <c r="BP424" s="10">
        <v>7</v>
      </c>
      <c r="BQ424" s="10">
        <v>11</v>
      </c>
      <c r="BR424" s="10">
        <v>4</v>
      </c>
      <c r="BS424" s="10">
        <v>12</v>
      </c>
      <c r="BT424" s="10">
        <v>10</v>
      </c>
      <c r="BU424" s="10">
        <v>8</v>
      </c>
      <c r="BV424" s="10">
        <v>1</v>
      </c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</row>
    <row r="425" ht="15">
      <c r="A425" s="6" t="s">
        <v>1799</v>
      </c>
      <c r="B425" s="6">
        <f t="shared" si="73"/>
        <v>31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10">
        <v>1</v>
      </c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10">
        <v>1</v>
      </c>
      <c r="BO425" s="10">
        <v>2</v>
      </c>
      <c r="BP425" s="10">
        <v>1</v>
      </c>
      <c r="BQ425" s="10">
        <v>9</v>
      </c>
      <c r="BR425" s="10">
        <v>8</v>
      </c>
      <c r="BS425" s="10">
        <v>7</v>
      </c>
      <c r="BT425" s="6"/>
      <c r="BU425" s="6"/>
      <c r="BV425" s="10">
        <v>2</v>
      </c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</row>
    <row r="426" ht="15" hidden="1">
      <c r="A426" s="6" t="s">
        <v>1803</v>
      </c>
      <c r="B426" s="6">
        <f t="shared" si="73"/>
        <v>0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</row>
    <row r="427" ht="15">
      <c r="A427" s="6" t="s">
        <v>1807</v>
      </c>
      <c r="B427" s="6">
        <f t="shared" si="73"/>
        <v>1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10">
        <v>1</v>
      </c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</row>
    <row r="428" ht="15">
      <c r="A428" s="6" t="s">
        <v>1811</v>
      </c>
      <c r="B428" s="6">
        <f t="shared" si="73"/>
        <v>12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10">
        <v>4</v>
      </c>
      <c r="BP428" s="10">
        <v>1</v>
      </c>
      <c r="BQ428" s="10">
        <v>1</v>
      </c>
      <c r="BR428" s="10">
        <v>1</v>
      </c>
      <c r="BS428" s="10">
        <v>3</v>
      </c>
      <c r="BT428" s="6"/>
      <c r="BU428" s="10">
        <v>1</v>
      </c>
      <c r="BV428" s="10">
        <v>1</v>
      </c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</row>
    <row r="429" ht="15" hidden="1">
      <c r="A429" s="6" t="s">
        <v>1815</v>
      </c>
      <c r="B429" s="6">
        <f t="shared" si="73"/>
        <v>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</row>
    <row r="430" ht="15">
      <c r="A430" s="6" t="s">
        <v>1819</v>
      </c>
      <c r="B430" s="6">
        <f t="shared" si="73"/>
        <v>3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10">
        <v>1</v>
      </c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10">
        <v>1</v>
      </c>
      <c r="BN430" s="6"/>
      <c r="BO430" s="6"/>
      <c r="BP430" s="6"/>
      <c r="BQ430" s="6"/>
      <c r="BR430" s="6"/>
      <c r="BS430" s="10">
        <v>1</v>
      </c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</row>
    <row r="431" ht="15">
      <c r="A431" s="6" t="s">
        <v>1823</v>
      </c>
      <c r="B431" s="6">
        <f t="shared" si="73"/>
        <v>4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10">
        <v>1</v>
      </c>
      <c r="BF431" s="10">
        <v>1</v>
      </c>
      <c r="BG431" s="6"/>
      <c r="BH431" s="10">
        <v>2</v>
      </c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</row>
    <row r="432" ht="15">
      <c r="A432" s="6" t="s">
        <v>1827</v>
      </c>
      <c r="B432" s="6">
        <f t="shared" si="73"/>
        <v>6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10">
        <v>2</v>
      </c>
      <c r="BS432" s="10">
        <v>3</v>
      </c>
      <c r="BT432" s="10">
        <v>1</v>
      </c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</row>
    <row r="433" ht="15">
      <c r="A433" s="6" t="s">
        <v>1831</v>
      </c>
      <c r="B433" s="6">
        <f t="shared" si="73"/>
        <v>7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10">
        <v>1</v>
      </c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10">
        <v>1</v>
      </c>
      <c r="BR433" s="10">
        <v>3</v>
      </c>
      <c r="BS433" s="10">
        <v>1</v>
      </c>
      <c r="BT433" s="10">
        <v>1</v>
      </c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</row>
    <row r="434" ht="15">
      <c r="A434" s="6" t="s">
        <v>1835</v>
      </c>
      <c r="B434" s="6">
        <f t="shared" si="73"/>
        <v>1478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10">
        <v>1</v>
      </c>
      <c r="AX434" s="10">
        <v>1</v>
      </c>
      <c r="AY434" s="6"/>
      <c r="AZ434" s="10">
        <v>8</v>
      </c>
      <c r="BA434" s="10">
        <v>4</v>
      </c>
      <c r="BB434" s="10">
        <v>7</v>
      </c>
      <c r="BC434" s="10">
        <v>6</v>
      </c>
      <c r="BD434" s="10">
        <v>16</v>
      </c>
      <c r="BE434" s="10">
        <v>11</v>
      </c>
      <c r="BF434" s="10">
        <v>10</v>
      </c>
      <c r="BG434" s="10">
        <v>24</v>
      </c>
      <c r="BH434" s="10">
        <v>16</v>
      </c>
      <c r="BI434" s="10">
        <v>18</v>
      </c>
      <c r="BJ434" s="10">
        <v>47</v>
      </c>
      <c r="BK434" s="10">
        <v>66</v>
      </c>
      <c r="BL434" s="10">
        <v>87</v>
      </c>
      <c r="BM434" s="10">
        <v>91</v>
      </c>
      <c r="BN434" s="10">
        <v>117</v>
      </c>
      <c r="BO434" s="10">
        <v>97</v>
      </c>
      <c r="BP434" s="10">
        <v>194</v>
      </c>
      <c r="BQ434" s="10">
        <v>162</v>
      </c>
      <c r="BR434" s="10">
        <v>127</v>
      </c>
      <c r="BS434" s="10">
        <v>139</v>
      </c>
      <c r="BT434" s="10">
        <v>98</v>
      </c>
      <c r="BU434" s="10">
        <v>98</v>
      </c>
      <c r="BV434" s="10">
        <v>33</v>
      </c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</row>
    <row r="435" ht="15">
      <c r="A435" s="6" t="s">
        <v>1839</v>
      </c>
      <c r="B435" s="6">
        <f t="shared" si="73"/>
        <v>82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10">
        <v>6</v>
      </c>
      <c r="BM435" s="10">
        <v>2</v>
      </c>
      <c r="BN435" s="10">
        <v>9</v>
      </c>
      <c r="BO435" s="10">
        <v>4</v>
      </c>
      <c r="BP435" s="10">
        <v>9</v>
      </c>
      <c r="BQ435" s="10">
        <v>12</v>
      </c>
      <c r="BR435" s="10">
        <v>6</v>
      </c>
      <c r="BS435" s="10">
        <v>15</v>
      </c>
      <c r="BT435" s="10">
        <v>8</v>
      </c>
      <c r="BU435" s="10">
        <v>7</v>
      </c>
      <c r="BV435" s="10">
        <v>4</v>
      </c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</row>
    <row r="436" ht="15">
      <c r="A436" s="6" t="s">
        <v>1843</v>
      </c>
      <c r="B436" s="6">
        <f t="shared" si="73"/>
        <v>2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10">
        <v>1</v>
      </c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10">
        <v>1</v>
      </c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</row>
    <row r="437" ht="15">
      <c r="A437" s="6" t="s">
        <v>1847</v>
      </c>
      <c r="B437" s="6">
        <f t="shared" si="73"/>
        <v>15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10">
        <v>4</v>
      </c>
      <c r="BR437" s="10">
        <v>4</v>
      </c>
      <c r="BS437" s="10">
        <v>3</v>
      </c>
      <c r="BT437" s="10">
        <v>1</v>
      </c>
      <c r="BU437" s="10">
        <v>2</v>
      </c>
      <c r="BV437" s="10">
        <v>1</v>
      </c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</row>
    <row r="438" ht="15">
      <c r="A438" s="6" t="s">
        <v>1851</v>
      </c>
      <c r="B438" s="6">
        <f t="shared" si="73"/>
        <v>1053</v>
      </c>
      <c r="C438" s="6"/>
      <c r="D438" s="6"/>
      <c r="E438" s="6"/>
      <c r="F438" s="6"/>
      <c r="G438" s="10"/>
      <c r="H438" s="10"/>
      <c r="I438" s="10">
        <v>1</v>
      </c>
      <c r="J438" s="10">
        <v>1</v>
      </c>
      <c r="K438" s="10">
        <v>3</v>
      </c>
      <c r="L438" s="10">
        <v>7</v>
      </c>
      <c r="M438" s="6"/>
      <c r="N438" s="10">
        <v>1</v>
      </c>
      <c r="O438" s="10">
        <v>3</v>
      </c>
      <c r="P438" s="6"/>
      <c r="Q438" s="10">
        <v>2</v>
      </c>
      <c r="R438" s="6"/>
      <c r="S438" s="6"/>
      <c r="T438" s="6"/>
      <c r="U438" s="6"/>
      <c r="V438" s="6"/>
      <c r="W438" s="10">
        <v>1</v>
      </c>
      <c r="X438" s="6"/>
      <c r="Y438" s="6"/>
      <c r="Z438" s="6"/>
      <c r="AA438" s="6"/>
      <c r="AB438" s="10">
        <v>1</v>
      </c>
      <c r="AC438" s="6"/>
      <c r="AD438" s="6"/>
      <c r="AE438" s="6"/>
      <c r="AF438" s="6"/>
      <c r="AG438" s="6"/>
      <c r="AH438" s="10">
        <v>2</v>
      </c>
      <c r="AI438" s="6"/>
      <c r="AJ438" s="6"/>
      <c r="AK438" s="6"/>
      <c r="AL438" s="10">
        <v>1</v>
      </c>
      <c r="AM438" s="10">
        <v>4</v>
      </c>
      <c r="AN438" s="6"/>
      <c r="AO438" s="10">
        <v>1</v>
      </c>
      <c r="AP438" s="6"/>
      <c r="AQ438" s="10">
        <v>4</v>
      </c>
      <c r="AR438" s="6"/>
      <c r="AS438" s="10">
        <v>2</v>
      </c>
      <c r="AT438" s="10">
        <v>4</v>
      </c>
      <c r="AU438" s="10">
        <v>5</v>
      </c>
      <c r="AV438" s="10">
        <v>2</v>
      </c>
      <c r="AW438" s="10">
        <v>4</v>
      </c>
      <c r="AX438" s="10">
        <v>8</v>
      </c>
      <c r="AY438" s="10">
        <v>11</v>
      </c>
      <c r="AZ438" s="10">
        <v>17</v>
      </c>
      <c r="BA438" s="10">
        <v>9</v>
      </c>
      <c r="BB438" s="10">
        <v>33</v>
      </c>
      <c r="BC438" s="10">
        <v>40</v>
      </c>
      <c r="BD438" s="10">
        <v>56</v>
      </c>
      <c r="BE438" s="10">
        <v>83</v>
      </c>
      <c r="BF438" s="10">
        <v>47</v>
      </c>
      <c r="BG438" s="10">
        <v>42</v>
      </c>
      <c r="BH438" s="10">
        <v>68</v>
      </c>
      <c r="BI438" s="10">
        <v>53</v>
      </c>
      <c r="BJ438" s="10">
        <v>57</v>
      </c>
      <c r="BK438" s="10">
        <v>53</v>
      </c>
      <c r="BL438" s="10">
        <v>66</v>
      </c>
      <c r="BM438" s="10">
        <v>38</v>
      </c>
      <c r="BN438" s="10">
        <v>58</v>
      </c>
      <c r="BO438" s="10">
        <v>50</v>
      </c>
      <c r="BP438" s="10">
        <v>54</v>
      </c>
      <c r="BQ438" s="10">
        <v>43</v>
      </c>
      <c r="BR438" s="10">
        <v>34</v>
      </c>
      <c r="BS438" s="10">
        <v>27</v>
      </c>
      <c r="BT438" s="10">
        <v>21</v>
      </c>
      <c r="BU438" s="10">
        <v>33</v>
      </c>
      <c r="BV438" s="10">
        <v>3</v>
      </c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</row>
    <row r="439" ht="15">
      <c r="A439" s="6" t="s">
        <v>1855</v>
      </c>
      <c r="B439" s="6">
        <f t="shared" si="73"/>
        <v>47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10">
        <v>1</v>
      </c>
      <c r="BI439" s="6"/>
      <c r="BJ439" s="10">
        <v>6</v>
      </c>
      <c r="BK439" s="10">
        <v>2</v>
      </c>
      <c r="BL439" s="6"/>
      <c r="BM439" s="6"/>
      <c r="BN439" s="6"/>
      <c r="BO439" s="6"/>
      <c r="BP439" s="10">
        <v>5</v>
      </c>
      <c r="BQ439" s="10">
        <v>4</v>
      </c>
      <c r="BR439" s="10">
        <v>7</v>
      </c>
      <c r="BS439" s="10">
        <v>6</v>
      </c>
      <c r="BT439" s="10">
        <v>6</v>
      </c>
      <c r="BU439" s="10">
        <v>5</v>
      </c>
      <c r="BV439" s="10">
        <v>5</v>
      </c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</row>
    <row r="440" ht="15">
      <c r="A440" s="6" t="s">
        <v>1859</v>
      </c>
      <c r="B440" s="6">
        <f t="shared" si="73"/>
        <v>23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10">
        <v>1</v>
      </c>
      <c r="BN440" s="10">
        <v>2</v>
      </c>
      <c r="BO440" s="10">
        <v>1</v>
      </c>
      <c r="BP440" s="10">
        <v>1</v>
      </c>
      <c r="BQ440" s="10">
        <v>9</v>
      </c>
      <c r="BR440" s="10">
        <v>4</v>
      </c>
      <c r="BS440" s="10">
        <v>3</v>
      </c>
      <c r="BT440" s="10">
        <v>2</v>
      </c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</row>
    <row r="441" ht="15">
      <c r="A441" s="6" t="s">
        <v>1863</v>
      </c>
      <c r="B441" s="6">
        <f t="shared" si="73"/>
        <v>160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10">
        <v>1</v>
      </c>
      <c r="BC441" s="6"/>
      <c r="BD441" s="6"/>
      <c r="BE441" s="6"/>
      <c r="BF441" s="6"/>
      <c r="BG441" s="10">
        <v>7</v>
      </c>
      <c r="BH441" s="10">
        <v>1</v>
      </c>
      <c r="BI441" s="10">
        <v>2</v>
      </c>
      <c r="BJ441" s="10">
        <v>3</v>
      </c>
      <c r="BK441" s="10">
        <v>3</v>
      </c>
      <c r="BL441" s="10">
        <v>4</v>
      </c>
      <c r="BM441" s="10">
        <v>7</v>
      </c>
      <c r="BN441" s="10">
        <v>13</v>
      </c>
      <c r="BO441" s="10">
        <v>16</v>
      </c>
      <c r="BP441" s="10">
        <v>21</v>
      </c>
      <c r="BQ441" s="10">
        <v>19</v>
      </c>
      <c r="BR441" s="10">
        <v>14</v>
      </c>
      <c r="BS441" s="10">
        <v>10</v>
      </c>
      <c r="BT441" s="10">
        <v>15</v>
      </c>
      <c r="BU441" s="10">
        <v>19</v>
      </c>
      <c r="BV441" s="10">
        <v>5</v>
      </c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</row>
    <row r="442" ht="15">
      <c r="A442" s="6" t="s">
        <v>1867</v>
      </c>
      <c r="B442" s="6">
        <f t="shared" si="73"/>
        <v>54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10">
        <v>1</v>
      </c>
      <c r="AS442" s="6"/>
      <c r="AT442" s="6"/>
      <c r="AU442" s="6"/>
      <c r="AV442" s="6"/>
      <c r="AW442" s="6"/>
      <c r="AX442" s="6"/>
      <c r="AY442" s="6"/>
      <c r="AZ442" s="6"/>
      <c r="BA442" s="6"/>
      <c r="BB442" s="10">
        <v>1</v>
      </c>
      <c r="BC442" s="6"/>
      <c r="BD442" s="6"/>
      <c r="BE442" s="6"/>
      <c r="BF442" s="6"/>
      <c r="BG442" s="6"/>
      <c r="BH442" s="10">
        <v>2</v>
      </c>
      <c r="BI442" s="10">
        <v>1</v>
      </c>
      <c r="BJ442" s="10">
        <v>3</v>
      </c>
      <c r="BK442" s="10">
        <v>3</v>
      </c>
      <c r="BL442" s="10">
        <v>6</v>
      </c>
      <c r="BM442" s="10">
        <v>5</v>
      </c>
      <c r="BN442" s="10">
        <v>3</v>
      </c>
      <c r="BO442" s="10">
        <v>5</v>
      </c>
      <c r="BP442" s="10">
        <v>4</v>
      </c>
      <c r="BQ442" s="10">
        <v>4</v>
      </c>
      <c r="BR442" s="10">
        <v>6</v>
      </c>
      <c r="BS442" s="10">
        <v>3</v>
      </c>
      <c r="BT442" s="10">
        <v>2</v>
      </c>
      <c r="BU442" s="10">
        <v>4</v>
      </c>
      <c r="BV442" s="10">
        <v>1</v>
      </c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</row>
    <row r="443" ht="15">
      <c r="A443" s="6" t="s">
        <v>1871</v>
      </c>
      <c r="B443" s="6">
        <f t="shared" si="73"/>
        <v>473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10">
        <v>2</v>
      </c>
      <c r="BE443" s="10">
        <v>3</v>
      </c>
      <c r="BF443" s="10">
        <v>3</v>
      </c>
      <c r="BG443" s="10">
        <v>5</v>
      </c>
      <c r="BH443" s="10">
        <v>9</v>
      </c>
      <c r="BI443" s="10">
        <v>12</v>
      </c>
      <c r="BJ443" s="10">
        <v>14</v>
      </c>
      <c r="BK443" s="10">
        <v>30</v>
      </c>
      <c r="BL443" s="10">
        <v>58</v>
      </c>
      <c r="BM443" s="10">
        <v>47</v>
      </c>
      <c r="BN443" s="10">
        <v>50</v>
      </c>
      <c r="BO443" s="10">
        <v>60</v>
      </c>
      <c r="BP443" s="10">
        <v>36</v>
      </c>
      <c r="BQ443" s="10">
        <v>22</v>
      </c>
      <c r="BR443" s="10">
        <v>28</v>
      </c>
      <c r="BS443" s="10">
        <v>28</v>
      </c>
      <c r="BT443" s="10">
        <v>30</v>
      </c>
      <c r="BU443" s="10">
        <v>26</v>
      </c>
      <c r="BV443" s="10">
        <v>10</v>
      </c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</row>
    <row r="444" ht="15">
      <c r="A444" s="6" t="s">
        <v>1875</v>
      </c>
      <c r="B444" s="6">
        <f t="shared" si="73"/>
        <v>2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10">
        <v>1</v>
      </c>
      <c r="BV444" s="10">
        <v>1</v>
      </c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</row>
    <row r="445" ht="15">
      <c r="A445" s="6" t="s">
        <v>1879</v>
      </c>
      <c r="B445" s="6">
        <f t="shared" si="73"/>
        <v>475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10">
        <v>1</v>
      </c>
      <c r="BG445" s="10">
        <v>2</v>
      </c>
      <c r="BH445" s="10">
        <v>2</v>
      </c>
      <c r="BI445" s="10">
        <v>2</v>
      </c>
      <c r="BJ445" s="10">
        <v>6</v>
      </c>
      <c r="BK445" s="10">
        <v>6</v>
      </c>
      <c r="BL445" s="10">
        <v>9</v>
      </c>
      <c r="BM445" s="10">
        <v>13</v>
      </c>
      <c r="BN445" s="10">
        <v>31</v>
      </c>
      <c r="BO445" s="10">
        <v>35</v>
      </c>
      <c r="BP445" s="10">
        <v>60</v>
      </c>
      <c r="BQ445" s="10">
        <v>86</v>
      </c>
      <c r="BR445" s="10">
        <v>62</v>
      </c>
      <c r="BS445" s="10">
        <v>52</v>
      </c>
      <c r="BT445" s="10">
        <v>51</v>
      </c>
      <c r="BU445" s="10">
        <v>40</v>
      </c>
      <c r="BV445" s="10">
        <v>17</v>
      </c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</row>
    <row r="446" ht="15">
      <c r="A446" s="6" t="s">
        <v>1883</v>
      </c>
      <c r="B446" s="6">
        <f t="shared" si="73"/>
        <v>92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10">
        <v>1</v>
      </c>
      <c r="BJ446" s="10">
        <v>2</v>
      </c>
      <c r="BK446" s="10">
        <v>3</v>
      </c>
      <c r="BL446" s="10">
        <v>2</v>
      </c>
      <c r="BM446" s="10">
        <v>3</v>
      </c>
      <c r="BN446" s="10">
        <v>5</v>
      </c>
      <c r="BO446" s="10">
        <v>11</v>
      </c>
      <c r="BP446" s="10">
        <v>12</v>
      </c>
      <c r="BQ446" s="10">
        <v>13</v>
      </c>
      <c r="BR446" s="10">
        <v>19</v>
      </c>
      <c r="BS446" s="10">
        <v>9</v>
      </c>
      <c r="BT446" s="10">
        <v>6</v>
      </c>
      <c r="BU446" s="10">
        <v>4</v>
      </c>
      <c r="BV446" s="10">
        <v>2</v>
      </c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</row>
    <row r="447" ht="15">
      <c r="A447" s="6" t="s">
        <v>1887</v>
      </c>
      <c r="B447" s="6">
        <f t="shared" si="73"/>
        <v>3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10">
        <v>1</v>
      </c>
      <c r="BI447" s="6"/>
      <c r="BJ447" s="6"/>
      <c r="BK447" s="10">
        <v>1</v>
      </c>
      <c r="BL447" s="6"/>
      <c r="BM447" s="6"/>
      <c r="BN447" s="6"/>
      <c r="BO447" s="6"/>
      <c r="BP447" s="6"/>
      <c r="BQ447" s="6"/>
      <c r="BR447" s="6"/>
      <c r="BS447" s="10">
        <v>1</v>
      </c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</row>
    <row r="448" ht="15">
      <c r="A448" s="6" t="s">
        <v>1891</v>
      </c>
      <c r="B448" s="6">
        <f t="shared" si="73"/>
        <v>4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10">
        <v>2</v>
      </c>
      <c r="BT448" s="10">
        <v>1</v>
      </c>
      <c r="BU448" s="10">
        <v>1</v>
      </c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</row>
    <row r="449" ht="15">
      <c r="A449" s="6" t="s">
        <v>1895</v>
      </c>
      <c r="B449" s="6">
        <f t="shared" si="73"/>
        <v>89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10">
        <v>3</v>
      </c>
      <c r="BL449" s="10">
        <v>3</v>
      </c>
      <c r="BM449" s="6"/>
      <c r="BN449" s="10">
        <v>7</v>
      </c>
      <c r="BO449" s="10">
        <v>7</v>
      </c>
      <c r="BP449" s="10">
        <v>19</v>
      </c>
      <c r="BQ449" s="10">
        <v>12</v>
      </c>
      <c r="BR449" s="6"/>
      <c r="BS449" s="10">
        <v>9</v>
      </c>
      <c r="BT449" s="10">
        <v>15</v>
      </c>
      <c r="BU449" s="10">
        <v>10</v>
      </c>
      <c r="BV449" s="10">
        <v>4</v>
      </c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</row>
    <row r="450" ht="15">
      <c r="A450" s="6" t="s">
        <v>1899</v>
      </c>
      <c r="B450" s="6">
        <f t="shared" si="73"/>
        <v>1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10">
        <v>1</v>
      </c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</row>
    <row r="451" ht="15">
      <c r="A451" s="6" t="s">
        <v>1903</v>
      </c>
      <c r="B451" s="6">
        <f t="shared" si="73"/>
        <v>14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10">
        <v>1</v>
      </c>
      <c r="BI451" s="6"/>
      <c r="BJ451" s="10">
        <v>2</v>
      </c>
      <c r="BK451" s="6"/>
      <c r="BL451" s="6"/>
      <c r="BM451" s="10">
        <v>2</v>
      </c>
      <c r="BN451" s="10">
        <v>1</v>
      </c>
      <c r="BO451" s="10">
        <v>3</v>
      </c>
      <c r="BP451" s="10">
        <v>1</v>
      </c>
      <c r="BQ451" s="10">
        <v>1</v>
      </c>
      <c r="BR451" s="6"/>
      <c r="BS451" s="6"/>
      <c r="BT451" s="6"/>
      <c r="BU451" s="10">
        <v>2</v>
      </c>
      <c r="BV451" s="10">
        <v>1</v>
      </c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</row>
    <row r="452" ht="15">
      <c r="A452" s="6" t="s">
        <v>1907</v>
      </c>
      <c r="B452" s="6">
        <f t="shared" si="73"/>
        <v>5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10">
        <v>2</v>
      </c>
      <c r="BM452" s="6"/>
      <c r="BN452" s="6"/>
      <c r="BO452" s="10">
        <v>2</v>
      </c>
      <c r="BP452" s="6"/>
      <c r="BQ452" s="6"/>
      <c r="BR452" s="10">
        <v>1</v>
      </c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</row>
    <row r="453" ht="15">
      <c r="A453" s="6" t="s">
        <v>1911</v>
      </c>
      <c r="B453" s="6">
        <f t="shared" si="73"/>
        <v>49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10">
        <v>1</v>
      </c>
      <c r="BK453" s="10">
        <v>1</v>
      </c>
      <c r="BL453" s="6"/>
      <c r="BM453" s="10">
        <v>1</v>
      </c>
      <c r="BN453" s="10">
        <v>8</v>
      </c>
      <c r="BO453" s="10">
        <v>15</v>
      </c>
      <c r="BP453" s="10">
        <v>17</v>
      </c>
      <c r="BQ453" s="10">
        <v>2</v>
      </c>
      <c r="BR453" s="10">
        <v>2</v>
      </c>
      <c r="BS453" s="6"/>
      <c r="BT453" s="10">
        <v>1</v>
      </c>
      <c r="BU453" s="10">
        <v>1</v>
      </c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</row>
    <row r="454" ht="15">
      <c r="A454" s="6" t="s">
        <v>1915</v>
      </c>
      <c r="B454" s="6">
        <f t="shared" si="73"/>
        <v>25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10">
        <v>1</v>
      </c>
      <c r="BN454" s="10">
        <v>2</v>
      </c>
      <c r="BO454" s="10">
        <v>1</v>
      </c>
      <c r="BP454" s="10">
        <v>7</v>
      </c>
      <c r="BQ454" s="10">
        <v>4</v>
      </c>
      <c r="BR454" s="10">
        <v>1</v>
      </c>
      <c r="BS454" s="10">
        <v>1</v>
      </c>
      <c r="BT454" s="10">
        <v>4</v>
      </c>
      <c r="BU454" s="10">
        <v>2</v>
      </c>
      <c r="BV454" s="10">
        <v>2</v>
      </c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</row>
    <row r="455" ht="15">
      <c r="A455" s="6" t="s">
        <v>1919</v>
      </c>
      <c r="B455" s="6">
        <f t="shared" si="73"/>
        <v>2154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0">
        <v>1</v>
      </c>
      <c r="Q455" s="6"/>
      <c r="R455" s="6"/>
      <c r="S455" s="6"/>
      <c r="T455" s="6"/>
      <c r="U455" s="6"/>
      <c r="V455" s="6"/>
      <c r="W455" s="6"/>
      <c r="X455" s="10">
        <v>1</v>
      </c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10">
        <v>1</v>
      </c>
      <c r="AJ455" s="10">
        <v>2</v>
      </c>
      <c r="AK455" s="10">
        <v>1</v>
      </c>
      <c r="AL455" s="10">
        <v>1</v>
      </c>
      <c r="AM455" s="10">
        <v>3</v>
      </c>
      <c r="AN455" s="6"/>
      <c r="AO455" s="10">
        <v>1</v>
      </c>
      <c r="AP455" s="10">
        <v>2</v>
      </c>
      <c r="AQ455" s="10">
        <v>9</v>
      </c>
      <c r="AR455" s="10">
        <v>17</v>
      </c>
      <c r="AS455" s="10">
        <v>5</v>
      </c>
      <c r="AT455" s="10">
        <v>6</v>
      </c>
      <c r="AU455" s="10">
        <v>6</v>
      </c>
      <c r="AV455" s="10">
        <v>7</v>
      </c>
      <c r="AW455" s="10">
        <v>5</v>
      </c>
      <c r="AX455" s="10">
        <v>6</v>
      </c>
      <c r="AY455" s="10">
        <v>4</v>
      </c>
      <c r="AZ455" s="10">
        <v>9</v>
      </c>
      <c r="BA455" s="10">
        <v>9</v>
      </c>
      <c r="BB455" s="10">
        <v>27</v>
      </c>
      <c r="BC455" s="10">
        <v>17</v>
      </c>
      <c r="BD455" s="10">
        <v>27</v>
      </c>
      <c r="BE455" s="10">
        <v>44</v>
      </c>
      <c r="BF455" s="10">
        <v>74</v>
      </c>
      <c r="BG455" s="10">
        <v>73</v>
      </c>
      <c r="BH455" s="10">
        <v>65</v>
      </c>
      <c r="BI455" s="10">
        <v>53</v>
      </c>
      <c r="BJ455" s="10">
        <v>43</v>
      </c>
      <c r="BK455" s="10">
        <v>69</v>
      </c>
      <c r="BL455" s="10">
        <v>143</v>
      </c>
      <c r="BM455" s="10">
        <v>175</v>
      </c>
      <c r="BN455" s="10">
        <v>267</v>
      </c>
      <c r="BO455" s="10">
        <v>278</v>
      </c>
      <c r="BP455" s="10">
        <v>221</v>
      </c>
      <c r="BQ455" s="10">
        <v>169</v>
      </c>
      <c r="BR455" s="10">
        <v>69</v>
      </c>
      <c r="BS455" s="10">
        <v>85</v>
      </c>
      <c r="BT455" s="10">
        <v>78</v>
      </c>
      <c r="BU455" s="10">
        <v>58</v>
      </c>
      <c r="BV455" s="10">
        <v>23</v>
      </c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</row>
    <row r="456" ht="15">
      <c r="A456" s="6" t="s">
        <v>1923</v>
      </c>
      <c r="B456" s="6">
        <f t="shared" si="73"/>
        <v>9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10">
        <v>1</v>
      </c>
      <c r="BM456" s="6"/>
      <c r="BN456" s="10">
        <v>2</v>
      </c>
      <c r="BO456" s="6"/>
      <c r="BP456" s="10">
        <v>1</v>
      </c>
      <c r="BQ456" s="10">
        <v>1</v>
      </c>
      <c r="BR456" s="6"/>
      <c r="BS456" s="10">
        <v>1</v>
      </c>
      <c r="BT456" s="10">
        <v>1</v>
      </c>
      <c r="BU456" s="10">
        <v>2</v>
      </c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</row>
    <row r="457" ht="15">
      <c r="A457" s="6" t="s">
        <v>1927</v>
      </c>
      <c r="B457" s="6">
        <f t="shared" si="73"/>
        <v>412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10">
        <v>1</v>
      </c>
      <c r="Z457" s="10">
        <v>1</v>
      </c>
      <c r="AA457" s="10">
        <v>1</v>
      </c>
      <c r="AB457" s="10">
        <v>3</v>
      </c>
      <c r="AC457" s="6"/>
      <c r="AD457" s="10">
        <v>4</v>
      </c>
      <c r="AE457" s="10">
        <v>8</v>
      </c>
      <c r="AF457" s="10">
        <v>4</v>
      </c>
      <c r="AG457" s="10">
        <v>3</v>
      </c>
      <c r="AH457" s="10">
        <v>1</v>
      </c>
      <c r="AI457" s="10">
        <v>5</v>
      </c>
      <c r="AJ457" s="10">
        <v>4</v>
      </c>
      <c r="AK457" s="10">
        <v>7</v>
      </c>
      <c r="AL457" s="10">
        <v>2</v>
      </c>
      <c r="AM457" s="10">
        <v>2</v>
      </c>
      <c r="AN457" s="10">
        <v>3</v>
      </c>
      <c r="AO457" s="10">
        <v>9</v>
      </c>
      <c r="AP457" s="10">
        <v>3</v>
      </c>
      <c r="AQ457" s="10">
        <v>6</v>
      </c>
      <c r="AR457" s="10">
        <v>5</v>
      </c>
      <c r="AS457" s="10">
        <v>7</v>
      </c>
      <c r="AT457" s="10">
        <v>3</v>
      </c>
      <c r="AU457" s="10">
        <v>5</v>
      </c>
      <c r="AV457" s="10">
        <v>7</v>
      </c>
      <c r="AW457" s="10">
        <v>7</v>
      </c>
      <c r="AX457" s="10">
        <v>2</v>
      </c>
      <c r="AY457" s="10">
        <v>7</v>
      </c>
      <c r="AZ457" s="10">
        <v>13</v>
      </c>
      <c r="BA457" s="10">
        <v>9</v>
      </c>
      <c r="BB457" s="10">
        <v>10</v>
      </c>
      <c r="BC457" s="10">
        <v>15</v>
      </c>
      <c r="BD457" s="10">
        <v>23</v>
      </c>
      <c r="BE457" s="10">
        <v>17</v>
      </c>
      <c r="BF457" s="10">
        <v>25</v>
      </c>
      <c r="BG457" s="10">
        <v>28</v>
      </c>
      <c r="BH457" s="10">
        <v>20</v>
      </c>
      <c r="BI457" s="10">
        <v>9</v>
      </c>
      <c r="BJ457" s="10">
        <v>16</v>
      </c>
      <c r="BK457" s="10">
        <v>17</v>
      </c>
      <c r="BL457" s="10">
        <v>19</v>
      </c>
      <c r="BM457" s="10">
        <v>21</v>
      </c>
      <c r="BN457" s="10">
        <v>15</v>
      </c>
      <c r="BO457" s="10">
        <v>13</v>
      </c>
      <c r="BP457" s="10">
        <v>16</v>
      </c>
      <c r="BQ457" s="10">
        <v>5</v>
      </c>
      <c r="BR457" s="10">
        <v>3</v>
      </c>
      <c r="BS457" s="6"/>
      <c r="BT457" s="10">
        <v>2</v>
      </c>
      <c r="BU457" s="10">
        <v>2</v>
      </c>
      <c r="BV457" s="6"/>
      <c r="BW457" s="10">
        <v>1</v>
      </c>
      <c r="BX457" s="6"/>
      <c r="BY457" s="6"/>
      <c r="BZ457" s="6"/>
      <c r="CA457" s="6"/>
      <c r="CB457" s="6"/>
      <c r="CC457" s="6"/>
      <c r="CD457" s="10">
        <v>3</v>
      </c>
      <c r="CE457" s="6"/>
      <c r="CF457" s="6"/>
      <c r="CG457" s="10">
        <v>2</v>
      </c>
      <c r="CH457" s="10">
        <v>5</v>
      </c>
      <c r="CI457" s="10">
        <v>2</v>
      </c>
      <c r="CJ457" s="10">
        <v>1</v>
      </c>
      <c r="CK457" s="10">
        <v>2</v>
      </c>
      <c r="CL457" s="10">
        <v>2</v>
      </c>
      <c r="CM457" s="10">
        <v>6</v>
      </c>
      <c r="CN457" s="10">
        <v>3</v>
      </c>
      <c r="CO457" s="6"/>
      <c r="CP457" s="10">
        <v>1</v>
      </c>
      <c r="CQ457" s="10">
        <v>1</v>
      </c>
      <c r="CR457" s="10">
        <v>1</v>
      </c>
      <c r="CS457" s="6"/>
      <c r="CT457" s="6"/>
      <c r="CU457" s="6"/>
      <c r="CV457" s="10">
        <v>1</v>
      </c>
      <c r="CW457" s="6"/>
      <c r="CX457" s="10">
        <v>1</v>
      </c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10">
        <v>13</v>
      </c>
      <c r="EH457" s="10"/>
      <c r="EI457" s="10"/>
      <c r="EJ457" s="10"/>
      <c r="EK457" s="10"/>
      <c r="EL457" s="10"/>
    </row>
    <row r="458" ht="15">
      <c r="A458" s="6" t="s">
        <v>1931</v>
      </c>
      <c r="B458" s="6">
        <f t="shared" si="73"/>
        <v>322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10">
        <v>1</v>
      </c>
      <c r="AZ458" s="6"/>
      <c r="BA458" s="6"/>
      <c r="BB458" s="6"/>
      <c r="BC458" s="6"/>
      <c r="BD458" s="6"/>
      <c r="BE458" s="6"/>
      <c r="BF458" s="6"/>
      <c r="BG458" s="10">
        <v>2</v>
      </c>
      <c r="BH458" s="10">
        <v>5</v>
      </c>
      <c r="BI458" s="10">
        <v>2</v>
      </c>
      <c r="BJ458" s="10">
        <v>1</v>
      </c>
      <c r="BK458" s="10">
        <v>1</v>
      </c>
      <c r="BL458" s="10">
        <v>7</v>
      </c>
      <c r="BM458" s="6"/>
      <c r="BN458" s="10">
        <v>6</v>
      </c>
      <c r="BO458" s="10">
        <v>9</v>
      </c>
      <c r="BP458" s="10">
        <v>18</v>
      </c>
      <c r="BQ458" s="10">
        <v>16</v>
      </c>
      <c r="BR458" s="10">
        <v>17</v>
      </c>
      <c r="BS458" s="10">
        <v>20</v>
      </c>
      <c r="BT458" s="10">
        <v>31</v>
      </c>
      <c r="BU458" s="10">
        <v>9</v>
      </c>
      <c r="BV458" s="10">
        <v>10</v>
      </c>
      <c r="BW458" s="10">
        <v>20</v>
      </c>
      <c r="BX458" s="10">
        <v>32</v>
      </c>
      <c r="BY458" s="10">
        <v>25</v>
      </c>
      <c r="BZ458" s="10">
        <v>16</v>
      </c>
      <c r="CA458" s="10">
        <v>6</v>
      </c>
      <c r="CB458" s="10">
        <v>10</v>
      </c>
      <c r="CC458" s="10">
        <v>16</v>
      </c>
      <c r="CD458" s="10">
        <v>14</v>
      </c>
      <c r="CE458" s="10">
        <v>11</v>
      </c>
      <c r="CF458" s="10">
        <v>17</v>
      </c>
      <c r="CG458" s="10">
        <v>1</v>
      </c>
      <c r="CH458" s="6"/>
      <c r="CI458" s="6"/>
      <c r="CJ458" s="6"/>
      <c r="CK458" s="10">
        <v>1</v>
      </c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</row>
    <row r="459" ht="15">
      <c r="A459" s="6" t="s">
        <v>1935</v>
      </c>
      <c r="B459" s="6">
        <f t="shared" si="73"/>
        <v>15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10">
        <v>1</v>
      </c>
      <c r="BW459" s="10">
        <v>1</v>
      </c>
      <c r="BX459" s="6"/>
      <c r="BY459" s="10">
        <v>1</v>
      </c>
      <c r="BZ459" s="10">
        <v>3</v>
      </c>
      <c r="CA459" s="10">
        <v>4</v>
      </c>
      <c r="CB459" s="6"/>
      <c r="CC459" s="6"/>
      <c r="CD459" s="10">
        <v>1</v>
      </c>
      <c r="CE459" s="10">
        <v>3</v>
      </c>
      <c r="CF459" s="10">
        <v>1</v>
      </c>
      <c r="CG459" s="6"/>
      <c r="CH459" s="10">
        <v>1</v>
      </c>
      <c r="CI459" s="10">
        <v>2</v>
      </c>
      <c r="CJ459" s="10">
        <v>3</v>
      </c>
      <c r="CK459" s="10">
        <v>2</v>
      </c>
      <c r="CL459" s="10">
        <v>3</v>
      </c>
      <c r="CM459" s="10">
        <v>7</v>
      </c>
      <c r="CN459" s="10">
        <v>3</v>
      </c>
      <c r="CO459" s="6"/>
      <c r="CP459" s="6"/>
      <c r="CQ459" s="10">
        <v>1</v>
      </c>
      <c r="CR459" s="6"/>
      <c r="CS459" s="10">
        <v>1</v>
      </c>
      <c r="CT459" s="10">
        <v>1</v>
      </c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</row>
    <row r="460" ht="15">
      <c r="A460" s="6" t="s">
        <v>1939</v>
      </c>
      <c r="B460" s="6">
        <f t="shared" si="73"/>
        <v>80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10">
        <v>4</v>
      </c>
      <c r="BP460" s="10">
        <v>6</v>
      </c>
      <c r="BQ460" s="10">
        <v>1</v>
      </c>
      <c r="BR460" s="10">
        <v>2</v>
      </c>
      <c r="BS460" s="10">
        <v>2</v>
      </c>
      <c r="BT460" s="10">
        <v>2</v>
      </c>
      <c r="BU460" s="10">
        <v>2</v>
      </c>
      <c r="BV460" s="10">
        <v>3</v>
      </c>
      <c r="BW460" s="10">
        <v>4</v>
      </c>
      <c r="BX460" s="10">
        <v>1</v>
      </c>
      <c r="BY460" s="10">
        <v>15</v>
      </c>
      <c r="BZ460" s="10">
        <v>7</v>
      </c>
      <c r="CA460" s="10">
        <v>7</v>
      </c>
      <c r="CB460" s="10">
        <v>6</v>
      </c>
      <c r="CC460" s="10">
        <v>9</v>
      </c>
      <c r="CD460" s="10">
        <v>5</v>
      </c>
      <c r="CE460" s="10">
        <v>2</v>
      </c>
      <c r="CF460" s="10">
        <v>2</v>
      </c>
      <c r="CG460" s="10">
        <v>3</v>
      </c>
      <c r="CH460" s="10">
        <v>3</v>
      </c>
      <c r="CI460" s="10">
        <v>3</v>
      </c>
      <c r="CJ460" s="10">
        <v>3</v>
      </c>
      <c r="CK460" s="10">
        <v>4</v>
      </c>
      <c r="CL460" s="10">
        <v>2</v>
      </c>
      <c r="CM460" s="10">
        <v>4</v>
      </c>
      <c r="CN460" s="10">
        <v>2</v>
      </c>
      <c r="CO460" s="10">
        <v>5</v>
      </c>
      <c r="CP460" s="10">
        <v>2</v>
      </c>
      <c r="CQ460" s="6"/>
      <c r="CR460" s="10">
        <v>2</v>
      </c>
      <c r="CS460" s="10">
        <v>1</v>
      </c>
      <c r="CT460" s="10">
        <v>5</v>
      </c>
      <c r="CU460" s="10">
        <v>2</v>
      </c>
      <c r="CV460" s="6"/>
      <c r="CW460" s="10">
        <v>1</v>
      </c>
      <c r="CX460" s="6"/>
      <c r="CY460" s="6"/>
      <c r="CZ460" s="10">
        <v>2</v>
      </c>
      <c r="DA460" s="6"/>
      <c r="DB460" s="10">
        <v>1</v>
      </c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</row>
    <row r="461" ht="15">
      <c r="A461" s="6" t="s">
        <v>1943</v>
      </c>
      <c r="B461" s="6">
        <f t="shared" si="73"/>
        <v>25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10">
        <v>1</v>
      </c>
      <c r="BP461" s="10">
        <v>1</v>
      </c>
      <c r="BQ461" s="6"/>
      <c r="BR461" s="6"/>
      <c r="BS461" s="6"/>
      <c r="BT461" s="10">
        <v>1</v>
      </c>
      <c r="BU461" s="6"/>
      <c r="BV461" s="6"/>
      <c r="BW461" s="6"/>
      <c r="BX461" s="6"/>
      <c r="BY461" s="10">
        <v>4</v>
      </c>
      <c r="BZ461" s="10">
        <v>4</v>
      </c>
      <c r="CA461" s="6"/>
      <c r="CB461" s="6"/>
      <c r="CC461" s="10">
        <v>4</v>
      </c>
      <c r="CD461" s="10">
        <v>4</v>
      </c>
      <c r="CE461" s="10">
        <v>1</v>
      </c>
      <c r="CF461" s="10">
        <v>5</v>
      </c>
      <c r="CG461" s="10">
        <v>2</v>
      </c>
      <c r="CH461" s="10">
        <v>1</v>
      </c>
      <c r="CI461" s="10">
        <v>4</v>
      </c>
      <c r="CJ461" s="10">
        <v>5</v>
      </c>
      <c r="CK461" s="10">
        <v>7</v>
      </c>
      <c r="CL461" s="10">
        <v>11</v>
      </c>
      <c r="CM461" s="10">
        <v>5</v>
      </c>
      <c r="CN461" s="10">
        <v>4</v>
      </c>
      <c r="CO461" s="10">
        <v>5</v>
      </c>
      <c r="CP461" s="10">
        <v>4</v>
      </c>
      <c r="CQ461" s="10">
        <v>5</v>
      </c>
      <c r="CR461" s="10">
        <v>4</v>
      </c>
      <c r="CS461" s="10">
        <v>5</v>
      </c>
      <c r="CT461" s="10">
        <v>6</v>
      </c>
      <c r="CU461" s="6"/>
      <c r="CV461" s="10">
        <v>5</v>
      </c>
      <c r="CW461" s="10">
        <v>6</v>
      </c>
      <c r="CX461" s="10">
        <v>3</v>
      </c>
      <c r="CY461" s="6"/>
      <c r="CZ461" s="10">
        <v>4</v>
      </c>
      <c r="DA461" s="10">
        <v>6</v>
      </c>
      <c r="DB461" s="10">
        <v>6</v>
      </c>
      <c r="DC461" s="10">
        <v>1</v>
      </c>
      <c r="DD461" s="10">
        <v>1</v>
      </c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</row>
    <row r="462" ht="15">
      <c r="A462" s="6" t="s">
        <v>1947</v>
      </c>
      <c r="B462" s="6">
        <f t="shared" si="73"/>
        <v>453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10">
        <v>1</v>
      </c>
      <c r="AY462" s="10">
        <v>4</v>
      </c>
      <c r="AZ462" s="10">
        <v>11</v>
      </c>
      <c r="BA462" s="10">
        <v>8</v>
      </c>
      <c r="BB462" s="10">
        <v>31</v>
      </c>
      <c r="BC462" s="10">
        <v>45</v>
      </c>
      <c r="BD462" s="10">
        <v>25</v>
      </c>
      <c r="BE462" s="10">
        <v>13</v>
      </c>
      <c r="BF462" s="10">
        <v>3</v>
      </c>
      <c r="BG462" s="10">
        <v>11</v>
      </c>
      <c r="BH462" s="10">
        <v>41</v>
      </c>
      <c r="BI462" s="10">
        <v>35</v>
      </c>
      <c r="BJ462" s="10">
        <v>15</v>
      </c>
      <c r="BK462" s="10">
        <v>6</v>
      </c>
      <c r="BL462" s="10">
        <v>4</v>
      </c>
      <c r="BM462" s="10">
        <v>8</v>
      </c>
      <c r="BN462" s="10">
        <v>8</v>
      </c>
      <c r="BO462" s="10">
        <v>12</v>
      </c>
      <c r="BP462" s="10">
        <v>6</v>
      </c>
      <c r="BQ462" s="10">
        <v>8</v>
      </c>
      <c r="BR462" s="10">
        <v>4</v>
      </c>
      <c r="BS462" s="10">
        <v>14</v>
      </c>
      <c r="BT462" s="10">
        <v>7</v>
      </c>
      <c r="BU462" s="10">
        <v>8</v>
      </c>
      <c r="BV462" s="10">
        <v>2</v>
      </c>
      <c r="BW462" s="10">
        <v>8</v>
      </c>
      <c r="BX462" s="10">
        <v>6</v>
      </c>
      <c r="BY462" s="10">
        <v>5</v>
      </c>
      <c r="BZ462" s="10">
        <v>11</v>
      </c>
      <c r="CA462" s="10">
        <v>18</v>
      </c>
      <c r="CB462" s="10">
        <v>18</v>
      </c>
      <c r="CC462" s="10">
        <v>18</v>
      </c>
      <c r="CD462" s="10">
        <v>16</v>
      </c>
      <c r="CE462" s="10">
        <v>13</v>
      </c>
      <c r="CF462" s="10">
        <v>10</v>
      </c>
      <c r="CG462" s="10">
        <v>17</v>
      </c>
      <c r="CH462" s="10">
        <v>3</v>
      </c>
      <c r="CI462" s="6"/>
      <c r="CJ462" s="10">
        <v>6</v>
      </c>
      <c r="CK462" s="10">
        <v>3</v>
      </c>
      <c r="CL462" s="10">
        <v>4</v>
      </c>
      <c r="CM462" s="6"/>
      <c r="CN462" s="10">
        <v>1</v>
      </c>
      <c r="CO462" s="10">
        <v>1</v>
      </c>
      <c r="CP462" s="10">
        <v>1</v>
      </c>
      <c r="CQ462" s="10">
        <v>1</v>
      </c>
      <c r="CR462" s="6"/>
      <c r="CS462" s="6"/>
      <c r="CT462" s="6"/>
      <c r="CU462" s="6"/>
      <c r="CV462" s="10">
        <v>5</v>
      </c>
      <c r="CW462" s="10">
        <v>17</v>
      </c>
      <c r="CX462" s="10">
        <v>10</v>
      </c>
      <c r="CY462" s="10">
        <v>11</v>
      </c>
      <c r="CZ462" s="10">
        <v>5</v>
      </c>
      <c r="DA462" s="10">
        <v>6</v>
      </c>
      <c r="DB462" s="10">
        <v>8</v>
      </c>
      <c r="DC462" s="10">
        <v>3</v>
      </c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</row>
    <row r="463" ht="15">
      <c r="A463" s="6" t="s">
        <v>1951</v>
      </c>
      <c r="B463" s="6">
        <f t="shared" si="73"/>
        <v>19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10">
        <v>1</v>
      </c>
      <c r="AI463" s="6"/>
      <c r="AJ463" s="6"/>
      <c r="AK463" s="6"/>
      <c r="AL463" s="6"/>
      <c r="AM463" s="6"/>
      <c r="AN463" s="6"/>
      <c r="AO463" s="6"/>
      <c r="AP463" s="6"/>
      <c r="AQ463" s="10">
        <v>1</v>
      </c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10">
        <v>1</v>
      </c>
      <c r="BE463" s="6"/>
      <c r="BF463" s="6"/>
      <c r="BG463" s="6"/>
      <c r="BH463" s="6"/>
      <c r="BI463" s="10">
        <v>1</v>
      </c>
      <c r="BJ463" s="6"/>
      <c r="BK463" s="6"/>
      <c r="BL463" s="10">
        <v>3</v>
      </c>
      <c r="BM463" s="6"/>
      <c r="BN463" s="6"/>
      <c r="BO463" s="6"/>
      <c r="BP463" s="10">
        <v>1</v>
      </c>
      <c r="BQ463" s="6"/>
      <c r="BR463" s="10">
        <v>1</v>
      </c>
      <c r="BS463" s="6"/>
      <c r="BT463" s="6"/>
      <c r="BU463" s="10">
        <v>1</v>
      </c>
      <c r="BV463" s="10">
        <v>1</v>
      </c>
      <c r="BW463" s="10">
        <v>2</v>
      </c>
      <c r="BX463" s="10">
        <v>1</v>
      </c>
      <c r="BY463" s="10">
        <v>1</v>
      </c>
      <c r="BZ463" s="6"/>
      <c r="CA463" s="6"/>
      <c r="CB463" s="10">
        <v>1</v>
      </c>
      <c r="CC463" s="10">
        <v>2</v>
      </c>
      <c r="CD463" s="6"/>
      <c r="CE463" s="6"/>
      <c r="CF463" s="10">
        <v>1</v>
      </c>
      <c r="CG463" s="6"/>
      <c r="CH463" s="6"/>
      <c r="CI463" s="6"/>
      <c r="CJ463" s="10">
        <v>1</v>
      </c>
      <c r="CK463" s="6"/>
      <c r="CL463" s="10">
        <v>3</v>
      </c>
      <c r="CM463" s="10">
        <v>1</v>
      </c>
      <c r="CN463" s="10">
        <v>5</v>
      </c>
      <c r="CO463" s="10">
        <v>1</v>
      </c>
      <c r="CP463" s="10">
        <v>3</v>
      </c>
      <c r="CQ463" s="6"/>
      <c r="CR463" s="6"/>
      <c r="CS463" s="10">
        <v>3</v>
      </c>
      <c r="CT463" s="10">
        <v>1</v>
      </c>
      <c r="CU463" s="6"/>
      <c r="CV463" s="6"/>
      <c r="CW463" s="6"/>
      <c r="CX463" s="10">
        <v>2</v>
      </c>
      <c r="CY463" s="6"/>
      <c r="CZ463" s="6"/>
      <c r="DA463" s="6"/>
      <c r="DB463" s="10">
        <v>1</v>
      </c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</row>
    <row r="464" ht="15">
      <c r="A464" s="6" t="s">
        <v>1955</v>
      </c>
      <c r="B464" s="6">
        <f t="shared" si="73"/>
        <v>58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10">
        <v>1</v>
      </c>
      <c r="BM464" s="6"/>
      <c r="BN464" s="6"/>
      <c r="BO464" s="6"/>
      <c r="BP464" s="6"/>
      <c r="BQ464" s="6"/>
      <c r="BR464" s="6"/>
      <c r="BS464" s="6"/>
      <c r="BT464" s="10">
        <v>1</v>
      </c>
      <c r="BU464" s="6"/>
      <c r="BV464" s="6"/>
      <c r="BW464" s="6"/>
      <c r="BX464" s="10">
        <v>1</v>
      </c>
      <c r="BY464" s="10">
        <v>7</v>
      </c>
      <c r="BZ464" s="10">
        <v>3</v>
      </c>
      <c r="CA464" s="10">
        <v>1</v>
      </c>
      <c r="CB464" s="10">
        <v>12</v>
      </c>
      <c r="CC464" s="10">
        <v>13</v>
      </c>
      <c r="CD464" s="10">
        <v>7</v>
      </c>
      <c r="CE464" s="10">
        <v>2</v>
      </c>
      <c r="CF464" s="10">
        <v>10</v>
      </c>
      <c r="CG464" s="10">
        <v>3</v>
      </c>
      <c r="CH464" s="10">
        <v>3</v>
      </c>
      <c r="CI464" s="10">
        <v>3</v>
      </c>
      <c r="CJ464" s="10">
        <v>2</v>
      </c>
      <c r="CK464" s="10">
        <v>1</v>
      </c>
      <c r="CL464" s="10">
        <v>1</v>
      </c>
      <c r="CM464" s="10">
        <v>1</v>
      </c>
      <c r="CN464" s="10">
        <v>5</v>
      </c>
      <c r="CO464" s="10">
        <v>2</v>
      </c>
      <c r="CP464" s="10">
        <v>2</v>
      </c>
      <c r="CQ464" s="10">
        <v>1</v>
      </c>
      <c r="CR464" s="6"/>
      <c r="CS464" s="10">
        <v>3</v>
      </c>
      <c r="CT464" s="6"/>
      <c r="CU464" s="6"/>
      <c r="CV464" s="10">
        <v>1</v>
      </c>
      <c r="CW464" s="10">
        <v>1</v>
      </c>
      <c r="CX464" s="10">
        <v>17</v>
      </c>
      <c r="CY464" s="6"/>
      <c r="CZ464" s="10">
        <v>1</v>
      </c>
      <c r="DA464" s="10">
        <v>2</v>
      </c>
      <c r="DB464" s="6"/>
      <c r="DC464" s="6"/>
      <c r="DD464" s="6"/>
      <c r="DE464" s="10">
        <v>1</v>
      </c>
      <c r="DF464" s="6"/>
      <c r="DG464" s="6"/>
      <c r="DH464" s="10">
        <v>1</v>
      </c>
      <c r="DI464" s="6"/>
      <c r="DJ464" s="10">
        <v>1</v>
      </c>
      <c r="DK464" s="10">
        <v>2</v>
      </c>
      <c r="DL464" s="10">
        <v>1</v>
      </c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</row>
    <row r="465" ht="15">
      <c r="A465" s="6" t="s">
        <v>1959</v>
      </c>
      <c r="B465" s="6">
        <f t="shared" si="73"/>
        <v>31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10">
        <v>1</v>
      </c>
      <c r="AK465" s="6"/>
      <c r="AL465" s="6"/>
      <c r="AM465" s="6"/>
      <c r="AN465" s="6"/>
      <c r="AO465" s="6"/>
      <c r="AP465" s="6"/>
      <c r="AQ465" s="6"/>
      <c r="AR465" s="10">
        <v>1</v>
      </c>
      <c r="AS465" s="6"/>
      <c r="AT465" s="10">
        <v>1</v>
      </c>
      <c r="AU465" s="10">
        <v>1</v>
      </c>
      <c r="AV465" s="6"/>
      <c r="AW465" s="10">
        <v>1</v>
      </c>
      <c r="AX465" s="10">
        <v>1</v>
      </c>
      <c r="AY465" s="10">
        <v>1</v>
      </c>
      <c r="AZ465" s="6"/>
      <c r="BA465" s="10">
        <v>1</v>
      </c>
      <c r="BB465" s="6"/>
      <c r="BC465" s="6"/>
      <c r="BD465" s="10">
        <v>1</v>
      </c>
      <c r="BE465" s="6"/>
      <c r="BF465" s="10">
        <v>1</v>
      </c>
      <c r="BG465" s="6"/>
      <c r="BH465" s="6"/>
      <c r="BI465" s="10">
        <v>1</v>
      </c>
      <c r="BJ465" s="10">
        <v>2</v>
      </c>
      <c r="BK465" s="6"/>
      <c r="BL465" s="10">
        <v>4</v>
      </c>
      <c r="BM465" s="10">
        <v>3</v>
      </c>
      <c r="BN465" s="6"/>
      <c r="BO465" s="10">
        <v>1</v>
      </c>
      <c r="BP465" s="10">
        <v>1</v>
      </c>
      <c r="BQ465" s="6"/>
      <c r="BR465" s="6"/>
      <c r="BS465" s="6"/>
      <c r="BT465" s="10">
        <v>2</v>
      </c>
      <c r="BU465" s="10">
        <v>1</v>
      </c>
      <c r="BV465" s="10">
        <v>1</v>
      </c>
      <c r="BW465" s="10">
        <v>1</v>
      </c>
      <c r="BX465" s="6"/>
      <c r="BY465" s="10">
        <v>2</v>
      </c>
      <c r="BZ465" s="6"/>
      <c r="CA465" s="10">
        <v>2</v>
      </c>
      <c r="CB465" s="6"/>
      <c r="CC465" s="6"/>
      <c r="CD465" s="6"/>
      <c r="CE465" s="6"/>
      <c r="CF465" s="6"/>
      <c r="CG465" s="10">
        <v>2</v>
      </c>
      <c r="CH465" s="10">
        <v>1</v>
      </c>
      <c r="CI465" s="6"/>
      <c r="CJ465" s="6"/>
      <c r="CK465" s="10">
        <v>1</v>
      </c>
      <c r="CL465" s="10">
        <v>2</v>
      </c>
      <c r="CM465" s="6"/>
      <c r="CN465" s="10">
        <v>4</v>
      </c>
      <c r="CO465" s="10">
        <v>1</v>
      </c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10">
        <v>1</v>
      </c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</row>
    <row r="466" ht="15">
      <c r="A466" s="6" t="s">
        <v>1963</v>
      </c>
      <c r="B466" s="6">
        <f t="shared" si="73"/>
        <v>69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0">
        <v>1</v>
      </c>
      <c r="AV466" s="10">
        <v>2</v>
      </c>
      <c r="AW466" s="10">
        <v>1</v>
      </c>
      <c r="AX466" s="10">
        <v>1</v>
      </c>
      <c r="AY466" s="10">
        <v>3</v>
      </c>
      <c r="AZ466" s="10">
        <v>1</v>
      </c>
      <c r="BA466" s="10">
        <v>2</v>
      </c>
      <c r="BB466" s="10">
        <v>2</v>
      </c>
      <c r="BC466" s="10">
        <v>1</v>
      </c>
      <c r="BD466" s="10">
        <v>4</v>
      </c>
      <c r="BE466" s="10">
        <v>6</v>
      </c>
      <c r="BF466" s="6"/>
      <c r="BG466" s="10">
        <v>1</v>
      </c>
      <c r="BH466" s="6"/>
      <c r="BI466" s="10">
        <v>3</v>
      </c>
      <c r="BJ466" s="10">
        <v>1</v>
      </c>
      <c r="BK466" s="6"/>
      <c r="BL466" s="10">
        <v>1</v>
      </c>
      <c r="BM466" s="10">
        <v>3</v>
      </c>
      <c r="BN466" s="10">
        <v>1</v>
      </c>
      <c r="BO466" s="10">
        <v>1</v>
      </c>
      <c r="BP466" s="10">
        <v>1</v>
      </c>
      <c r="BQ466" s="6"/>
      <c r="BR466" s="6"/>
      <c r="BS466" s="10">
        <v>2</v>
      </c>
      <c r="BT466" s="10">
        <v>4</v>
      </c>
      <c r="BU466" s="10">
        <v>4</v>
      </c>
      <c r="BV466" s="10">
        <v>1</v>
      </c>
      <c r="BW466" s="10">
        <v>6</v>
      </c>
      <c r="BX466" s="10">
        <v>1</v>
      </c>
      <c r="BY466" s="10">
        <v>4</v>
      </c>
      <c r="BZ466" s="6"/>
      <c r="CA466" s="10">
        <v>2</v>
      </c>
      <c r="CB466" s="10">
        <v>2</v>
      </c>
      <c r="CC466" s="10">
        <v>5</v>
      </c>
      <c r="CD466" s="10">
        <v>1</v>
      </c>
      <c r="CE466" s="10">
        <v>1</v>
      </c>
      <c r="CF466" s="6"/>
      <c r="CG466" s="10">
        <v>1</v>
      </c>
      <c r="CH466" s="6"/>
      <c r="CI466" s="10">
        <v>1</v>
      </c>
      <c r="CJ466" s="10">
        <v>1</v>
      </c>
      <c r="CK466" s="6"/>
      <c r="CL466" s="6"/>
      <c r="CM466" s="6"/>
      <c r="CN466" s="6"/>
      <c r="CO466" s="6"/>
      <c r="CP466" s="6"/>
      <c r="CQ466" s="6"/>
      <c r="CR466" s="6"/>
      <c r="CS466" s="10">
        <v>2</v>
      </c>
      <c r="CT466" s="10">
        <v>1</v>
      </c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</row>
    <row r="467" ht="15">
      <c r="A467" s="6" t="s">
        <v>1967</v>
      </c>
      <c r="B467" s="6">
        <f t="shared" si="73"/>
        <v>2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10">
        <v>1</v>
      </c>
      <c r="CB467" s="6"/>
      <c r="CC467" s="6"/>
      <c r="CD467" s="10">
        <v>1</v>
      </c>
      <c r="CE467" s="6"/>
      <c r="CF467" s="6"/>
      <c r="CG467" s="6"/>
      <c r="CH467" s="10">
        <v>1</v>
      </c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</row>
    <row r="468" ht="15">
      <c r="A468" s="6" t="s">
        <v>1971</v>
      </c>
      <c r="B468" s="6">
        <f t="shared" si="73"/>
        <v>1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10">
        <v>1</v>
      </c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</row>
    <row r="469" ht="15">
      <c r="A469" s="6" t="s">
        <v>1975</v>
      </c>
      <c r="B469" s="6">
        <f t="shared" si="73"/>
        <v>491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10">
        <v>1</v>
      </c>
      <c r="BC469" s="6"/>
      <c r="BD469" s="6"/>
      <c r="BE469" s="6"/>
      <c r="BF469" s="10">
        <v>1</v>
      </c>
      <c r="BG469" s="6"/>
      <c r="BH469" s="10">
        <v>39</v>
      </c>
      <c r="BI469" s="10">
        <v>4</v>
      </c>
      <c r="BJ469" s="10">
        <v>4</v>
      </c>
      <c r="BK469" s="10">
        <v>5</v>
      </c>
      <c r="BL469" s="6"/>
      <c r="BM469" s="10">
        <v>1</v>
      </c>
      <c r="BN469" s="10">
        <v>1</v>
      </c>
      <c r="BO469" s="10">
        <v>12</v>
      </c>
      <c r="BP469" s="10">
        <v>37</v>
      </c>
      <c r="BQ469" s="10">
        <v>17</v>
      </c>
      <c r="BR469" s="10">
        <v>34</v>
      </c>
      <c r="BS469" s="10">
        <v>3</v>
      </c>
      <c r="BT469" s="10">
        <v>9</v>
      </c>
      <c r="BU469" s="10">
        <v>32</v>
      </c>
      <c r="BV469" s="10">
        <v>16</v>
      </c>
      <c r="BW469" s="10">
        <v>12</v>
      </c>
      <c r="BX469" s="10">
        <v>48</v>
      </c>
      <c r="BY469" s="10">
        <v>35</v>
      </c>
      <c r="BZ469" s="10">
        <v>61</v>
      </c>
      <c r="CA469" s="10">
        <v>23</v>
      </c>
      <c r="CB469" s="10">
        <v>1</v>
      </c>
      <c r="CC469" s="10">
        <v>6</v>
      </c>
      <c r="CD469" s="10">
        <v>19</v>
      </c>
      <c r="CE469" s="10">
        <v>45</v>
      </c>
      <c r="CF469" s="10">
        <v>25</v>
      </c>
      <c r="CG469" s="10">
        <v>24</v>
      </c>
      <c r="CH469" s="10">
        <v>4</v>
      </c>
      <c r="CI469" s="6"/>
      <c r="CJ469" s="10">
        <v>1</v>
      </c>
      <c r="CK469" s="6"/>
      <c r="CL469" s="6"/>
      <c r="CM469" s="10">
        <v>3</v>
      </c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10">
        <v>3</v>
      </c>
      <c r="DF469" s="6"/>
      <c r="DG469" s="6"/>
      <c r="DH469" s="6"/>
      <c r="DI469" s="6"/>
      <c r="DJ469" s="6"/>
      <c r="DK469" s="6"/>
      <c r="DL469" s="10">
        <v>3</v>
      </c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10">
        <v>2</v>
      </c>
      <c r="EH469" s="10"/>
      <c r="EI469" s="10"/>
      <c r="EJ469" s="10"/>
      <c r="EK469" s="10"/>
      <c r="EL469" s="10"/>
    </row>
    <row r="470" ht="15">
      <c r="A470" s="6" t="s">
        <v>1979</v>
      </c>
      <c r="B470" s="6">
        <f t="shared" si="73"/>
        <v>7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10">
        <v>1</v>
      </c>
      <c r="BI470" s="6"/>
      <c r="BJ470" s="6"/>
      <c r="BK470" s="6"/>
      <c r="BL470" s="6"/>
      <c r="BM470" s="6"/>
      <c r="BN470" s="10">
        <v>2</v>
      </c>
      <c r="BO470" s="6"/>
      <c r="BP470" s="6"/>
      <c r="BQ470" s="6"/>
      <c r="BR470" s="6"/>
      <c r="BS470" s="6"/>
      <c r="BT470" s="6"/>
      <c r="BU470" s="6"/>
      <c r="BV470" s="6"/>
      <c r="BW470" s="10">
        <v>3</v>
      </c>
      <c r="BX470" s="6"/>
      <c r="BY470" s="10">
        <v>1</v>
      </c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10">
        <v>1</v>
      </c>
      <c r="DC470" s="10">
        <v>7</v>
      </c>
      <c r="DD470" s="10">
        <v>2</v>
      </c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</row>
    <row r="471" ht="15">
      <c r="A471" s="7" t="s">
        <v>2889</v>
      </c>
      <c r="B471" s="6">
        <f t="shared" si="73"/>
        <v>94331</v>
      </c>
      <c r="C471" s="10">
        <f>SUM(C2:C470)</f>
        <v>1</v>
      </c>
      <c r="D471" s="10">
        <f>SUM(D2:D470)</f>
        <v>1</v>
      </c>
      <c r="E471" s="10">
        <f>SUM(E2:E470)</f>
        <v>0</v>
      </c>
      <c r="F471" s="10">
        <f>SUM(F2:F470)</f>
        <v>2</v>
      </c>
      <c r="G471" s="10">
        <f>SUM(G2:G470)</f>
        <v>0</v>
      </c>
      <c r="H471" s="10">
        <f>SUM(H2:H470)</f>
        <v>0</v>
      </c>
      <c r="I471" s="10">
        <f>SUM(I2:I470)</f>
        <v>1</v>
      </c>
      <c r="J471" s="10">
        <f>SUM(J2:J470)</f>
        <v>1</v>
      </c>
      <c r="K471" s="10">
        <f>SUM(K2:K470)</f>
        <v>3</v>
      </c>
      <c r="L471" s="10">
        <f>SUM(L2:L470)</f>
        <v>7</v>
      </c>
      <c r="M471" s="10">
        <f>SUM(M2:M470)</f>
        <v>3</v>
      </c>
      <c r="N471" s="10">
        <f>SUM(N2:N470)</f>
        <v>1</v>
      </c>
      <c r="O471" s="10">
        <f>SUM(O2:O470)</f>
        <v>4</v>
      </c>
      <c r="P471" s="10">
        <f>SUM(P2:P470)</f>
        <v>2</v>
      </c>
      <c r="Q471" s="10">
        <f>SUM(Q2:Q470)</f>
        <v>7</v>
      </c>
      <c r="R471" s="10">
        <f>SUM(R2:R470)</f>
        <v>4</v>
      </c>
      <c r="S471" s="10">
        <f>SUM(S2:S470)</f>
        <v>4</v>
      </c>
      <c r="T471" s="10">
        <f>SUM(T2:T470)</f>
        <v>8</v>
      </c>
      <c r="U471" s="10">
        <f>SUM(U2:U470)</f>
        <v>1</v>
      </c>
      <c r="V471" s="10">
        <f>SUM(V2:V470)</f>
        <v>7</v>
      </c>
      <c r="W471" s="10">
        <f>SUM(W2:W470)</f>
        <v>5</v>
      </c>
      <c r="X471" s="10">
        <f>SUM(X2:X470)</f>
        <v>9</v>
      </c>
      <c r="Y471" s="10">
        <f>SUM(Y2:Y470)</f>
        <v>6</v>
      </c>
      <c r="Z471" s="10">
        <f>SUM(Z2:Z470)</f>
        <v>4</v>
      </c>
      <c r="AA471" s="10">
        <f>SUM(AA2:AA470)</f>
        <v>1</v>
      </c>
      <c r="AB471" s="10">
        <f>SUM(AB2:AB470)</f>
        <v>7</v>
      </c>
      <c r="AC471" s="10">
        <f>SUM(AC2:AC470)</f>
        <v>4</v>
      </c>
      <c r="AD471" s="10">
        <f>SUM(AD2:AD470)</f>
        <v>11</v>
      </c>
      <c r="AE471" s="10">
        <f>SUM(AE2:AE470)</f>
        <v>20</v>
      </c>
      <c r="AF471" s="10">
        <f>SUM(AF2:AF470)</f>
        <v>17</v>
      </c>
      <c r="AG471" s="10">
        <f>SUM(AG2:AG470)</f>
        <v>39</v>
      </c>
      <c r="AH471" s="10">
        <f>SUM(AH2:AH470)</f>
        <v>59</v>
      </c>
      <c r="AI471" s="10">
        <f>SUM(AI2:AI470)</f>
        <v>88</v>
      </c>
      <c r="AJ471" s="10">
        <f>SUM(AJ2:AJ470)</f>
        <v>63</v>
      </c>
      <c r="AK471" s="10">
        <f>SUM(AK2:AK470)</f>
        <v>67</v>
      </c>
      <c r="AL471" s="10">
        <f>SUM(AL2:AL470)</f>
        <v>113</v>
      </c>
      <c r="AM471" s="10">
        <f>SUM(AM2:AM470)</f>
        <v>120</v>
      </c>
      <c r="AN471" s="10">
        <f>SUM(AN2:AN470)</f>
        <v>147</v>
      </c>
      <c r="AO471" s="10">
        <f>SUM(AO2:AO470)</f>
        <v>299</v>
      </c>
      <c r="AP471" s="10">
        <f>SUM(AP2:AP470)</f>
        <v>396</v>
      </c>
      <c r="AQ471" s="10">
        <f>SUM(AQ2:AQ470)</f>
        <v>415</v>
      </c>
      <c r="AR471" s="10">
        <f>SUM(AR2:AR470)</f>
        <v>425</v>
      </c>
      <c r="AS471" s="10">
        <f>SUM(AS2:AS470)</f>
        <v>251</v>
      </c>
      <c r="AT471" s="10">
        <f>SUM(AT2:AT470)</f>
        <v>289</v>
      </c>
      <c r="AU471" s="10">
        <f>SUM(AU2:AU470)</f>
        <v>293</v>
      </c>
      <c r="AV471" s="10">
        <f>SUM(AV2:AV470)</f>
        <v>374</v>
      </c>
      <c r="AW471" s="10">
        <f>SUM(AW2:AW470)</f>
        <v>439</v>
      </c>
      <c r="AX471" s="10">
        <f>SUM(AX2:AX470)</f>
        <v>336</v>
      </c>
      <c r="AY471" s="10">
        <f>SUM(AY2:AY470)</f>
        <v>329</v>
      </c>
      <c r="AZ471" s="10">
        <f>SUM(AZ2:AZ470)</f>
        <v>491</v>
      </c>
      <c r="BA471" s="10">
        <f>SUM(BA2:BA470)</f>
        <v>543</v>
      </c>
      <c r="BB471" s="10">
        <f>SUM(BB2:BB470)</f>
        <v>780</v>
      </c>
      <c r="BC471" s="10">
        <f>SUM(BC2:BC470)</f>
        <v>758</v>
      </c>
      <c r="BD471" s="10">
        <f>SUM(BD2:BD470)</f>
        <v>859</v>
      </c>
      <c r="BE471" s="10">
        <f>SUM(BE2:BE470)</f>
        <v>1155</v>
      </c>
      <c r="BF471" s="10">
        <f>SUM(BF2:BF470)</f>
        <v>1211</v>
      </c>
      <c r="BG471" s="10">
        <f>SUM(BG2:BG470)</f>
        <v>1317</v>
      </c>
      <c r="BH471" s="10">
        <f>SUM(BH2:BH470)</f>
        <v>1773</v>
      </c>
      <c r="BI471" s="10">
        <f>SUM(BI2:BI470)</f>
        <v>1670</v>
      </c>
      <c r="BJ471" s="10">
        <f>SUM(BJ2:BJ470)</f>
        <v>2031</v>
      </c>
      <c r="BK471" s="10">
        <f>SUM(BK2:BK470)</f>
        <v>2413</v>
      </c>
      <c r="BL471" s="10">
        <f>SUM(BL2:BL470)</f>
        <v>3205</v>
      </c>
      <c r="BM471" s="10">
        <f>SUM(BM2:BM470)</f>
        <v>3176</v>
      </c>
      <c r="BN471" s="10">
        <f>SUM(BN2:BN470)</f>
        <v>3765</v>
      </c>
      <c r="BO471" s="10">
        <f>SUM(BO2:BO470)</f>
        <v>3969</v>
      </c>
      <c r="BP471" s="10">
        <f>SUM(BP2:BP470)</f>
        <v>4382</v>
      </c>
      <c r="BQ471" s="10">
        <f>SUM(BQ2:BQ470)</f>
        <v>3989</v>
      </c>
      <c r="BR471" s="10">
        <f>SUM(BR2:BR470)</f>
        <v>3431</v>
      </c>
      <c r="BS471" s="10">
        <f>SUM(BS2:BS470)</f>
        <v>3447</v>
      </c>
      <c r="BT471" s="10">
        <f>SUM(BT2:BT470)</f>
        <v>3719</v>
      </c>
      <c r="BU471" s="10">
        <f>SUM(BU2:BU470)</f>
        <v>3591</v>
      </c>
      <c r="BV471" s="10">
        <f>SUM(BV2:BV470)</f>
        <v>3275</v>
      </c>
      <c r="BW471" s="10">
        <f>SUM(BW2:BW470)</f>
        <v>2942</v>
      </c>
      <c r="BX471" s="10">
        <f>SUM(BX2:BX470)</f>
        <v>2865</v>
      </c>
      <c r="BY471" s="10">
        <f>SUM(BY2:BY470)</f>
        <v>2796</v>
      </c>
      <c r="BZ471" s="10">
        <f>SUM(BZ2:BZ470)</f>
        <v>3266</v>
      </c>
      <c r="CA471" s="10">
        <f>SUM(CA2:CA470)</f>
        <v>3827</v>
      </c>
      <c r="CB471" s="10">
        <f>SUM(CB2:CB470)</f>
        <v>3876</v>
      </c>
      <c r="CC471" s="10">
        <f>SUM(CC2:CC470)</f>
        <v>4053</v>
      </c>
      <c r="CD471" s="10">
        <f>SUM(CD2:CD470)</f>
        <v>3797</v>
      </c>
      <c r="CE471" s="10">
        <f>SUM(CE2:CE470)</f>
        <v>3826</v>
      </c>
      <c r="CF471" s="10">
        <f>SUM(CF2:CF470)</f>
        <v>3450</v>
      </c>
      <c r="CG471" s="10">
        <f>SUM(CG2:CG470)</f>
        <v>2597</v>
      </c>
      <c r="CH471" s="10">
        <f>SUM(CH2:CH470)</f>
        <v>2832</v>
      </c>
      <c r="CI471" s="10">
        <f>SUM(CI2:CI470)</f>
        <v>2316</v>
      </c>
      <c r="CJ471" s="10">
        <f>SUM(CJ2:CJ470)</f>
        <v>2234</v>
      </c>
      <c r="CK471" s="10">
        <f>SUM(CK2:CK470)</f>
        <v>1846</v>
      </c>
      <c r="CL471" s="10">
        <f>SUM(CL2:CL470)</f>
        <v>1907</v>
      </c>
      <c r="CM471" s="10">
        <f>SUM(CM2:CM470)</f>
        <v>1854</v>
      </c>
      <c r="CN471" s="10">
        <f>SUM(CN2:CN470)</f>
        <v>1571</v>
      </c>
      <c r="CO471" s="10">
        <f>SUM(CO2:CO470)</f>
        <v>2028</v>
      </c>
      <c r="CP471" s="10">
        <f>SUM(CP2:CP470)</f>
        <v>1682</v>
      </c>
      <c r="CQ471" s="10">
        <f>SUM(CQ2:CQ470)</f>
        <v>1553</v>
      </c>
      <c r="CR471" s="10">
        <f>SUM(CR2:CR470)</f>
        <v>1794</v>
      </c>
      <c r="CS471" s="10">
        <f>SUM(CS2:CS470)</f>
        <v>1376</v>
      </c>
      <c r="CT471" s="10">
        <f>SUM(CT2:CT470)</f>
        <v>1373</v>
      </c>
      <c r="CU471" s="10">
        <f>SUM(CU2:CU470)</f>
        <v>1275</v>
      </c>
      <c r="CV471" s="10">
        <f>SUM(CV2:CV470)</f>
        <v>1193</v>
      </c>
      <c r="CW471" s="10">
        <f>SUM(CW2:CW470)</f>
        <v>1190</v>
      </c>
      <c r="CX471" s="10">
        <f>SUM(CX2:CX470)</f>
        <v>1122</v>
      </c>
      <c r="CY471" s="10">
        <f>SUM(CY2:CY470)</f>
        <v>975</v>
      </c>
      <c r="CZ471" s="10">
        <f>SUM(CZ2:CZ470)</f>
        <v>896</v>
      </c>
      <c r="DA471" s="10">
        <f>SUM(DA2:DA470)</f>
        <v>777</v>
      </c>
      <c r="DB471" s="10">
        <f>SUM(DB2:DB470)</f>
        <v>761</v>
      </c>
      <c r="DC471" s="10">
        <f>SUM(DC2:DC470)</f>
        <v>775</v>
      </c>
      <c r="DD471" s="10">
        <f>SUM(DD2:DD470)</f>
        <v>821</v>
      </c>
      <c r="DE471" s="10">
        <f>SUM(DE2:DE470)</f>
        <v>685</v>
      </c>
      <c r="DF471" s="10">
        <f>SUM(DF2:DF470)</f>
        <v>546</v>
      </c>
      <c r="DG471" s="10">
        <f>SUM(DG2:DG470)</f>
        <v>544</v>
      </c>
      <c r="DH471" s="10">
        <f>SUM(DH2:DH470)</f>
        <v>463</v>
      </c>
      <c r="DI471" s="10">
        <f>SUM(DI2:DI470)</f>
        <v>431</v>
      </c>
      <c r="DJ471" s="10">
        <f>SUM(DJ2:DJ470)</f>
        <v>304</v>
      </c>
      <c r="DK471" s="10">
        <f>SUM(DK2:DK470)</f>
        <v>161</v>
      </c>
      <c r="DL471" s="10">
        <f>SUM(DL2:DL470)</f>
        <v>68</v>
      </c>
      <c r="DM471" s="10">
        <f>SUM(DM2:DM470)</f>
        <v>55</v>
      </c>
      <c r="DN471" s="10">
        <f>SUM(DN2:DN470)</f>
        <v>74</v>
      </c>
      <c r="DO471" s="10">
        <f>SUM(DO2:DO470)</f>
        <v>66</v>
      </c>
      <c r="DP471" s="10">
        <f>SUM(DP2:DP470)</f>
        <v>34</v>
      </c>
      <c r="DQ471" s="10">
        <f>SUM(DQ2:DQ470)</f>
        <v>37</v>
      </c>
      <c r="DR471" s="10">
        <f>SUM(DR2:DR470)</f>
        <v>26</v>
      </c>
      <c r="DS471" s="10">
        <f>SUM(DS2:DS470)</f>
        <v>27</v>
      </c>
      <c r="DT471" s="10">
        <f>SUM(DT2:DT470)</f>
        <v>31</v>
      </c>
      <c r="DU471" s="10">
        <f>SUM(DU2:DU470)</f>
        <v>33</v>
      </c>
      <c r="DV471" s="10">
        <f>SUM(DV2:DV470)</f>
        <v>7</v>
      </c>
      <c r="DW471" s="10">
        <f>SUM(DW2:DW470)</f>
        <v>4</v>
      </c>
      <c r="DX471" s="10">
        <f>SUM(DX2:DX470)</f>
        <v>2</v>
      </c>
      <c r="DY471" s="10">
        <f>SUM(DY2:DY470)</f>
        <v>7</v>
      </c>
      <c r="DZ471" s="10">
        <f>SUM(DZ2:DZ470)</f>
        <v>3</v>
      </c>
      <c r="EA471" s="10">
        <f>SUM(EA2:EA470)</f>
        <v>4</v>
      </c>
      <c r="EB471" s="10">
        <f>SUM(EB2:EB470)</f>
        <v>3</v>
      </c>
      <c r="EC471" s="10">
        <f>SUM(EC2:EC470)</f>
        <v>2</v>
      </c>
      <c r="ED471" s="10"/>
      <c r="EE471" s="10"/>
      <c r="EF471" s="10">
        <v>859</v>
      </c>
      <c r="EG471" s="10">
        <v>859</v>
      </c>
      <c r="EH471" s="10"/>
      <c r="EI471" s="10"/>
      <c r="EJ471" s="10"/>
      <c r="EK471" s="10"/>
      <c r="EL471" s="10"/>
    </row>
    <row r="472" ht="15" hidden="1">
      <c r="A472" s="1" t="s">
        <v>2890</v>
      </c>
      <c r="C472" s="1">
        <f>COUNT(C2:C470)</f>
        <v>1</v>
      </c>
      <c r="D472" s="1">
        <f>COUNT(D2:D470)</f>
        <v>1</v>
      </c>
      <c r="F472" s="1">
        <f>COUNT(F2:F470)</f>
        <v>1</v>
      </c>
      <c r="I472" s="1">
        <f>COUNT(I2:I470)</f>
        <v>1</v>
      </c>
      <c r="J472" s="1">
        <f>COUNT(J2:J470)</f>
        <v>1</v>
      </c>
      <c r="K472" s="1">
        <f>COUNT(K2:K470)</f>
        <v>1</v>
      </c>
      <c r="L472" s="1">
        <f>COUNT(L2:L470)</f>
        <v>1</v>
      </c>
      <c r="M472" s="1">
        <f>COUNT(M2:M470)</f>
        <v>3</v>
      </c>
      <c r="N472" s="1">
        <f>COUNT(N2:N470)</f>
        <v>1</v>
      </c>
      <c r="O472" s="1">
        <f>COUNT(O2:O470)</f>
        <v>2</v>
      </c>
      <c r="P472" s="1">
        <f>COUNT(P2:P470)</f>
        <v>2</v>
      </c>
      <c r="Q472" s="1">
        <f>COUNT(Q2:Q470)</f>
        <v>3</v>
      </c>
      <c r="R472" s="1">
        <f>COUNT(R2:R470)</f>
        <v>3</v>
      </c>
      <c r="S472" s="1">
        <f>COUNT(S2:S470)</f>
        <v>2</v>
      </c>
      <c r="T472" s="1">
        <f>COUNT(T2:T470)</f>
        <v>4</v>
      </c>
      <c r="U472" s="1">
        <f>COUNT(U2:U470)</f>
        <v>1</v>
      </c>
      <c r="V472" s="1">
        <f>COUNT(V2:V470)</f>
        <v>4</v>
      </c>
      <c r="W472" s="1">
        <f>COUNT(W2:W470)</f>
        <v>4</v>
      </c>
      <c r="X472" s="1">
        <f>COUNT(X2:X470)</f>
        <v>4</v>
      </c>
      <c r="Y472" s="1">
        <f>COUNT(Y2:Y470)</f>
        <v>4</v>
      </c>
      <c r="Z472" s="1">
        <f>COUNT(Z2:Z470)</f>
        <v>3</v>
      </c>
      <c r="AA472" s="1">
        <f>COUNT(AA2:AA470)</f>
        <v>1</v>
      </c>
      <c r="AB472" s="1">
        <f>COUNT(AB2:AB470)</f>
        <v>5</v>
      </c>
      <c r="AC472" s="1">
        <f>COUNT(AC2:AC470)</f>
        <v>4</v>
      </c>
      <c r="AD472" s="1">
        <f>COUNT(AD2:AD470)</f>
        <v>6</v>
      </c>
      <c r="AE472" s="1">
        <f>COUNT(AE2:AE470)</f>
        <v>4</v>
      </c>
      <c r="AF472" s="1">
        <f>COUNT(AF2:AF470)</f>
        <v>4</v>
      </c>
      <c r="AG472" s="1">
        <f>COUNT(AG2:AG470)</f>
        <v>6</v>
      </c>
      <c r="AH472" s="1">
        <f>COUNT(AH2:AH470)</f>
        <v>14</v>
      </c>
      <c r="AI472" s="1">
        <f>COUNT(AI2:AI470)</f>
        <v>14</v>
      </c>
      <c r="AJ472" s="1">
        <f>COUNT(AJ2:AJ470)</f>
        <v>14</v>
      </c>
      <c r="AK472" s="1">
        <f>COUNT(AK2:AK470)</f>
        <v>13</v>
      </c>
      <c r="AL472" s="1">
        <f>COUNT(AL2:AL470)</f>
        <v>18</v>
      </c>
      <c r="AM472" s="1">
        <f>COUNT(AM2:AM470)</f>
        <v>20</v>
      </c>
      <c r="AN472" s="1">
        <f>COUNT(AN2:AN470)</f>
        <v>14</v>
      </c>
      <c r="AO472" s="1">
        <f>COUNT(AO2:AO470)</f>
        <v>23</v>
      </c>
      <c r="AP472" s="1">
        <f>COUNT(AP2:AP470)</f>
        <v>25</v>
      </c>
      <c r="AQ472" s="1">
        <f>COUNT(AQ2:AQ470)</f>
        <v>27</v>
      </c>
      <c r="AR472" s="1">
        <f>COUNT(AR2:AR470)</f>
        <v>38</v>
      </c>
      <c r="AS472" s="1">
        <f>COUNT(AS2:AS470)</f>
        <v>35</v>
      </c>
      <c r="AT472" s="1">
        <f>COUNT(AT2:AT470)</f>
        <v>36</v>
      </c>
      <c r="AU472" s="1">
        <f>COUNT(AU2:AU470)</f>
        <v>38</v>
      </c>
      <c r="AV472" s="1">
        <f>COUNT(AV2:AV470)</f>
        <v>61</v>
      </c>
      <c r="AW472" s="1">
        <f>COUNT(AW2:AW470)</f>
        <v>59</v>
      </c>
      <c r="AX472" s="1">
        <f>COUNT(AX2:AX470)</f>
        <v>56</v>
      </c>
      <c r="AY472" s="1">
        <f>COUNT(AY2:AY470)</f>
        <v>50</v>
      </c>
      <c r="AZ472" s="1">
        <f>COUNT(AZ2:AZ470)</f>
        <v>69</v>
      </c>
      <c r="BA472" s="1">
        <f>COUNT(BA2:BA470)</f>
        <v>68</v>
      </c>
      <c r="BB472" s="1">
        <f>COUNT(BB2:BB470)</f>
        <v>89</v>
      </c>
      <c r="BC472" s="1">
        <f>COUNT(BC2:BC470)</f>
        <v>93</v>
      </c>
      <c r="BD472" s="1">
        <f>COUNT(BD2:BD470)</f>
        <v>110</v>
      </c>
      <c r="BE472" s="1">
        <f>COUNT(BE2:BE470)</f>
        <v>128</v>
      </c>
      <c r="BF472" s="1">
        <f>COUNT(BF2:BF470)</f>
        <v>123</v>
      </c>
      <c r="BG472" s="1">
        <f>COUNT(BG2:BG470)</f>
        <v>133</v>
      </c>
      <c r="BH472" s="1">
        <f>COUNT(BH2:BH470)</f>
        <v>158</v>
      </c>
      <c r="BI472" s="1">
        <f>COUNT(BI2:BI470)</f>
        <v>152</v>
      </c>
      <c r="BJ472" s="1">
        <f>COUNT(BJ2:BJ470)</f>
        <v>164</v>
      </c>
      <c r="BK472" s="1">
        <f>COUNT(BK2:BK470)</f>
        <v>182</v>
      </c>
      <c r="BL472" s="1">
        <f>COUNT(BL2:BL470)</f>
        <v>213</v>
      </c>
      <c r="BM472" s="1">
        <f>COUNT(BM2:BM470)</f>
        <v>192</v>
      </c>
      <c r="BN472" s="1">
        <f>COUNT(BN2:BN470)</f>
        <v>198</v>
      </c>
      <c r="BO472" s="1">
        <f>COUNT(BO2:BO470)</f>
        <v>212</v>
      </c>
      <c r="BP472" s="1">
        <f>COUNT(BP2:BP470)</f>
        <v>223</v>
      </c>
      <c r="BQ472" s="1">
        <f>COUNT(BQ2:BQ470)</f>
        <v>231</v>
      </c>
      <c r="BR472" s="1">
        <f>COUNT(BR2:BR470)</f>
        <v>239</v>
      </c>
      <c r="BS472" s="1">
        <f>COUNT(BS2:BS470)</f>
        <v>237</v>
      </c>
      <c r="BT472" s="1">
        <f>COUNT(BT2:BT470)</f>
        <v>243</v>
      </c>
      <c r="BU472" s="1">
        <f>COUNT(BU2:BU470)</f>
        <v>238</v>
      </c>
      <c r="BV472" s="1">
        <f>COUNT(BV2:BV470)</f>
        <v>231</v>
      </c>
      <c r="BW472" s="1">
        <f>COUNT(BW2:BW470)</f>
        <v>159</v>
      </c>
      <c r="BX472" s="1">
        <f>COUNT(BX2:BX470)</f>
        <v>149</v>
      </c>
      <c r="BY472" s="1">
        <f>COUNT(BY2:BY470)</f>
        <v>139</v>
      </c>
      <c r="BZ472" s="1">
        <f>COUNT(BZ2:BZ470)</f>
        <v>140</v>
      </c>
      <c r="CA472" s="1">
        <f>COUNT(CA2:CA470)</f>
        <v>145</v>
      </c>
      <c r="CB472" s="1">
        <f>COUNT(CB2:CB470)</f>
        <v>164</v>
      </c>
      <c r="CC472" s="1">
        <f>COUNT(CC2:CC470)</f>
        <v>144</v>
      </c>
      <c r="CD472" s="1">
        <f>COUNT(CD2:CD470)</f>
        <v>153</v>
      </c>
      <c r="CE472" s="1">
        <f>COUNT(CE2:CE470)</f>
        <v>152</v>
      </c>
      <c r="CF472" s="1">
        <f>COUNT(CF2:CF470)</f>
        <v>152</v>
      </c>
      <c r="CG472" s="1">
        <f>COUNT(CG2:CG470)</f>
        <v>146</v>
      </c>
      <c r="CH472" s="1">
        <f>COUNT(CH2:CH470)</f>
        <v>148</v>
      </c>
      <c r="CI472" s="1">
        <f>COUNT(CI2:CI470)</f>
        <v>115</v>
      </c>
      <c r="CJ472" s="1">
        <f>COUNT(CJ2:CJ470)</f>
        <v>103</v>
      </c>
      <c r="CK472" s="1">
        <f>COUNT(CK2:CK470)</f>
        <v>107</v>
      </c>
      <c r="CL472" s="1">
        <f>COUNT(CL2:CL470)</f>
        <v>100</v>
      </c>
      <c r="CM472" s="1">
        <f>COUNT(CM2:CM470)</f>
        <v>98</v>
      </c>
      <c r="CN472" s="1">
        <f>COUNT(CN2:CN470)</f>
        <v>95</v>
      </c>
      <c r="CO472" s="1">
        <f>COUNT(CO2:CO470)</f>
        <v>96</v>
      </c>
      <c r="CP472" s="1">
        <f>COUNT(CP2:CP470)</f>
        <v>95</v>
      </c>
      <c r="CQ472" s="1">
        <f>COUNT(CQ2:CQ470)</f>
        <v>90</v>
      </c>
      <c r="CR472" s="1">
        <f>COUNT(CR2:CR470)</f>
        <v>85</v>
      </c>
      <c r="CS472" s="1">
        <f>COUNT(CS2:CS470)</f>
        <v>92</v>
      </c>
      <c r="CT472" s="1">
        <f>COUNT(CT2:CT470)</f>
        <v>91</v>
      </c>
      <c r="CU472" s="1">
        <f>COUNT(CU2:CU470)</f>
        <v>79</v>
      </c>
      <c r="CV472" s="1">
        <f>COUNT(CV2:CV470)</f>
        <v>92</v>
      </c>
      <c r="CW472" s="1">
        <f>COUNT(CW2:CW470)</f>
        <v>96</v>
      </c>
      <c r="CX472" s="1">
        <f>COUNT(CX2:CX470)</f>
        <v>79</v>
      </c>
      <c r="CY472" s="1">
        <f>COUNT(CY2:CY470)</f>
        <v>87</v>
      </c>
      <c r="CZ472" s="1">
        <f>COUNT(CZ2:CZ470)</f>
        <v>85</v>
      </c>
      <c r="DA472" s="1">
        <f>COUNT(DA2:DA470)</f>
        <v>70</v>
      </c>
      <c r="DB472" s="1">
        <f>COUNT(DB2:DB470)</f>
        <v>80</v>
      </c>
      <c r="DC472" s="1">
        <f>COUNT(DC2:DC470)</f>
        <v>78</v>
      </c>
      <c r="DD472" s="1">
        <f>COUNT(DD2:DD470)</f>
        <v>75</v>
      </c>
      <c r="DE472" s="1">
        <f>COUNT(DE2:DE470)</f>
        <v>72</v>
      </c>
      <c r="DF472" s="1">
        <f>COUNT(DF2:DF470)</f>
        <v>65</v>
      </c>
      <c r="DG472" s="1">
        <f>COUNT(DG2:DG470)</f>
        <v>58</v>
      </c>
      <c r="DH472" s="1">
        <f>COUNT(DH2:DH470)</f>
        <v>58</v>
      </c>
      <c r="DI472" s="1">
        <f>COUNT(DI2:DI470)</f>
        <v>42</v>
      </c>
      <c r="DJ472" s="1">
        <f>COUNT(DJ2:DJ470)</f>
        <v>37</v>
      </c>
      <c r="DK472" s="1">
        <f>COUNT(DK2:DK470)</f>
        <v>13</v>
      </c>
      <c r="DL472" s="1">
        <f>COUNT(DL2:DL470)</f>
        <v>15</v>
      </c>
      <c r="DM472" s="1">
        <f>COUNT(DM2:DM470)</f>
        <v>11</v>
      </c>
      <c r="DN472" s="1">
        <f>COUNT(DN2:DN470)</f>
        <v>13</v>
      </c>
      <c r="DO472" s="1">
        <f>COUNT(DO2:DO470)</f>
        <v>12</v>
      </c>
      <c r="DP472" s="1">
        <f>COUNT(DP2:DP470)</f>
        <v>8</v>
      </c>
      <c r="DQ472" s="1">
        <f>COUNT(DQ2:DQ470)</f>
        <v>9</v>
      </c>
      <c r="DR472" s="1">
        <f>COUNT(DR2:DR470)</f>
        <v>6</v>
      </c>
      <c r="DS472" s="1">
        <f>COUNT(DS2:DS470)</f>
        <v>5</v>
      </c>
      <c r="DT472" s="1">
        <f>COUNT(DT2:DT470)</f>
        <v>8</v>
      </c>
      <c r="DU472" s="1">
        <f>COUNT(DU2:DU470)</f>
        <v>8</v>
      </c>
      <c r="DV472" s="1">
        <f>COUNT(DV2:DV470)</f>
        <v>4</v>
      </c>
      <c r="DW472" s="1">
        <f>COUNT(DW2:DW470)</f>
        <v>2</v>
      </c>
      <c r="DX472" s="1">
        <f>COUNT(DX2:DX470)</f>
        <v>2</v>
      </c>
      <c r="DY472" s="1">
        <f>COUNT(DY2:DY470)</f>
        <v>5</v>
      </c>
      <c r="DZ472" s="1">
        <f>COUNT(DZ2:DZ470)</f>
        <v>3</v>
      </c>
      <c r="EA472" s="1">
        <f>COUNT(EA2:EA470)</f>
        <v>2</v>
      </c>
      <c r="EB472" s="1">
        <f>COUNT(EB2:EB470)</f>
        <v>1</v>
      </c>
      <c r="EC472" s="1">
        <f>COUNT(EC2:EC470)</f>
        <v>1</v>
      </c>
      <c r="EF472" s="1">
        <f>COUNT(EF2:EF470)</f>
        <v>1</v>
      </c>
      <c r="EG472" s="1">
        <f>COUNT(EG2:EG470)</f>
        <v>44</v>
      </c>
    </row>
    <row r="473" ht="15">
      <c r="A473" s="34" t="s">
        <v>2891</v>
      </c>
      <c r="B473" s="34">
        <f>MEDIAN(C473:CF473)</f>
        <v>7.440677966</v>
      </c>
      <c r="C473" s="34">
        <f>C471/C472</f>
        <v>1</v>
      </c>
      <c r="D473" s="34">
        <f>D471/D472</f>
        <v>1</v>
      </c>
      <c r="E473" s="34"/>
      <c r="F473" s="34">
        <f>F471/F472</f>
        <v>2</v>
      </c>
      <c r="G473" s="34"/>
      <c r="H473" s="34"/>
      <c r="I473" s="34">
        <f>I471/I472</f>
        <v>1</v>
      </c>
      <c r="J473" s="34">
        <f>J471/J472</f>
        <v>1</v>
      </c>
      <c r="K473" s="34">
        <f>K471/K472</f>
        <v>3</v>
      </c>
      <c r="L473" s="34">
        <f>L471/L472</f>
        <v>7</v>
      </c>
      <c r="M473" s="34">
        <f>M471/M472</f>
        <v>1</v>
      </c>
      <c r="N473" s="34">
        <f>N471/N472</f>
        <v>1</v>
      </c>
      <c r="O473" s="34">
        <f>O471/O472</f>
        <v>2</v>
      </c>
      <c r="P473" s="34">
        <f>P471/P472</f>
        <v>1</v>
      </c>
      <c r="Q473" s="34">
        <f>Q471/Q472</f>
        <v>2.3333333333333299</v>
      </c>
      <c r="R473" s="34">
        <f>R471/R472</f>
        <v>1.3333333333333299</v>
      </c>
      <c r="S473" s="34">
        <f>S471/S472</f>
        <v>2</v>
      </c>
      <c r="T473" s="34">
        <f>T471/T472</f>
        <v>2</v>
      </c>
      <c r="U473" s="34">
        <f>U471/U472</f>
        <v>1</v>
      </c>
      <c r="V473" s="34">
        <f>V471/V472</f>
        <v>1.75</v>
      </c>
      <c r="W473" s="34">
        <f>W471/W472</f>
        <v>1.25</v>
      </c>
      <c r="X473" s="34">
        <f>X471/X472</f>
        <v>2.25</v>
      </c>
      <c r="Y473" s="34">
        <f>Y471/Y472</f>
        <v>1.5</v>
      </c>
      <c r="Z473" s="34">
        <f>Z471/Z472</f>
        <v>1.3333333333333299</v>
      </c>
      <c r="AA473" s="34">
        <f>AA471/AA472</f>
        <v>1</v>
      </c>
      <c r="AB473" s="34">
        <f>AB471/AB472</f>
        <v>1.3999999999999999</v>
      </c>
      <c r="AC473" s="34">
        <f>AC471/AC472</f>
        <v>1</v>
      </c>
      <c r="AD473" s="34">
        <f>AD471/AD472</f>
        <v>1.8333333333333299</v>
      </c>
      <c r="AE473" s="34">
        <f>AE471/AE472</f>
        <v>5</v>
      </c>
      <c r="AF473" s="34">
        <f>AF471/AF472</f>
        <v>4.25</v>
      </c>
      <c r="AG473" s="34">
        <f>AG471/AG472</f>
        <v>6.5</v>
      </c>
      <c r="AH473" s="34">
        <f>AH471/AH472</f>
        <v>4.21428571428571</v>
      </c>
      <c r="AI473" s="34">
        <f>AI471/AI472</f>
        <v>6.28571428571429</v>
      </c>
      <c r="AJ473" s="34">
        <f>AJ471/AJ472</f>
        <v>4.5</v>
      </c>
      <c r="AK473" s="34">
        <f>AK471/AK472</f>
        <v>5.1538461538461497</v>
      </c>
      <c r="AL473" s="34">
        <f>AL471/AL472</f>
        <v>6.2777777777777803</v>
      </c>
      <c r="AM473" s="34">
        <f>AM471/AM472</f>
        <v>6</v>
      </c>
      <c r="AN473" s="34">
        <f>AN471/AN472</f>
        <v>10.5</v>
      </c>
      <c r="AO473" s="34">
        <f>AO471/AO472</f>
        <v>13</v>
      </c>
      <c r="AP473" s="34">
        <f>AP471/AP472</f>
        <v>15.84</v>
      </c>
      <c r="AQ473" s="34">
        <f>AQ471/AQ472</f>
        <v>15.3703703703704</v>
      </c>
      <c r="AR473" s="34">
        <f>AR471/AR472</f>
        <v>11.1842105263158</v>
      </c>
      <c r="AS473" s="34">
        <f>AS471/AS472</f>
        <v>7.1714285714285699</v>
      </c>
      <c r="AT473" s="34">
        <f>AT471/AT472</f>
        <v>8.0277777777777803</v>
      </c>
      <c r="AU473" s="34">
        <f>AU471/AU472</f>
        <v>7.7105263157894699</v>
      </c>
      <c r="AV473" s="34">
        <f>AV471/AV472</f>
        <v>6.1311475409836103</v>
      </c>
      <c r="AW473" s="34">
        <f>AW471/AW472</f>
        <v>7.4406779661017</v>
      </c>
      <c r="AX473" s="34">
        <f>AX471/AX472</f>
        <v>6</v>
      </c>
      <c r="AY473" s="34">
        <f>AY471/AY472</f>
        <v>6.5800000000000001</v>
      </c>
      <c r="AZ473" s="34">
        <f>AZ471/AZ472</f>
        <v>7.1159420289855104</v>
      </c>
      <c r="BA473" s="34">
        <f>BA471/BA472</f>
        <v>7.9852941176470598</v>
      </c>
      <c r="BB473" s="34">
        <f>BB471/BB472</f>
        <v>8.7640449438202204</v>
      </c>
      <c r="BC473" s="34">
        <f>BC471/BC472</f>
        <v>8.1505376344086002</v>
      </c>
      <c r="BD473" s="34">
        <f>BD471/BD472</f>
        <v>7.8090909090909104</v>
      </c>
      <c r="BE473" s="34">
        <f>BE471/BE472</f>
        <v>9.0234375</v>
      </c>
      <c r="BF473" s="34">
        <f>BF471/BF472</f>
        <v>9.8455284552845495</v>
      </c>
      <c r="BG473" s="34">
        <f>BG471/BG472</f>
        <v>9.9022556390977403</v>
      </c>
      <c r="BH473" s="34">
        <f>BH471/BH472</f>
        <v>11.221518987341801</v>
      </c>
      <c r="BI473" s="34">
        <f>BI471/BI472</f>
        <v>10.9868421052632</v>
      </c>
      <c r="BJ473" s="34">
        <f>BJ471/BJ472</f>
        <v>12.384146341463399</v>
      </c>
      <c r="BK473" s="34">
        <f>BK471/BK472</f>
        <v>13.2582417582418</v>
      </c>
      <c r="BL473" s="34">
        <f>BL471/BL472</f>
        <v>15.0469483568075</v>
      </c>
      <c r="BM473" s="34">
        <f>BM471/BM472</f>
        <v>16.5416666666667</v>
      </c>
      <c r="BN473" s="34">
        <f>BN471/BN472</f>
        <v>19.015151515151501</v>
      </c>
      <c r="BO473" s="34">
        <f>BO471/BO472</f>
        <v>18.721698113207498</v>
      </c>
      <c r="BP473" s="34">
        <f>BP471/BP472</f>
        <v>19.650224215246599</v>
      </c>
      <c r="BQ473" s="34">
        <f>BQ471/BQ472</f>
        <v>17.2683982683983</v>
      </c>
      <c r="BR473" s="34">
        <f>BR471/BR472</f>
        <v>14.3556485355649</v>
      </c>
      <c r="BS473" s="34">
        <f>BS471/BS472</f>
        <v>14.5443037974684</v>
      </c>
      <c r="BT473" s="34">
        <f>BT471/BT472</f>
        <v>15.304526748971201</v>
      </c>
      <c r="BU473" s="34">
        <f>BU471/BU472</f>
        <v>15.088235294117601</v>
      </c>
      <c r="BV473" s="34">
        <f>BV471/BV472</f>
        <v>14.1774891774892</v>
      </c>
      <c r="BW473" s="34">
        <f>BW471/BW472</f>
        <v>18.5031446540881</v>
      </c>
      <c r="BX473" s="34">
        <f>BX471/BX472</f>
        <v>19.2281879194631</v>
      </c>
      <c r="BY473" s="34">
        <f>BY471/BY472</f>
        <v>20.1151079136691</v>
      </c>
      <c r="BZ473" s="34">
        <f>BZ471/BZ472</f>
        <v>23.328571428571401</v>
      </c>
      <c r="CA473" s="34">
        <f>CA471/CA472</f>
        <v>26.393103448275902</v>
      </c>
      <c r="CB473" s="34">
        <f>CB471/CB472</f>
        <v>23.634146341463399</v>
      </c>
      <c r="CC473" s="34">
        <f>CC471/CC472</f>
        <v>28.1458333333333</v>
      </c>
      <c r="CD473" s="34">
        <f>CD471/CD472</f>
        <v>24.816993464052299</v>
      </c>
      <c r="CE473" s="34">
        <f>CE471/CE472</f>
        <v>25.171052631578998</v>
      </c>
      <c r="CF473" s="34">
        <f>CF471/CF472</f>
        <v>22.697368421052602</v>
      </c>
      <c r="CG473" s="34">
        <f>CG471/CG472</f>
        <v>17.787671232876701</v>
      </c>
      <c r="CH473" s="34">
        <f>CH471/CH472</f>
        <v>19.135135135135101</v>
      </c>
      <c r="CI473" s="34">
        <f>CI471/CI472</f>
        <v>20.139130434782601</v>
      </c>
      <c r="CJ473" s="34">
        <f>CJ471/CJ472</f>
        <v>21.6893203883495</v>
      </c>
      <c r="CK473" s="34">
        <f>CK471/CK472</f>
        <v>17.252336448598101</v>
      </c>
      <c r="CL473" s="34">
        <f>CL471/CL472</f>
        <v>19.07</v>
      </c>
      <c r="CM473" s="34">
        <f>CM471/CM472</f>
        <v>18.918367346938801</v>
      </c>
      <c r="CN473" s="34">
        <f>CN471/CN472</f>
        <v>16.536842105263201</v>
      </c>
      <c r="CO473" s="34">
        <f>CO471/CO472</f>
        <v>21.125</v>
      </c>
      <c r="CP473" s="34">
        <f>CP471/CP472</f>
        <v>17.705263157894699</v>
      </c>
      <c r="CQ473" s="34">
        <f>CQ471/CQ472</f>
        <v>17.255555555555599</v>
      </c>
      <c r="CR473" s="34">
        <f>CR471/CR472</f>
        <v>21.105882352941201</v>
      </c>
      <c r="CS473" s="34">
        <f>CS471/CS472</f>
        <v>14.9565217391304</v>
      </c>
      <c r="CT473" s="34">
        <f>CT471/CT472</f>
        <v>15.0879120879121</v>
      </c>
      <c r="CU473" s="34">
        <f>CU471/CU472</f>
        <v>16.139240506329099</v>
      </c>
      <c r="CV473" s="34">
        <f>CV471/CV472</f>
        <v>12.9673913043478</v>
      </c>
      <c r="CW473" s="34">
        <f>CW471/CW472</f>
        <v>12.3958333333333</v>
      </c>
      <c r="CX473" s="34">
        <f>CX471/CX472</f>
        <v>14.2025316455696</v>
      </c>
      <c r="CY473" s="34">
        <f>CY471/CY472</f>
        <v>11.2068965517241</v>
      </c>
      <c r="CZ473" s="34">
        <f>CZ471/CZ472</f>
        <v>10.5411764705882</v>
      </c>
      <c r="DA473" s="34">
        <f>DA471/DA472</f>
        <v>11.1</v>
      </c>
      <c r="DB473" s="34">
        <f>DB471/DB472</f>
        <v>9.5124999999999993</v>
      </c>
      <c r="DC473" s="34">
        <f>DC471/DC472</f>
        <v>9.9358974358974397</v>
      </c>
      <c r="DD473" s="34">
        <f>DD471/DD472</f>
        <v>10.946666666666699</v>
      </c>
      <c r="DE473" s="34">
        <f>DE471/DE472</f>
        <v>9.5138888888888893</v>
      </c>
      <c r="DF473" s="34">
        <f>DF471/DF472</f>
        <v>8.4000000000000004</v>
      </c>
      <c r="DG473" s="34">
        <f>DG471/DG472</f>
        <v>9.3793103448275907</v>
      </c>
      <c r="DH473" s="34">
        <f>DH471/DH472</f>
        <v>7.9827586206896601</v>
      </c>
      <c r="DI473" s="34">
        <f>DI471/DI472</f>
        <v>10.2619047619048</v>
      </c>
      <c r="DJ473" s="34">
        <f>DJ471/DJ472</f>
        <v>8.2162162162162193</v>
      </c>
      <c r="DK473" s="34">
        <f>DK471/DK472</f>
        <v>12.384615384615399</v>
      </c>
      <c r="DL473" s="34">
        <f>DL471/DL472</f>
        <v>4.5333333333333297</v>
      </c>
      <c r="DM473" s="34">
        <f>DM471/DM472</f>
        <v>5</v>
      </c>
      <c r="DN473" s="34">
        <f>DN471/DN472</f>
        <v>5.6923076923076898</v>
      </c>
      <c r="DO473" s="34">
        <f>DO471/DO472</f>
        <v>5.5</v>
      </c>
      <c r="DP473" s="34">
        <f>DP471/DP472</f>
        <v>4.25</v>
      </c>
      <c r="DQ473" s="34">
        <f>DQ471/DQ472</f>
        <v>4.1111111111111098</v>
      </c>
      <c r="DR473" s="34">
        <f>DR471/DR472</f>
        <v>4.3333333333333304</v>
      </c>
      <c r="DS473" s="34">
        <f>DS471/DS472</f>
        <v>5.4000000000000004</v>
      </c>
      <c r="DT473" s="34">
        <f>DT471/DT472</f>
        <v>3.875</v>
      </c>
      <c r="DU473" s="34">
        <f>DU471/DU472</f>
        <v>4.125</v>
      </c>
      <c r="DV473" s="34">
        <f>DV471/DV472</f>
        <v>1.75</v>
      </c>
      <c r="DW473" s="34">
        <f>DW471/DW472</f>
        <v>2</v>
      </c>
      <c r="DX473" s="34">
        <f>DX471/DX472</f>
        <v>1</v>
      </c>
      <c r="DY473" s="34">
        <f>DY471/DY472</f>
        <v>1.3999999999999999</v>
      </c>
      <c r="DZ473" s="34">
        <f>DZ471/DZ472</f>
        <v>1</v>
      </c>
      <c r="EA473" s="34">
        <f>EA471/EA472</f>
        <v>2</v>
      </c>
      <c r="EB473" s="34">
        <f>EB471/EB472</f>
        <v>3</v>
      </c>
      <c r="EC473" s="34">
        <f>EC471/EC472</f>
        <v>2</v>
      </c>
      <c r="ED473" s="34"/>
      <c r="EE473" s="34"/>
      <c r="EF473" s="34">
        <f>EF471/EF472</f>
        <v>859</v>
      </c>
      <c r="EG473" s="34">
        <f>EG471/EG472</f>
        <v>19.522727272727298</v>
      </c>
      <c r="EH473" s="34"/>
      <c r="EI473" s="34"/>
      <c r="EJ473" s="34"/>
      <c r="EK473" s="34"/>
      <c r="EL473" s="34"/>
    </row>
    <row r="1001" ht="15">
      <c r="A1001" s="1" t="s">
        <v>2892</v>
      </c>
      <c r="C1001" s="10">
        <v>1</v>
      </c>
      <c r="D1001" s="10">
        <v>1</v>
      </c>
      <c r="E1001" s="10">
        <v>1</v>
      </c>
      <c r="F1001" s="10">
        <v>2</v>
      </c>
      <c r="G1001" s="10">
        <v>1</v>
      </c>
      <c r="H1001" s="10">
        <v>1</v>
      </c>
      <c r="I1001" s="10">
        <v>1</v>
      </c>
      <c r="J1001" s="10">
        <v>2</v>
      </c>
      <c r="K1001" s="10">
        <v>7</v>
      </c>
      <c r="L1001" s="10">
        <v>18</v>
      </c>
      <c r="M1001" s="10">
        <v>4</v>
      </c>
      <c r="N1001" s="10">
        <v>4</v>
      </c>
      <c r="O1001" s="10">
        <v>4</v>
      </c>
      <c r="P1001" s="10">
        <v>4</v>
      </c>
      <c r="Q1001" s="10">
        <v>9</v>
      </c>
      <c r="R1001" s="10">
        <v>12</v>
      </c>
      <c r="S1001" s="10">
        <v>5</v>
      </c>
      <c r="T1001" s="10">
        <v>10</v>
      </c>
      <c r="U1001" s="10">
        <v>1</v>
      </c>
      <c r="V1001" s="10">
        <v>13</v>
      </c>
      <c r="W1001" s="10">
        <v>19</v>
      </c>
      <c r="X1001" s="10">
        <v>15</v>
      </c>
      <c r="Y1001" s="10">
        <v>9</v>
      </c>
      <c r="Z1001" s="10">
        <v>6</v>
      </c>
      <c r="AA1001" s="10">
        <v>4</v>
      </c>
      <c r="AB1001" s="10">
        <v>11</v>
      </c>
      <c r="AC1001" s="10">
        <v>14</v>
      </c>
      <c r="AD1001" s="10">
        <v>22</v>
      </c>
      <c r="AE1001" s="10">
        <v>45</v>
      </c>
      <c r="AF1001" s="10">
        <v>40</v>
      </c>
      <c r="AG1001" s="10">
        <v>55</v>
      </c>
      <c r="AH1001" s="10">
        <v>101</v>
      </c>
      <c r="AI1001" s="10">
        <v>145</v>
      </c>
      <c r="AJ1001" s="10">
        <v>134</v>
      </c>
      <c r="AK1001" s="10">
        <v>171</v>
      </c>
      <c r="AL1001" s="10">
        <v>237</v>
      </c>
      <c r="AM1001" s="10">
        <v>205</v>
      </c>
      <c r="AN1001" s="10">
        <v>246</v>
      </c>
      <c r="AO1001" s="10">
        <v>432</v>
      </c>
      <c r="AP1001" s="10">
        <v>608</v>
      </c>
      <c r="AQ1001" s="10">
        <v>597</v>
      </c>
      <c r="AR1001" s="10">
        <v>643</v>
      </c>
      <c r="AS1001" s="10">
        <v>466</v>
      </c>
      <c r="AT1001" s="10">
        <v>432</v>
      </c>
      <c r="AU1001" s="10">
        <v>474</v>
      </c>
      <c r="AV1001" s="10">
        <v>591</v>
      </c>
      <c r="AW1001" s="10">
        <v>657</v>
      </c>
      <c r="AX1001" s="10">
        <v>540</v>
      </c>
      <c r="AY1001" s="10">
        <v>537</v>
      </c>
      <c r="AZ1001" s="10">
        <v>764</v>
      </c>
      <c r="BA1001" s="10">
        <v>880</v>
      </c>
      <c r="BB1001" s="10">
        <v>1399</v>
      </c>
      <c r="BC1001" s="10">
        <v>1404</v>
      </c>
      <c r="BD1001" s="10">
        <v>2000</v>
      </c>
      <c r="BE1001" s="10">
        <v>2355</v>
      </c>
      <c r="BF1001" s="10">
        <v>2762</v>
      </c>
      <c r="BG1001" s="10">
        <v>3341</v>
      </c>
      <c r="BH1001" s="10">
        <v>4317</v>
      </c>
      <c r="BI1001" s="10">
        <v>4243</v>
      </c>
      <c r="BJ1001" s="10">
        <v>5300</v>
      </c>
      <c r="BK1001" s="10">
        <v>6177</v>
      </c>
      <c r="BL1001" s="10">
        <v>8170</v>
      </c>
      <c r="BM1001" s="10">
        <v>7952</v>
      </c>
      <c r="BN1001" s="10">
        <v>10296</v>
      </c>
      <c r="BO1001" s="10">
        <v>12274</v>
      </c>
      <c r="BP1001" s="10">
        <v>15276</v>
      </c>
      <c r="BQ1001" s="10">
        <v>15419</v>
      </c>
      <c r="BR1001" s="10">
        <v>16467</v>
      </c>
      <c r="BS1001" s="10">
        <v>16466</v>
      </c>
      <c r="BT1001" s="10">
        <v>17749</v>
      </c>
      <c r="BU1001" s="10">
        <v>16958</v>
      </c>
      <c r="BV1001" s="10">
        <v>13937</v>
      </c>
      <c r="BW1001" s="10">
        <v>15324</v>
      </c>
      <c r="BX1001" s="10">
        <v>14270</v>
      </c>
      <c r="BY1001" s="10">
        <v>13480</v>
      </c>
      <c r="BZ1001" s="10">
        <v>14850</v>
      </c>
      <c r="CA1001" s="10">
        <v>16560</v>
      </c>
      <c r="CB1001" s="10">
        <v>15321</v>
      </c>
      <c r="CC1001" s="10">
        <v>16556</v>
      </c>
      <c r="CD1001" s="10">
        <v>15542</v>
      </c>
      <c r="CE1001" s="10">
        <v>15179</v>
      </c>
      <c r="CF1001" s="10">
        <v>15822</v>
      </c>
      <c r="CG1001" s="10">
        <v>15345</v>
      </c>
      <c r="CH1001" s="10">
        <v>16796</v>
      </c>
      <c r="CI1001" s="10">
        <v>7890</v>
      </c>
      <c r="CJ1001" s="10">
        <v>5757</v>
      </c>
      <c r="CK1001" s="10">
        <v>5826</v>
      </c>
      <c r="CL1001" s="10">
        <v>5843</v>
      </c>
      <c r="CM1001" s="10">
        <v>5855</v>
      </c>
      <c r="CN1001" s="10">
        <v>4780</v>
      </c>
      <c r="CO1001" s="10">
        <v>5294</v>
      </c>
      <c r="CP1001" s="10">
        <v>4881</v>
      </c>
      <c r="CQ1001" s="10">
        <v>4932</v>
      </c>
      <c r="CR1001" s="10">
        <v>4782</v>
      </c>
      <c r="CS1001" s="10">
        <v>3796</v>
      </c>
      <c r="CT1001" s="10">
        <v>3608</v>
      </c>
      <c r="CU1001" s="10">
        <v>3370</v>
      </c>
      <c r="CV1001" s="10">
        <v>3262</v>
      </c>
      <c r="CW1001" s="10">
        <v>3428</v>
      </c>
      <c r="CX1001" s="10">
        <v>3032</v>
      </c>
      <c r="CY1001" s="10">
        <v>2801</v>
      </c>
      <c r="CZ1001" s="10">
        <v>2614</v>
      </c>
      <c r="DA1001" s="10">
        <v>2315</v>
      </c>
      <c r="DB1001" s="10">
        <v>2358</v>
      </c>
      <c r="DC1001" s="10">
        <v>2661</v>
      </c>
      <c r="DD1001" s="10">
        <v>2636</v>
      </c>
      <c r="DE1001" s="10">
        <v>2732</v>
      </c>
      <c r="DF1001" s="10">
        <v>2040</v>
      </c>
      <c r="DG1001" s="10">
        <v>1682</v>
      </c>
      <c r="DH1001" s="10">
        <v>1498</v>
      </c>
      <c r="DI1001" s="10">
        <v>1208</v>
      </c>
      <c r="DJ1001" s="10">
        <v>876</v>
      </c>
      <c r="DK1001" s="10">
        <v>436</v>
      </c>
      <c r="DL1001" s="10">
        <v>288</v>
      </c>
      <c r="DM1001" s="10">
        <v>239</v>
      </c>
      <c r="DN1001" s="10">
        <v>394</v>
      </c>
      <c r="DO1001" s="10">
        <v>204</v>
      </c>
      <c r="DP1001" s="10">
        <v>214</v>
      </c>
      <c r="DQ1001" s="10">
        <v>194</v>
      </c>
      <c r="DR1001" s="10">
        <v>159</v>
      </c>
      <c r="DS1001" s="10">
        <v>177</v>
      </c>
      <c r="DT1001" s="10">
        <v>129</v>
      </c>
      <c r="DU1001" s="10">
        <v>106</v>
      </c>
      <c r="DV1001" s="10">
        <v>77</v>
      </c>
      <c r="DW1001" s="10">
        <v>39</v>
      </c>
      <c r="DX1001" s="10">
        <v>62</v>
      </c>
      <c r="DY1001" s="10">
        <v>46</v>
      </c>
      <c r="DZ1001" s="10">
        <v>61</v>
      </c>
      <c r="EA1001" s="10">
        <v>54</v>
      </c>
      <c r="EB1001" s="10">
        <v>27</v>
      </c>
      <c r="EC1001" s="10">
        <v>37</v>
      </c>
      <c r="ED1001" s="10">
        <v>14</v>
      </c>
      <c r="EE1001" s="10">
        <v>5</v>
      </c>
      <c r="EF1001" s="10">
        <v>1</v>
      </c>
      <c r="EG1001" s="10">
        <v>7874</v>
      </c>
    </row>
  </sheetData>
  <autoFilter ref="A1:EG473">
    <filterColumn colId="1">
      <filters>
        <filter val="1"/>
        <filter val="2"/>
        <filter val="3"/>
        <filter val="4"/>
        <filter val="5"/>
        <filter val="6"/>
        <filter val="7"/>
        <filter val="8"/>
        <filter val="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2"/>
        <filter val="23"/>
        <filter val="24"/>
        <filter val="25"/>
        <filter val="26"/>
        <filter val="27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2"/>
        <filter val="44"/>
        <filter val="45"/>
        <filter val="46"/>
        <filter val="47"/>
        <filter val="49"/>
        <filter val="51"/>
        <filter val="52"/>
        <filter val="54"/>
        <filter val="55"/>
        <filter val="56"/>
        <filter val="57"/>
        <filter val="58"/>
        <filter val="60"/>
        <filter val="61"/>
        <filter val="62"/>
        <filter val="63"/>
        <filter val="64"/>
        <filter val="66"/>
        <filter val="68"/>
        <filter val="69"/>
        <filter val="70"/>
        <filter val="74"/>
        <filter val="77"/>
        <filter val="79"/>
        <filter val="80"/>
        <filter val="82"/>
        <filter val="83"/>
        <filter val="84"/>
        <filter val="85"/>
        <filter val="89"/>
        <filter val="91"/>
        <filter val="92"/>
        <filter val="95"/>
        <filter val="96"/>
        <filter val="97"/>
        <filter val="101"/>
        <filter val="103"/>
        <filter val="106"/>
        <filter val="108"/>
        <filter val="109"/>
        <filter val="114"/>
        <filter val="116"/>
        <filter val="123"/>
        <filter val="124"/>
        <filter val="126"/>
        <filter val="133"/>
        <filter val="147"/>
        <filter val="150"/>
        <filter val="158"/>
        <filter val="160"/>
        <filter val="166"/>
        <filter val="173"/>
        <filter val="177"/>
        <filter val="182"/>
        <filter val="185"/>
        <filter val="195"/>
        <filter val="197"/>
        <filter val="200"/>
        <filter val="206"/>
        <filter val="211"/>
        <filter val="213"/>
        <filter val="226"/>
        <filter val="227"/>
        <filter val="238"/>
        <filter val="242"/>
        <filter val="243"/>
        <filter val="256"/>
        <filter val="257"/>
        <filter val="260"/>
        <filter val="275"/>
        <filter val="288"/>
        <filter val="297"/>
        <filter val="312"/>
        <filter val="322"/>
        <filter val="325"/>
        <filter val="336"/>
        <filter val="340"/>
        <filter val="351"/>
        <filter val="412"/>
        <filter val="425"/>
        <filter val="429"/>
        <filter val="437"/>
        <filter val="443"/>
        <filter val="448"/>
        <filter val="452"/>
        <filter val="453"/>
        <filter val="457"/>
        <filter val="458"/>
        <filter val="465"/>
        <filter val="472"/>
        <filter val="473"/>
        <filter val="475"/>
        <filter val="477"/>
        <filter val="491"/>
        <filter val="501"/>
        <filter val="505"/>
        <filter val="527"/>
        <filter val="530"/>
        <filter val="554"/>
        <filter val="557"/>
        <filter val="581"/>
        <filter val="590"/>
        <filter val="600"/>
        <filter val="610"/>
        <filter val="638"/>
        <filter val="662"/>
        <filter val="669"/>
        <filter val="672"/>
        <filter val="691"/>
        <filter val="701"/>
        <filter val="710"/>
        <filter val="741"/>
        <filter val="743"/>
        <filter val="745"/>
        <filter val="777"/>
        <filter val="811"/>
        <filter val="838"/>
        <filter val="840"/>
        <filter val="873"/>
        <filter val="877"/>
        <filter val="883"/>
        <filter val="885"/>
        <filter val="904"/>
        <filter val="928"/>
        <filter val="930"/>
        <filter val="979"/>
        <filter val="991"/>
        <filter val="995"/>
        <filter val="999"/>
        <filter val="1053"/>
        <filter val="1105"/>
        <filter val="1181"/>
        <filter val="1187"/>
        <filter val="1206"/>
        <filter val="1220"/>
        <filter val="1304"/>
        <filter val="1434"/>
        <filter val="1478"/>
        <filter val="1526"/>
        <filter val="1665"/>
        <filter val="1727"/>
        <filter val="1806"/>
        <filter val="1811"/>
        <filter val="2154"/>
        <filter val="2280"/>
        <filter val="2594"/>
        <filter val="3456"/>
        <filter val="3678"/>
        <filter val="4012"/>
        <filter val="5419"/>
        <filter val="94331"/>
        <filter val="7.44"/>
      </filters>
    </filterColumn>
  </autoFilter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4.4296875" defaultRowHeight="15" customHeight="1"/>
  <cols>
    <col customWidth="1" min="1" max="1" style="1" width="20.710000000000001"/>
    <col customWidth="1" hidden="1" min="2" max="2" style="1" width="2.29"/>
    <col customWidth="1" hidden="1" min="3" max="4" style="1" width="3.4300000000000002"/>
    <col customWidth="1" min="5" max="32" style="1" width="3.4300000000000002"/>
    <col customWidth="1" min="33" max="52" style="1" width="4.5700000000000003"/>
    <col customWidth="1" min="53" max="64" style="1" width="5.8600000000000003"/>
    <col customWidth="1" min="65" max="85" style="1" width="7"/>
    <col customWidth="1" min="86" max="112" style="1" width="5.8600000000000003"/>
    <col customWidth="1" min="113" max="135" style="1" width="4.5700000000000003"/>
    <col customWidth="1" min="136" max="142" style="1" width="5.8600000000000003"/>
  </cols>
  <sheetData>
    <row r="1" ht="15">
      <c r="A1" s="7" t="s">
        <v>2893</v>
      </c>
      <c r="B1" s="10">
        <v>0</v>
      </c>
      <c r="C1" s="10">
        <v>16</v>
      </c>
      <c r="D1" s="10">
        <v>18</v>
      </c>
      <c r="E1" s="10">
        <v>47</v>
      </c>
      <c r="F1" s="10">
        <v>50</v>
      </c>
      <c r="G1" s="10">
        <v>64</v>
      </c>
      <c r="H1" s="10">
        <v>75</v>
      </c>
      <c r="I1" s="10">
        <v>76</v>
      </c>
      <c r="J1" s="10">
        <v>77</v>
      </c>
      <c r="K1" s="10">
        <v>78</v>
      </c>
      <c r="L1" s="10">
        <v>79</v>
      </c>
      <c r="M1" s="10">
        <v>80</v>
      </c>
      <c r="N1" s="10">
        <v>81</v>
      </c>
      <c r="O1" s="10">
        <v>82</v>
      </c>
      <c r="P1" s="10">
        <v>83</v>
      </c>
      <c r="Q1" s="10">
        <v>84</v>
      </c>
      <c r="R1" s="10">
        <v>85</v>
      </c>
      <c r="S1" s="10">
        <v>86</v>
      </c>
      <c r="T1" s="10">
        <v>87</v>
      </c>
      <c r="U1" s="10">
        <v>88</v>
      </c>
      <c r="V1" s="10">
        <v>89</v>
      </c>
      <c r="W1" s="10">
        <v>90</v>
      </c>
      <c r="X1" s="10">
        <v>91</v>
      </c>
      <c r="Y1" s="10">
        <v>92</v>
      </c>
      <c r="Z1" s="10">
        <v>93</v>
      </c>
      <c r="AA1" s="10">
        <v>94</v>
      </c>
      <c r="AB1" s="10">
        <v>95</v>
      </c>
      <c r="AC1" s="10">
        <v>96</v>
      </c>
      <c r="AD1" s="10">
        <v>97</v>
      </c>
      <c r="AE1" s="10">
        <v>98</v>
      </c>
      <c r="AF1" s="10">
        <v>99</v>
      </c>
      <c r="AG1" s="10">
        <v>100</v>
      </c>
      <c r="AH1" s="10">
        <v>101</v>
      </c>
      <c r="AI1" s="10">
        <v>102</v>
      </c>
      <c r="AJ1" s="10">
        <v>103</v>
      </c>
      <c r="AK1" s="10">
        <v>104</v>
      </c>
      <c r="AL1" s="10">
        <v>105</v>
      </c>
      <c r="AM1" s="10">
        <v>106</v>
      </c>
      <c r="AN1" s="10">
        <v>107</v>
      </c>
      <c r="AO1" s="10">
        <v>108</v>
      </c>
      <c r="AP1" s="10">
        <v>109</v>
      </c>
      <c r="AQ1" s="10">
        <v>110</v>
      </c>
      <c r="AR1" s="10">
        <v>111</v>
      </c>
      <c r="AS1" s="10">
        <v>112</v>
      </c>
      <c r="AT1" s="10">
        <v>113</v>
      </c>
      <c r="AU1" s="10">
        <v>114</v>
      </c>
      <c r="AV1" s="10">
        <v>115</v>
      </c>
      <c r="AW1" s="10">
        <v>116</v>
      </c>
      <c r="AX1" s="10">
        <v>117</v>
      </c>
      <c r="AY1" s="10">
        <v>118</v>
      </c>
      <c r="AZ1" s="10">
        <v>119</v>
      </c>
      <c r="BA1" s="10">
        <v>120</v>
      </c>
      <c r="BB1" s="10">
        <v>121</v>
      </c>
      <c r="BC1" s="10">
        <v>122</v>
      </c>
      <c r="BD1" s="10">
        <v>123</v>
      </c>
      <c r="BE1" s="10">
        <v>124</v>
      </c>
      <c r="BF1" s="10">
        <v>125</v>
      </c>
      <c r="BG1" s="10">
        <v>126</v>
      </c>
      <c r="BH1" s="10">
        <v>127</v>
      </c>
      <c r="BI1" s="10">
        <v>128</v>
      </c>
      <c r="BJ1" s="10">
        <v>129</v>
      </c>
      <c r="BK1" s="10">
        <v>130</v>
      </c>
      <c r="BL1" s="10">
        <v>131</v>
      </c>
      <c r="BM1" s="10">
        <v>132</v>
      </c>
      <c r="BN1" s="10">
        <v>133</v>
      </c>
      <c r="BO1" s="10">
        <v>134</v>
      </c>
      <c r="BP1" s="10">
        <v>135</v>
      </c>
      <c r="BQ1" s="10">
        <v>136</v>
      </c>
      <c r="BR1" s="10">
        <v>137</v>
      </c>
      <c r="BS1" s="10">
        <v>138</v>
      </c>
      <c r="BT1" s="10">
        <v>139</v>
      </c>
      <c r="BU1" s="10">
        <v>140</v>
      </c>
      <c r="BV1" s="10">
        <v>141</v>
      </c>
      <c r="BW1" s="10">
        <v>142</v>
      </c>
      <c r="BX1" s="10">
        <v>143</v>
      </c>
      <c r="BY1" s="10">
        <v>144</v>
      </c>
      <c r="BZ1" s="10">
        <v>145</v>
      </c>
      <c r="CA1" s="10">
        <v>146</v>
      </c>
      <c r="CB1" s="10">
        <v>147</v>
      </c>
      <c r="CC1" s="10">
        <v>148</v>
      </c>
      <c r="CD1" s="10">
        <v>149</v>
      </c>
      <c r="CE1" s="10">
        <v>150</v>
      </c>
      <c r="CF1" s="10">
        <v>151</v>
      </c>
      <c r="CG1" s="10">
        <v>152</v>
      </c>
      <c r="CH1" s="10">
        <v>153</v>
      </c>
      <c r="CI1" s="10">
        <v>154</v>
      </c>
      <c r="CJ1" s="10">
        <v>155</v>
      </c>
      <c r="CK1" s="10">
        <v>156</v>
      </c>
      <c r="CL1" s="10">
        <v>157</v>
      </c>
      <c r="CM1" s="10">
        <v>158</v>
      </c>
      <c r="CN1" s="10">
        <v>159</v>
      </c>
      <c r="CO1" s="10">
        <v>160</v>
      </c>
      <c r="CP1" s="10">
        <v>161</v>
      </c>
      <c r="CQ1" s="10">
        <v>162</v>
      </c>
      <c r="CR1" s="10">
        <v>163</v>
      </c>
      <c r="CS1" s="10">
        <v>164</v>
      </c>
      <c r="CT1" s="10">
        <v>165</v>
      </c>
      <c r="CU1" s="10">
        <v>166</v>
      </c>
      <c r="CV1" s="10">
        <v>167</v>
      </c>
      <c r="CW1" s="10">
        <v>168</v>
      </c>
      <c r="CX1" s="10">
        <v>169</v>
      </c>
      <c r="CY1" s="10">
        <v>170</v>
      </c>
      <c r="CZ1" s="10">
        <v>171</v>
      </c>
      <c r="DA1" s="10">
        <v>172</v>
      </c>
      <c r="DB1" s="10">
        <v>173</v>
      </c>
      <c r="DC1" s="10">
        <v>174</v>
      </c>
      <c r="DD1" s="10">
        <v>175</v>
      </c>
      <c r="DE1" s="10">
        <v>176</v>
      </c>
      <c r="DF1" s="10">
        <v>177</v>
      </c>
      <c r="DG1" s="10">
        <v>178</v>
      </c>
      <c r="DH1" s="10">
        <v>179</v>
      </c>
      <c r="DI1" s="10">
        <v>180</v>
      </c>
      <c r="DJ1" s="10">
        <v>181</v>
      </c>
      <c r="DK1" s="10">
        <v>182</v>
      </c>
      <c r="DL1" s="10">
        <v>183</v>
      </c>
      <c r="DM1" s="10">
        <v>184</v>
      </c>
      <c r="DN1" s="10">
        <v>185</v>
      </c>
      <c r="DO1" s="10">
        <v>186</v>
      </c>
      <c r="DP1" s="10">
        <v>187</v>
      </c>
      <c r="DQ1" s="10">
        <v>188</v>
      </c>
      <c r="DR1" s="10">
        <v>189</v>
      </c>
      <c r="DS1" s="10">
        <v>190</v>
      </c>
      <c r="DT1" s="10">
        <v>191</v>
      </c>
      <c r="DU1" s="10">
        <v>192</v>
      </c>
      <c r="DV1" s="10">
        <v>193</v>
      </c>
      <c r="DW1" s="10">
        <v>194</v>
      </c>
      <c r="DX1" s="10">
        <v>195</v>
      </c>
      <c r="DY1" s="10">
        <v>196</v>
      </c>
      <c r="DZ1" s="10">
        <v>197</v>
      </c>
      <c r="EA1" s="10">
        <v>198</v>
      </c>
      <c r="EB1" s="10">
        <v>199</v>
      </c>
      <c r="EC1" s="10">
        <v>200</v>
      </c>
      <c r="ED1" s="10">
        <v>201</v>
      </c>
      <c r="EE1" s="10">
        <v>241</v>
      </c>
      <c r="EF1" s="10">
        <v>1000</v>
      </c>
      <c r="EG1" s="10"/>
      <c r="EH1" s="10"/>
      <c r="EI1" s="10"/>
      <c r="EJ1" s="10"/>
      <c r="EK1" s="10"/>
      <c r="EL1" s="10"/>
    </row>
    <row r="2" ht="15">
      <c r="A2" s="7" t="s">
        <v>2894</v>
      </c>
      <c r="B2" s="10">
        <v>1</v>
      </c>
      <c r="C2" s="10">
        <v>1</v>
      </c>
      <c r="D2" s="10"/>
      <c r="E2" s="10">
        <v>2</v>
      </c>
      <c r="F2" s="10"/>
      <c r="G2" s="10"/>
      <c r="H2" s="10">
        <v>1</v>
      </c>
      <c r="I2" s="10">
        <v>1</v>
      </c>
      <c r="J2" s="10">
        <v>3</v>
      </c>
      <c r="K2" s="10">
        <v>7</v>
      </c>
      <c r="L2" s="10">
        <v>3</v>
      </c>
      <c r="M2" s="10">
        <v>1</v>
      </c>
      <c r="N2" s="10">
        <v>4</v>
      </c>
      <c r="O2" s="10">
        <v>2</v>
      </c>
      <c r="P2" s="10">
        <v>7</v>
      </c>
      <c r="Q2" s="10">
        <v>4</v>
      </c>
      <c r="R2" s="10">
        <v>4</v>
      </c>
      <c r="S2" s="10">
        <v>8</v>
      </c>
      <c r="T2" s="10">
        <v>1</v>
      </c>
      <c r="U2" s="10">
        <v>7</v>
      </c>
      <c r="V2" s="10">
        <v>5</v>
      </c>
      <c r="W2" s="10">
        <v>9</v>
      </c>
      <c r="X2" s="10">
        <v>6</v>
      </c>
      <c r="Y2" s="10">
        <v>4</v>
      </c>
      <c r="Z2" s="10">
        <v>1</v>
      </c>
      <c r="AA2" s="10">
        <v>7</v>
      </c>
      <c r="AB2" s="10">
        <v>4</v>
      </c>
      <c r="AC2" s="10">
        <v>11</v>
      </c>
      <c r="AD2" s="10">
        <v>20</v>
      </c>
      <c r="AE2" s="10">
        <v>17</v>
      </c>
      <c r="AF2" s="10">
        <v>39</v>
      </c>
      <c r="AG2" s="10">
        <v>59</v>
      </c>
      <c r="AH2" s="10">
        <v>88</v>
      </c>
      <c r="AI2" s="10">
        <v>63</v>
      </c>
      <c r="AJ2" s="10">
        <v>67</v>
      </c>
      <c r="AK2" s="10">
        <v>113</v>
      </c>
      <c r="AL2" s="10">
        <v>120</v>
      </c>
      <c r="AM2" s="10">
        <v>147</v>
      </c>
      <c r="AN2" s="10">
        <v>299</v>
      </c>
      <c r="AO2" s="10">
        <v>396</v>
      </c>
      <c r="AP2" s="10">
        <v>415</v>
      </c>
      <c r="AQ2" s="10">
        <v>425</v>
      </c>
      <c r="AR2" s="10">
        <v>251</v>
      </c>
      <c r="AS2" s="10">
        <v>289</v>
      </c>
      <c r="AT2" s="10">
        <v>293</v>
      </c>
      <c r="AU2" s="10">
        <v>374</v>
      </c>
      <c r="AV2" s="10">
        <v>439</v>
      </c>
      <c r="AW2" s="10">
        <v>336</v>
      </c>
      <c r="AX2" s="10">
        <v>329</v>
      </c>
      <c r="AY2" s="10">
        <v>491</v>
      </c>
      <c r="AZ2" s="10">
        <v>543</v>
      </c>
      <c r="BA2" s="10">
        <v>780</v>
      </c>
      <c r="BB2" s="10">
        <v>758</v>
      </c>
      <c r="BC2" s="10">
        <v>859</v>
      </c>
      <c r="BD2" s="10">
        <v>1155</v>
      </c>
      <c r="BE2" s="10">
        <v>1211</v>
      </c>
      <c r="BF2" s="10">
        <v>1317</v>
      </c>
      <c r="BG2" s="10">
        <v>1773</v>
      </c>
      <c r="BH2" s="10">
        <v>1670</v>
      </c>
      <c r="BI2" s="10">
        <v>2031</v>
      </c>
      <c r="BJ2" s="10">
        <v>2413</v>
      </c>
      <c r="BK2" s="10">
        <v>3205</v>
      </c>
      <c r="BL2" s="10">
        <v>3176</v>
      </c>
      <c r="BM2" s="10">
        <v>3765</v>
      </c>
      <c r="BN2" s="10">
        <v>3969</v>
      </c>
      <c r="BO2" s="10">
        <v>4382</v>
      </c>
      <c r="BP2" s="10">
        <v>3989</v>
      </c>
      <c r="BQ2" s="10">
        <v>3431</v>
      </c>
      <c r="BR2" s="10">
        <v>3447</v>
      </c>
      <c r="BS2" s="10">
        <v>3719</v>
      </c>
      <c r="BT2" s="10">
        <v>3591</v>
      </c>
      <c r="BU2" s="10">
        <v>3275</v>
      </c>
      <c r="BV2" s="10">
        <v>2942</v>
      </c>
      <c r="BW2" s="10">
        <v>2865</v>
      </c>
      <c r="BX2" s="10">
        <v>2796</v>
      </c>
      <c r="BY2" s="10">
        <v>3266</v>
      </c>
      <c r="BZ2" s="10">
        <v>3827</v>
      </c>
      <c r="CA2" s="10">
        <v>3876</v>
      </c>
      <c r="CB2" s="10">
        <v>4053</v>
      </c>
      <c r="CC2" s="10">
        <v>3797</v>
      </c>
      <c r="CD2" s="10">
        <v>3826</v>
      </c>
      <c r="CE2" s="10">
        <v>3450</v>
      </c>
      <c r="CF2" s="10">
        <v>2597</v>
      </c>
      <c r="CG2" s="10">
        <v>2832</v>
      </c>
      <c r="CH2" s="10">
        <v>2316</v>
      </c>
      <c r="CI2" s="10">
        <v>2234</v>
      </c>
      <c r="CJ2" s="10">
        <v>1846</v>
      </c>
      <c r="CK2" s="10">
        <v>1907</v>
      </c>
      <c r="CL2" s="10">
        <v>1854</v>
      </c>
      <c r="CM2" s="10">
        <v>1571</v>
      </c>
      <c r="CN2" s="10">
        <v>2028</v>
      </c>
      <c r="CO2" s="10">
        <v>1682</v>
      </c>
      <c r="CP2" s="10">
        <v>1553</v>
      </c>
      <c r="CQ2" s="10">
        <v>1794</v>
      </c>
      <c r="CR2" s="10">
        <v>1376</v>
      </c>
      <c r="CS2" s="10">
        <v>1373</v>
      </c>
      <c r="CT2" s="10">
        <v>1275</v>
      </c>
      <c r="CU2" s="10">
        <v>1193</v>
      </c>
      <c r="CV2" s="10">
        <v>1190</v>
      </c>
      <c r="CW2" s="10">
        <v>1122</v>
      </c>
      <c r="CX2" s="10">
        <v>975</v>
      </c>
      <c r="CY2" s="10">
        <v>896</v>
      </c>
      <c r="CZ2" s="10">
        <v>777</v>
      </c>
      <c r="DA2" s="10">
        <v>761</v>
      </c>
      <c r="DB2" s="10">
        <v>775</v>
      </c>
      <c r="DC2" s="10">
        <v>821</v>
      </c>
      <c r="DD2" s="10">
        <v>685</v>
      </c>
      <c r="DE2" s="10">
        <v>546</v>
      </c>
      <c r="DF2" s="10">
        <v>544</v>
      </c>
      <c r="DG2" s="10">
        <v>463</v>
      </c>
      <c r="DH2" s="10">
        <v>431</v>
      </c>
      <c r="DI2" s="10">
        <v>304</v>
      </c>
      <c r="DJ2" s="10">
        <v>161</v>
      </c>
      <c r="DK2" s="10">
        <v>68</v>
      </c>
      <c r="DL2" s="10">
        <v>55</v>
      </c>
      <c r="DM2" s="10">
        <v>74</v>
      </c>
      <c r="DN2" s="10">
        <v>66</v>
      </c>
      <c r="DO2" s="10">
        <v>34</v>
      </c>
      <c r="DP2" s="10">
        <v>37</v>
      </c>
      <c r="DQ2" s="10">
        <v>26</v>
      </c>
      <c r="DR2" s="10">
        <v>27</v>
      </c>
      <c r="DS2" s="10">
        <v>31</v>
      </c>
      <c r="DT2" s="10">
        <v>33</v>
      </c>
      <c r="DU2" s="10">
        <v>7</v>
      </c>
      <c r="DV2" s="10">
        <v>4</v>
      </c>
      <c r="DW2" s="10">
        <v>2</v>
      </c>
      <c r="DX2" s="10">
        <v>7</v>
      </c>
      <c r="DY2" s="10">
        <v>3</v>
      </c>
      <c r="DZ2" s="10">
        <v>4</v>
      </c>
      <c r="EA2" s="10">
        <v>3</v>
      </c>
      <c r="EB2" s="10">
        <v>2</v>
      </c>
      <c r="EC2" s="10"/>
      <c r="ED2" s="10"/>
      <c r="EE2" s="10">
        <v>859</v>
      </c>
      <c r="EF2" s="10">
        <v>859</v>
      </c>
      <c r="EG2" s="10"/>
      <c r="EH2" s="10"/>
      <c r="EI2" s="10"/>
      <c r="EJ2" s="10"/>
      <c r="EK2" s="10"/>
      <c r="EL2" s="10"/>
    </row>
    <row r="3" ht="15">
      <c r="A3" s="6" t="s">
        <v>1343</v>
      </c>
      <c r="B3" s="6">
        <f t="shared" ref="B3:B6" si="74">SUM(C3:CF3)</f>
        <v>883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0">
        <v>1</v>
      </c>
      <c r="AE3" s="6"/>
      <c r="AF3" s="6"/>
      <c r="AG3" s="6"/>
      <c r="AH3" s="10">
        <v>1</v>
      </c>
      <c r="AI3" s="6"/>
      <c r="AJ3" s="6"/>
      <c r="AK3" s="6"/>
      <c r="AL3" s="6"/>
      <c r="AM3" s="6"/>
      <c r="AN3" s="6"/>
      <c r="AO3" s="6"/>
      <c r="AP3" s="6"/>
      <c r="AQ3" s="6"/>
      <c r="AR3" s="10">
        <v>5</v>
      </c>
      <c r="AS3" s="10">
        <v>3</v>
      </c>
      <c r="AT3" s="10">
        <v>1</v>
      </c>
      <c r="AU3" s="10">
        <v>1</v>
      </c>
      <c r="AV3" s="6"/>
      <c r="AW3" s="10">
        <v>2</v>
      </c>
      <c r="AX3" s="10">
        <v>10</v>
      </c>
      <c r="AY3" s="10">
        <v>7</v>
      </c>
      <c r="AZ3" s="10">
        <v>4</v>
      </c>
      <c r="BA3" s="10">
        <v>7</v>
      </c>
      <c r="BB3" s="10">
        <v>23</v>
      </c>
      <c r="BC3" s="10">
        <v>7</v>
      </c>
      <c r="BD3" s="10">
        <v>11</v>
      </c>
      <c r="BE3" s="10">
        <v>34</v>
      </c>
      <c r="BF3" s="10">
        <v>40</v>
      </c>
      <c r="BG3" s="10">
        <v>63</v>
      </c>
      <c r="BH3" s="10">
        <v>77</v>
      </c>
      <c r="BI3" s="10">
        <v>35</v>
      </c>
      <c r="BJ3" s="10">
        <v>24</v>
      </c>
      <c r="BK3" s="10">
        <v>43</v>
      </c>
      <c r="BL3" s="10">
        <v>52</v>
      </c>
      <c r="BM3" s="10">
        <v>28</v>
      </c>
      <c r="BN3" s="10">
        <v>39</v>
      </c>
      <c r="BO3" s="10">
        <v>36</v>
      </c>
      <c r="BP3" s="10">
        <v>24</v>
      </c>
      <c r="BQ3" s="10">
        <v>21</v>
      </c>
      <c r="BR3" s="10">
        <v>27</v>
      </c>
      <c r="BS3" s="10">
        <v>24</v>
      </c>
      <c r="BT3" s="10">
        <v>41</v>
      </c>
      <c r="BU3" s="10">
        <v>21</v>
      </c>
      <c r="BV3" s="10">
        <v>41</v>
      </c>
      <c r="BW3" s="10">
        <v>30</v>
      </c>
      <c r="BX3" s="10">
        <v>19</v>
      </c>
      <c r="BY3" s="10">
        <v>20</v>
      </c>
      <c r="BZ3" s="10">
        <v>10</v>
      </c>
      <c r="CA3" s="10">
        <v>6</v>
      </c>
      <c r="CB3" s="10">
        <v>5</v>
      </c>
      <c r="CC3" s="10">
        <v>8</v>
      </c>
      <c r="CD3" s="10">
        <v>10</v>
      </c>
      <c r="CE3" s="10">
        <v>10</v>
      </c>
      <c r="CF3" s="10">
        <v>12</v>
      </c>
      <c r="CG3" s="10">
        <v>11</v>
      </c>
      <c r="CH3" s="10">
        <v>4</v>
      </c>
      <c r="CI3" s="10">
        <v>1</v>
      </c>
      <c r="CJ3" s="10">
        <v>2</v>
      </c>
      <c r="CK3" s="6"/>
      <c r="CL3" s="6"/>
      <c r="CM3" s="6"/>
      <c r="CN3" s="10">
        <v>1</v>
      </c>
      <c r="CO3" s="10">
        <v>1</v>
      </c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10">
        <v>1</v>
      </c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</row>
    <row r="4" ht="15">
      <c r="A4" s="6" t="s">
        <v>1919</v>
      </c>
      <c r="B4" s="6">
        <f t="shared" si="74"/>
        <v>2154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0">
        <v>1</v>
      </c>
      <c r="Q4" s="6"/>
      <c r="R4" s="6"/>
      <c r="S4" s="6"/>
      <c r="T4" s="6"/>
      <c r="U4" s="6"/>
      <c r="V4" s="6"/>
      <c r="W4" s="6"/>
      <c r="X4" s="10">
        <v>1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10">
        <v>1</v>
      </c>
      <c r="AJ4" s="10">
        <v>2</v>
      </c>
      <c r="AK4" s="10">
        <v>1</v>
      </c>
      <c r="AL4" s="10">
        <v>1</v>
      </c>
      <c r="AM4" s="10">
        <v>3</v>
      </c>
      <c r="AN4" s="6"/>
      <c r="AO4" s="10">
        <v>1</v>
      </c>
      <c r="AP4" s="10">
        <v>2</v>
      </c>
      <c r="AQ4" s="10">
        <v>9</v>
      </c>
      <c r="AR4" s="10">
        <v>17</v>
      </c>
      <c r="AS4" s="10">
        <v>5</v>
      </c>
      <c r="AT4" s="10">
        <v>6</v>
      </c>
      <c r="AU4" s="10">
        <v>6</v>
      </c>
      <c r="AV4" s="10">
        <v>7</v>
      </c>
      <c r="AW4" s="10">
        <v>5</v>
      </c>
      <c r="AX4" s="10">
        <v>6</v>
      </c>
      <c r="AY4" s="10">
        <v>4</v>
      </c>
      <c r="AZ4" s="10">
        <v>9</v>
      </c>
      <c r="BA4" s="10">
        <v>9</v>
      </c>
      <c r="BB4" s="10">
        <v>27</v>
      </c>
      <c r="BC4" s="10">
        <v>17</v>
      </c>
      <c r="BD4" s="10">
        <v>27</v>
      </c>
      <c r="BE4" s="10">
        <v>44</v>
      </c>
      <c r="BF4" s="10">
        <v>74</v>
      </c>
      <c r="BG4" s="10">
        <v>73</v>
      </c>
      <c r="BH4" s="10">
        <v>65</v>
      </c>
      <c r="BI4" s="10">
        <v>53</v>
      </c>
      <c r="BJ4" s="10">
        <v>43</v>
      </c>
      <c r="BK4" s="10">
        <v>69</v>
      </c>
      <c r="BL4" s="10">
        <v>143</v>
      </c>
      <c r="BM4" s="10">
        <v>175</v>
      </c>
      <c r="BN4" s="10">
        <v>267</v>
      </c>
      <c r="BO4" s="10">
        <v>278</v>
      </c>
      <c r="BP4" s="10">
        <v>221</v>
      </c>
      <c r="BQ4" s="10">
        <v>169</v>
      </c>
      <c r="BR4" s="10">
        <v>69</v>
      </c>
      <c r="BS4" s="10">
        <v>85</v>
      </c>
      <c r="BT4" s="10">
        <v>78</v>
      </c>
      <c r="BU4" s="10">
        <v>58</v>
      </c>
      <c r="BV4" s="10">
        <v>23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</row>
    <row r="5" ht="15">
      <c r="A5" s="6" t="s">
        <v>1079</v>
      </c>
      <c r="B5" s="6">
        <f t="shared" si="74"/>
        <v>2280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10">
        <v>7</v>
      </c>
      <c r="AP5" s="10">
        <v>1</v>
      </c>
      <c r="AQ5" s="6"/>
      <c r="AR5" s="10">
        <v>1</v>
      </c>
      <c r="AS5" s="10">
        <v>1</v>
      </c>
      <c r="AT5" s="10">
        <v>1</v>
      </c>
      <c r="AU5" s="10">
        <v>1</v>
      </c>
      <c r="AV5" s="10">
        <v>3</v>
      </c>
      <c r="AW5" s="6"/>
      <c r="AX5" s="6"/>
      <c r="AY5" s="10">
        <v>1</v>
      </c>
      <c r="AZ5" s="6"/>
      <c r="BA5" s="10">
        <v>1</v>
      </c>
      <c r="BB5" s="10">
        <v>3</v>
      </c>
      <c r="BC5" s="10">
        <v>1</v>
      </c>
      <c r="BD5" s="10">
        <v>4</v>
      </c>
      <c r="BE5" s="10">
        <v>5</v>
      </c>
      <c r="BF5" s="10">
        <v>11</v>
      </c>
      <c r="BG5" s="10">
        <v>5</v>
      </c>
      <c r="BH5" s="10">
        <v>11</v>
      </c>
      <c r="BI5" s="10">
        <v>3</v>
      </c>
      <c r="BJ5" s="10">
        <v>15</v>
      </c>
      <c r="BK5" s="10">
        <v>13</v>
      </c>
      <c r="BL5" s="10">
        <v>16</v>
      </c>
      <c r="BM5" s="10">
        <v>19</v>
      </c>
      <c r="BN5" s="10">
        <v>50</v>
      </c>
      <c r="BO5" s="10">
        <v>46</v>
      </c>
      <c r="BP5" s="10">
        <v>68</v>
      </c>
      <c r="BQ5" s="10">
        <v>49</v>
      </c>
      <c r="BR5" s="10">
        <v>26</v>
      </c>
      <c r="BS5" s="10">
        <v>38</v>
      </c>
      <c r="BT5" s="10">
        <v>50</v>
      </c>
      <c r="BU5" s="10">
        <v>42</v>
      </c>
      <c r="BV5" s="10">
        <v>121</v>
      </c>
      <c r="BW5" s="10">
        <v>110</v>
      </c>
      <c r="BX5" s="10">
        <v>128</v>
      </c>
      <c r="BY5" s="10">
        <v>201</v>
      </c>
      <c r="BZ5" s="10">
        <v>196</v>
      </c>
      <c r="CA5" s="10">
        <v>142</v>
      </c>
      <c r="CB5" s="10">
        <v>133</v>
      </c>
      <c r="CC5" s="10">
        <v>243</v>
      </c>
      <c r="CD5" s="10">
        <v>177</v>
      </c>
      <c r="CE5" s="10">
        <v>197</v>
      </c>
      <c r="CF5" s="10">
        <v>140</v>
      </c>
      <c r="CG5" s="10">
        <v>130</v>
      </c>
      <c r="CH5" s="10">
        <v>256</v>
      </c>
      <c r="CI5" s="10">
        <v>254</v>
      </c>
      <c r="CJ5" s="10">
        <v>216</v>
      </c>
      <c r="CK5" s="10">
        <v>187</v>
      </c>
      <c r="CL5" s="10">
        <v>175</v>
      </c>
      <c r="CM5" s="10">
        <v>155</v>
      </c>
      <c r="CN5" s="10">
        <v>77</v>
      </c>
      <c r="CO5" s="10">
        <v>427</v>
      </c>
      <c r="CP5" s="10">
        <v>164</v>
      </c>
      <c r="CQ5" s="10">
        <v>210</v>
      </c>
      <c r="CR5" s="10">
        <v>261</v>
      </c>
      <c r="CS5" s="10">
        <v>171</v>
      </c>
      <c r="CT5" s="10">
        <v>123</v>
      </c>
      <c r="CU5" s="10">
        <v>91</v>
      </c>
      <c r="CV5" s="10">
        <v>45</v>
      </c>
      <c r="CW5" s="10">
        <v>45</v>
      </c>
      <c r="CX5" s="10">
        <v>26</v>
      </c>
      <c r="CY5" s="10">
        <v>16</v>
      </c>
      <c r="CZ5" s="10">
        <v>13</v>
      </c>
      <c r="DA5" s="10">
        <v>14</v>
      </c>
      <c r="DB5" s="10">
        <v>14</v>
      </c>
      <c r="DC5" s="10">
        <v>12</v>
      </c>
      <c r="DD5" s="10">
        <v>13</v>
      </c>
      <c r="DE5" s="10">
        <v>3</v>
      </c>
      <c r="DF5" s="10">
        <v>18</v>
      </c>
      <c r="DG5" s="10">
        <v>34</v>
      </c>
      <c r="DH5" s="10">
        <v>19</v>
      </c>
      <c r="DI5" s="10">
        <v>13</v>
      </c>
      <c r="DJ5" s="10">
        <v>6</v>
      </c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</row>
    <row r="6" ht="15">
      <c r="A6" s="6" t="s">
        <v>1127</v>
      </c>
      <c r="B6" s="6">
        <f t="shared" si="74"/>
        <v>2594</v>
      </c>
      <c r="C6" s="6"/>
      <c r="D6" s="6"/>
      <c r="E6" s="6"/>
      <c r="F6" s="6"/>
      <c r="G6" s="6"/>
      <c r="H6" s="6"/>
      <c r="I6" s="6"/>
      <c r="J6" s="6"/>
      <c r="K6" s="6"/>
      <c r="L6" s="6"/>
      <c r="M6" s="10">
        <v>1</v>
      </c>
      <c r="N6" s="6"/>
      <c r="O6" s="6"/>
      <c r="P6" s="6"/>
      <c r="Q6" s="10">
        <v>3</v>
      </c>
      <c r="R6" s="10">
        <v>2</v>
      </c>
      <c r="S6" s="10">
        <v>2</v>
      </c>
      <c r="T6" s="10">
        <v>1</v>
      </c>
      <c r="U6" s="10">
        <v>1</v>
      </c>
      <c r="V6" s="10">
        <v>4</v>
      </c>
      <c r="W6" s="10">
        <v>2</v>
      </c>
      <c r="X6" s="10">
        <v>5</v>
      </c>
      <c r="Y6" s="10">
        <v>2</v>
      </c>
      <c r="Z6" s="10">
        <v>1</v>
      </c>
      <c r="AA6" s="6"/>
      <c r="AB6" s="10">
        <v>1</v>
      </c>
      <c r="AC6" s="6"/>
      <c r="AD6" s="10">
        <v>2</v>
      </c>
      <c r="AE6" s="6"/>
      <c r="AF6" s="10">
        <v>6</v>
      </c>
      <c r="AG6" s="6"/>
      <c r="AH6" s="6"/>
      <c r="AI6" s="6"/>
      <c r="AJ6" s="10">
        <v>5</v>
      </c>
      <c r="AK6" s="6"/>
      <c r="AL6" s="6"/>
      <c r="AM6" s="10">
        <v>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10">
        <v>1</v>
      </c>
      <c r="AY6" s="6"/>
      <c r="AZ6" s="6"/>
      <c r="BA6" s="10">
        <v>1</v>
      </c>
      <c r="BB6" s="10">
        <v>1</v>
      </c>
      <c r="BC6" s="10">
        <v>1</v>
      </c>
      <c r="BD6" s="6"/>
      <c r="BE6" s="10">
        <v>9</v>
      </c>
      <c r="BF6" s="10">
        <v>6</v>
      </c>
      <c r="BG6" s="10">
        <v>9</v>
      </c>
      <c r="BH6" s="10">
        <v>17</v>
      </c>
      <c r="BI6" s="10">
        <v>30</v>
      </c>
      <c r="BJ6" s="10">
        <v>13</v>
      </c>
      <c r="BK6" s="10">
        <v>25</v>
      </c>
      <c r="BL6" s="10">
        <v>30</v>
      </c>
      <c r="BM6" s="10">
        <v>28</v>
      </c>
      <c r="BN6" s="10">
        <v>50</v>
      </c>
      <c r="BO6" s="10">
        <v>84</v>
      </c>
      <c r="BP6" s="10">
        <v>62</v>
      </c>
      <c r="BQ6" s="10">
        <v>74</v>
      </c>
      <c r="BR6" s="10">
        <v>71</v>
      </c>
      <c r="BS6" s="10">
        <v>91</v>
      </c>
      <c r="BT6" s="10">
        <v>104</v>
      </c>
      <c r="BU6" s="10">
        <v>147</v>
      </c>
      <c r="BV6" s="10">
        <v>158</v>
      </c>
      <c r="BW6" s="10">
        <v>130</v>
      </c>
      <c r="BX6" s="10">
        <v>117</v>
      </c>
      <c r="BY6" s="10">
        <v>114</v>
      </c>
      <c r="BZ6" s="10">
        <v>96</v>
      </c>
      <c r="CA6" s="10">
        <v>135</v>
      </c>
      <c r="CB6" s="10">
        <v>173</v>
      </c>
      <c r="CC6" s="10">
        <v>205</v>
      </c>
      <c r="CD6" s="10">
        <v>168</v>
      </c>
      <c r="CE6" s="10">
        <v>245</v>
      </c>
      <c r="CF6" s="10">
        <v>160</v>
      </c>
      <c r="CG6" s="10">
        <v>137</v>
      </c>
      <c r="CH6" s="10">
        <v>181</v>
      </c>
      <c r="CI6" s="10">
        <v>151</v>
      </c>
      <c r="CJ6" s="10">
        <v>145</v>
      </c>
      <c r="CK6" s="10">
        <v>157</v>
      </c>
      <c r="CL6" s="10">
        <v>140</v>
      </c>
      <c r="CM6" s="10">
        <v>121</v>
      </c>
      <c r="CN6" s="10">
        <v>90</v>
      </c>
      <c r="CO6" s="10">
        <v>84</v>
      </c>
      <c r="CP6" s="10">
        <v>69</v>
      </c>
      <c r="CQ6" s="10">
        <v>86</v>
      </c>
      <c r="CR6" s="10">
        <v>98</v>
      </c>
      <c r="CS6" s="10">
        <v>45</v>
      </c>
      <c r="CT6" s="10">
        <v>56</v>
      </c>
      <c r="CU6" s="10">
        <v>47</v>
      </c>
      <c r="CV6" s="10">
        <v>88</v>
      </c>
      <c r="CW6" s="10">
        <v>50</v>
      </c>
      <c r="CX6" s="10">
        <v>40</v>
      </c>
      <c r="CY6" s="10">
        <v>41</v>
      </c>
      <c r="CZ6" s="10">
        <v>38</v>
      </c>
      <c r="DA6" s="10">
        <v>27</v>
      </c>
      <c r="DB6" s="10">
        <v>34</v>
      </c>
      <c r="DC6" s="10">
        <v>31</v>
      </c>
      <c r="DD6" s="10">
        <v>26</v>
      </c>
      <c r="DE6" s="10">
        <v>23</v>
      </c>
      <c r="DF6" s="10">
        <v>21</v>
      </c>
      <c r="DG6" s="10">
        <v>7</v>
      </c>
      <c r="DH6" s="10">
        <v>4</v>
      </c>
      <c r="DI6" s="10">
        <v>6</v>
      </c>
      <c r="DJ6" s="10">
        <v>1</v>
      </c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</row>
    <row r="8" ht="15">
      <c r="A8" s="1" t="s">
        <v>2895</v>
      </c>
      <c r="B8" s="10">
        <v>1</v>
      </c>
      <c r="C8" s="10">
        <v>1</v>
      </c>
      <c r="D8" s="10">
        <v>1</v>
      </c>
      <c r="E8" s="10">
        <v>2</v>
      </c>
      <c r="F8" s="10">
        <v>1</v>
      </c>
      <c r="G8" s="10">
        <v>1</v>
      </c>
      <c r="H8" s="10">
        <v>1</v>
      </c>
      <c r="I8" s="10">
        <v>2</v>
      </c>
      <c r="J8" s="10">
        <v>7</v>
      </c>
      <c r="K8" s="10">
        <v>18</v>
      </c>
      <c r="L8" s="10">
        <v>4</v>
      </c>
      <c r="M8" s="10">
        <v>4</v>
      </c>
      <c r="N8" s="10">
        <v>4</v>
      </c>
      <c r="O8" s="10">
        <v>4</v>
      </c>
      <c r="P8" s="10">
        <v>9</v>
      </c>
      <c r="Q8" s="10">
        <v>12</v>
      </c>
      <c r="R8" s="10">
        <v>5</v>
      </c>
      <c r="S8" s="10">
        <v>10</v>
      </c>
      <c r="T8" s="10">
        <v>1</v>
      </c>
      <c r="U8" s="10">
        <v>13</v>
      </c>
      <c r="V8" s="10">
        <v>19</v>
      </c>
      <c r="W8" s="10">
        <v>15</v>
      </c>
      <c r="X8" s="10">
        <v>9</v>
      </c>
      <c r="Y8" s="10">
        <v>6</v>
      </c>
      <c r="Z8" s="10">
        <v>4</v>
      </c>
      <c r="AA8" s="10">
        <v>11</v>
      </c>
      <c r="AB8" s="10">
        <v>14</v>
      </c>
      <c r="AC8" s="10">
        <v>22</v>
      </c>
      <c r="AD8" s="10">
        <v>45</v>
      </c>
      <c r="AE8" s="10">
        <v>40</v>
      </c>
      <c r="AF8" s="10">
        <v>55</v>
      </c>
      <c r="AG8" s="10">
        <v>101</v>
      </c>
      <c r="AH8" s="10">
        <v>145</v>
      </c>
      <c r="AI8" s="10">
        <v>134</v>
      </c>
      <c r="AJ8" s="10">
        <v>171</v>
      </c>
      <c r="AK8" s="10">
        <v>237</v>
      </c>
      <c r="AL8" s="10">
        <v>205</v>
      </c>
      <c r="AM8" s="10">
        <v>246</v>
      </c>
      <c r="AN8" s="10">
        <v>432</v>
      </c>
      <c r="AO8" s="10">
        <v>608</v>
      </c>
      <c r="AP8" s="10">
        <v>597</v>
      </c>
      <c r="AQ8" s="10">
        <v>643</v>
      </c>
      <c r="AR8" s="10">
        <v>466</v>
      </c>
      <c r="AS8" s="10">
        <v>432</v>
      </c>
      <c r="AT8" s="10">
        <v>474</v>
      </c>
      <c r="AU8" s="10">
        <v>591</v>
      </c>
      <c r="AV8" s="10">
        <v>657</v>
      </c>
      <c r="AW8" s="10">
        <v>540</v>
      </c>
      <c r="AX8" s="10">
        <v>537</v>
      </c>
      <c r="AY8" s="10">
        <v>764</v>
      </c>
      <c r="AZ8" s="10">
        <v>880</v>
      </c>
      <c r="BA8" s="10">
        <v>1399</v>
      </c>
      <c r="BB8" s="10">
        <v>1404</v>
      </c>
      <c r="BC8" s="10">
        <v>2000</v>
      </c>
      <c r="BD8" s="10">
        <v>2355</v>
      </c>
      <c r="BE8" s="10">
        <v>2762</v>
      </c>
      <c r="BF8" s="10">
        <v>3341</v>
      </c>
      <c r="BG8" s="10">
        <v>4317</v>
      </c>
      <c r="BH8" s="10">
        <v>4243</v>
      </c>
      <c r="BI8" s="10">
        <v>5300</v>
      </c>
      <c r="BJ8" s="10">
        <v>6177</v>
      </c>
      <c r="BK8" s="10">
        <v>8170</v>
      </c>
      <c r="BL8" s="10">
        <v>7952</v>
      </c>
      <c r="BM8" s="10">
        <v>10296</v>
      </c>
      <c r="BN8" s="10">
        <v>12274</v>
      </c>
      <c r="BO8" s="10">
        <v>15276</v>
      </c>
      <c r="BP8" s="10">
        <v>15419</v>
      </c>
      <c r="BQ8" s="10">
        <v>16467</v>
      </c>
      <c r="BR8" s="10">
        <v>16466</v>
      </c>
      <c r="BS8" s="10">
        <v>17749</v>
      </c>
      <c r="BT8" s="10">
        <v>16958</v>
      </c>
      <c r="BU8" s="10">
        <v>13937</v>
      </c>
      <c r="BV8" s="10">
        <v>15324</v>
      </c>
      <c r="BW8" s="10">
        <v>14270</v>
      </c>
      <c r="BX8" s="10">
        <v>13480</v>
      </c>
      <c r="BY8" s="10">
        <v>14850</v>
      </c>
      <c r="BZ8" s="10">
        <v>16560</v>
      </c>
      <c r="CA8" s="10">
        <v>15321</v>
      </c>
      <c r="CB8" s="10">
        <v>16556</v>
      </c>
      <c r="CC8" s="10">
        <v>15542</v>
      </c>
      <c r="CD8" s="10">
        <v>15179</v>
      </c>
      <c r="CE8" s="10">
        <v>15822</v>
      </c>
      <c r="CF8" s="10">
        <v>15345</v>
      </c>
      <c r="CG8" s="10">
        <v>16796</v>
      </c>
      <c r="CH8" s="10">
        <v>7890</v>
      </c>
      <c r="CI8" s="10">
        <v>5757</v>
      </c>
      <c r="CJ8" s="10">
        <v>5826</v>
      </c>
      <c r="CK8" s="10">
        <v>5843</v>
      </c>
      <c r="CL8" s="10">
        <v>5855</v>
      </c>
      <c r="CM8" s="10">
        <v>4780</v>
      </c>
      <c r="CN8" s="10">
        <v>5294</v>
      </c>
      <c r="CO8" s="10">
        <v>4881</v>
      </c>
      <c r="CP8" s="10">
        <v>4932</v>
      </c>
      <c r="CQ8" s="10">
        <v>4782</v>
      </c>
      <c r="CR8" s="10">
        <v>3796</v>
      </c>
      <c r="CS8" s="10">
        <v>3608</v>
      </c>
      <c r="CT8" s="10">
        <v>3370</v>
      </c>
      <c r="CU8" s="10">
        <v>3262</v>
      </c>
      <c r="CV8" s="10">
        <v>3428</v>
      </c>
      <c r="CW8" s="10">
        <v>3032</v>
      </c>
      <c r="CX8" s="10">
        <v>2801</v>
      </c>
      <c r="CY8" s="10">
        <v>2614</v>
      </c>
      <c r="CZ8" s="10">
        <v>2315</v>
      </c>
      <c r="DA8" s="10">
        <v>2358</v>
      </c>
      <c r="DB8" s="10">
        <v>2661</v>
      </c>
      <c r="DC8" s="10">
        <v>2636</v>
      </c>
      <c r="DD8" s="10">
        <v>2732</v>
      </c>
      <c r="DE8" s="10">
        <v>2040</v>
      </c>
      <c r="DF8" s="10">
        <v>1682</v>
      </c>
      <c r="DG8" s="10">
        <v>1498</v>
      </c>
      <c r="DH8" s="10">
        <v>1208</v>
      </c>
      <c r="DI8" s="10">
        <v>876</v>
      </c>
      <c r="DJ8" s="10">
        <v>436</v>
      </c>
      <c r="DK8" s="10">
        <v>288</v>
      </c>
      <c r="DL8" s="10">
        <v>239</v>
      </c>
      <c r="DM8" s="10">
        <v>394</v>
      </c>
      <c r="DN8" s="10">
        <v>204</v>
      </c>
      <c r="DO8" s="10">
        <v>214</v>
      </c>
      <c r="DP8" s="10">
        <v>194</v>
      </c>
      <c r="DQ8" s="10">
        <v>159</v>
      </c>
      <c r="DR8" s="10">
        <v>177</v>
      </c>
      <c r="DS8" s="10">
        <v>129</v>
      </c>
      <c r="DT8" s="10">
        <v>106</v>
      </c>
      <c r="DU8" s="10">
        <v>77</v>
      </c>
      <c r="DV8" s="10">
        <v>39</v>
      </c>
      <c r="DW8" s="10">
        <v>62</v>
      </c>
      <c r="DX8" s="10">
        <v>46</v>
      </c>
      <c r="DY8" s="10">
        <v>61</v>
      </c>
      <c r="DZ8" s="10">
        <v>54</v>
      </c>
      <c r="EA8" s="10">
        <v>27</v>
      </c>
      <c r="EB8" s="10">
        <v>37</v>
      </c>
      <c r="EC8" s="10">
        <v>14</v>
      </c>
      <c r="ED8" s="10">
        <v>5</v>
      </c>
      <c r="EE8" s="10">
        <v>1</v>
      </c>
      <c r="EF8" s="10">
        <v>7874</v>
      </c>
      <c r="EG8" s="10"/>
      <c r="EH8" s="10"/>
      <c r="EI8" s="10"/>
      <c r="EJ8" s="10"/>
      <c r="EK8" s="10"/>
      <c r="EL8" s="10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1" ySplit="1" topLeftCell="B2" activePane="bottomRight" state="frozen"/>
      <selection activeCell="B2" activeCellId="0" sqref="B2"/>
    </sheetView>
  </sheetViews>
  <sheetFormatPr defaultColWidth="14.4296875" defaultRowHeight="15" customHeight="1"/>
  <cols>
    <col customWidth="1" min="1" max="1" style="1" width="40.289999999999999"/>
    <col customWidth="1" min="2" max="2" style="1" width="7"/>
    <col customWidth="1" min="3" max="39" style="1" width="4.8600000000000003"/>
    <col customWidth="1" min="40" max="44" style="1" width="5.8600000000000003"/>
    <col customWidth="1" min="45" max="140" style="1" width="4.8600000000000003"/>
  </cols>
  <sheetData>
    <row r="1" ht="15">
      <c r="A1" s="31" t="s">
        <v>1</v>
      </c>
      <c r="B1" s="33"/>
      <c r="C1" s="33">
        <v>0</v>
      </c>
      <c r="D1" s="33">
        <v>16</v>
      </c>
      <c r="E1" s="10">
        <v>18</v>
      </c>
      <c r="F1" s="33">
        <v>47</v>
      </c>
      <c r="G1" s="10">
        <v>50</v>
      </c>
      <c r="H1" s="10">
        <v>64</v>
      </c>
      <c r="I1" s="33">
        <v>75</v>
      </c>
      <c r="J1" s="33">
        <v>76</v>
      </c>
      <c r="K1" s="33">
        <v>77</v>
      </c>
      <c r="L1" s="33">
        <v>78</v>
      </c>
      <c r="M1" s="33">
        <v>79</v>
      </c>
      <c r="N1" s="33">
        <v>80</v>
      </c>
      <c r="O1" s="33">
        <v>81</v>
      </c>
      <c r="P1" s="33">
        <v>82</v>
      </c>
      <c r="Q1" s="33">
        <v>83</v>
      </c>
      <c r="R1" s="33">
        <v>84</v>
      </c>
      <c r="S1" s="33">
        <v>85</v>
      </c>
      <c r="T1" s="33">
        <v>86</v>
      </c>
      <c r="U1" s="33">
        <v>87</v>
      </c>
      <c r="V1" s="33">
        <v>88</v>
      </c>
      <c r="W1" s="33">
        <v>89</v>
      </c>
      <c r="X1" s="33">
        <v>90</v>
      </c>
      <c r="Y1" s="33">
        <v>91</v>
      </c>
      <c r="Z1" s="33">
        <v>92</v>
      </c>
      <c r="AA1" s="33">
        <v>93</v>
      </c>
      <c r="AB1" s="33">
        <v>94</v>
      </c>
      <c r="AC1" s="33">
        <v>95</v>
      </c>
      <c r="AD1" s="33">
        <v>96</v>
      </c>
      <c r="AE1" s="33">
        <v>97</v>
      </c>
      <c r="AF1" s="33">
        <v>98</v>
      </c>
      <c r="AG1" s="33">
        <v>99</v>
      </c>
      <c r="AH1" s="33">
        <v>100</v>
      </c>
      <c r="AI1" s="33">
        <v>101</v>
      </c>
      <c r="AJ1" s="33">
        <v>102</v>
      </c>
      <c r="AK1" s="33">
        <v>103</v>
      </c>
      <c r="AL1" s="33">
        <v>104</v>
      </c>
      <c r="AM1" s="33">
        <v>105</v>
      </c>
      <c r="AN1" s="33">
        <v>106</v>
      </c>
      <c r="AO1" s="33">
        <v>107</v>
      </c>
      <c r="AP1" s="33">
        <v>108</v>
      </c>
      <c r="AQ1" s="33">
        <v>109</v>
      </c>
      <c r="AR1" s="33">
        <v>110</v>
      </c>
      <c r="AS1" s="33">
        <v>111</v>
      </c>
      <c r="AT1" s="33">
        <v>112</v>
      </c>
      <c r="AU1" s="33">
        <v>113</v>
      </c>
      <c r="AV1" s="33">
        <v>114</v>
      </c>
      <c r="AW1" s="33">
        <v>115</v>
      </c>
      <c r="AX1" s="33">
        <v>116</v>
      </c>
      <c r="AY1" s="33">
        <v>117</v>
      </c>
      <c r="AZ1" s="33">
        <v>118</v>
      </c>
      <c r="BA1" s="33">
        <v>119</v>
      </c>
      <c r="BB1" s="33">
        <v>120</v>
      </c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</row>
    <row r="2" ht="15">
      <c r="A2" s="6" t="s">
        <v>29</v>
      </c>
      <c r="B2" s="6">
        <f t="shared" ref="B2:B9" si="75">SUM(C2:BB2)</f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10">
        <v>1</v>
      </c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</row>
    <row r="3" ht="15">
      <c r="A3" s="6" t="s">
        <v>33</v>
      </c>
      <c r="B3" s="6">
        <f t="shared" si="75"/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0">
        <v>4</v>
      </c>
      <c r="AZ3" s="10">
        <v>2</v>
      </c>
      <c r="BA3" s="10">
        <v>1</v>
      </c>
      <c r="BB3" s="10">
        <v>3</v>
      </c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</row>
    <row r="4" ht="15">
      <c r="A4" s="6" t="s">
        <v>141</v>
      </c>
      <c r="B4" s="6">
        <f t="shared" si="75"/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10">
        <v>1</v>
      </c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15">
      <c r="A5" s="6" t="s">
        <v>197</v>
      </c>
      <c r="B5" s="6">
        <f t="shared" si="75"/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0">
        <v>1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</row>
    <row r="6" ht="15">
      <c r="A6" s="6" t="s">
        <v>209</v>
      </c>
      <c r="B6" s="6">
        <f t="shared" si="75"/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10">
        <v>1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</row>
    <row r="7" ht="15">
      <c r="A7" s="6" t="s">
        <v>249</v>
      </c>
      <c r="B7" s="6">
        <f t="shared" si="75"/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10">
        <v>1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</row>
    <row r="8" ht="15">
      <c r="A8" s="6" t="s">
        <v>253</v>
      </c>
      <c r="B8" s="6">
        <f t="shared" si="75"/>
        <v>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10">
        <v>1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</row>
    <row r="9" ht="15">
      <c r="A9" s="6" t="s">
        <v>257</v>
      </c>
      <c r="B9" s="6">
        <f t="shared" si="75"/>
        <v>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0">
        <v>2</v>
      </c>
      <c r="AU9" s="6"/>
      <c r="AV9" s="10">
        <v>4</v>
      </c>
      <c r="AW9" s="10">
        <v>1</v>
      </c>
      <c r="AX9" s="6"/>
      <c r="AY9" s="6"/>
      <c r="AZ9" s="10">
        <v>2</v>
      </c>
      <c r="BA9" s="10">
        <v>6</v>
      </c>
      <c r="BB9" s="10">
        <v>5</v>
      </c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15">
      <c r="A10" s="6" t="s">
        <v>269</v>
      </c>
      <c r="B10" s="6">
        <f t="shared" ref="B10:B73" si="76">SUM(C10:BB10)</f>
        <v>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10">
        <v>1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</row>
    <row r="11" ht="15">
      <c r="A11" s="6" t="s">
        <v>289</v>
      </c>
      <c r="B11" s="6">
        <f t="shared" si="76"/>
        <v>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10">
        <v>1</v>
      </c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</row>
    <row r="12" ht="15">
      <c r="A12" s="6" t="s">
        <v>325</v>
      </c>
      <c r="B12" s="6">
        <f t="shared" si="76"/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10">
        <v>1</v>
      </c>
      <c r="AW12" s="6"/>
      <c r="AX12" s="6"/>
      <c r="AY12" s="6"/>
      <c r="AZ12" s="6"/>
      <c r="BA12" s="10">
        <v>2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</row>
    <row r="13" ht="15">
      <c r="A13" s="6" t="s">
        <v>377</v>
      </c>
      <c r="B13" s="6">
        <f t="shared" si="76"/>
        <v>43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10">
        <v>1</v>
      </c>
      <c r="AS13" s="10">
        <v>1</v>
      </c>
      <c r="AT13" s="10">
        <v>1</v>
      </c>
      <c r="AU13" s="6"/>
      <c r="AV13" s="10">
        <v>2</v>
      </c>
      <c r="AW13" s="10">
        <v>4</v>
      </c>
      <c r="AX13" s="10">
        <v>6</v>
      </c>
      <c r="AY13" s="10">
        <v>3</v>
      </c>
      <c r="AZ13" s="10">
        <v>8</v>
      </c>
      <c r="BA13" s="10">
        <v>9</v>
      </c>
      <c r="BB13" s="10">
        <v>8</v>
      </c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</row>
    <row r="14" ht="15">
      <c r="A14" s="6" t="s">
        <v>413</v>
      </c>
      <c r="B14" s="6">
        <f t="shared" si="76"/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10">
        <v>8</v>
      </c>
      <c r="BB14" s="10">
        <v>5</v>
      </c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</row>
    <row r="15" ht="15">
      <c r="A15" s="6" t="s">
        <v>417</v>
      </c>
      <c r="B15" s="6">
        <f t="shared" si="76"/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10">
        <v>1</v>
      </c>
      <c r="BA15" s="10">
        <v>1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</row>
    <row r="16" ht="15">
      <c r="A16" s="6" t="s">
        <v>421</v>
      </c>
      <c r="B16" s="6">
        <f t="shared" si="76"/>
        <v>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10">
        <v>1</v>
      </c>
      <c r="AS16" s="10">
        <v>1</v>
      </c>
      <c r="AT16" s="6"/>
      <c r="AU16" s="10">
        <v>1</v>
      </c>
      <c r="AV16" s="10">
        <v>2</v>
      </c>
      <c r="AW16" s="6"/>
      <c r="AX16" s="6"/>
      <c r="AY16" s="6"/>
      <c r="AZ16" s="10">
        <v>2</v>
      </c>
      <c r="BA16" s="10">
        <v>1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</row>
    <row r="17" ht="15">
      <c r="A17" s="6" t="s">
        <v>429</v>
      </c>
      <c r="B17" s="6">
        <f t="shared" si="76"/>
        <v>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10">
        <v>1</v>
      </c>
      <c r="AW17" s="10">
        <v>2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</row>
    <row r="18" ht="15">
      <c r="A18" s="6" t="s">
        <v>441</v>
      </c>
      <c r="B18" s="6">
        <f t="shared" si="76"/>
        <v>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10">
        <v>1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</row>
    <row r="19" ht="15">
      <c r="A19" s="6" t="s">
        <v>445</v>
      </c>
      <c r="B19" s="6">
        <f t="shared" si="76"/>
        <v>73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10">
        <v>1</v>
      </c>
      <c r="AJ19" s="6"/>
      <c r="AK19" s="6"/>
      <c r="AL19" s="6"/>
      <c r="AM19" s="6"/>
      <c r="AN19" s="6"/>
      <c r="AO19" s="6"/>
      <c r="AP19" s="6"/>
      <c r="AQ19" s="10">
        <v>1</v>
      </c>
      <c r="AR19" s="10">
        <v>1</v>
      </c>
      <c r="AS19" s="6"/>
      <c r="AT19" s="6"/>
      <c r="AU19" s="10">
        <v>1</v>
      </c>
      <c r="AV19" s="10">
        <v>9</v>
      </c>
      <c r="AW19" s="10">
        <v>5</v>
      </c>
      <c r="AX19" s="10">
        <v>4</v>
      </c>
      <c r="AY19" s="10">
        <v>12</v>
      </c>
      <c r="AZ19" s="10">
        <v>2</v>
      </c>
      <c r="BA19" s="10">
        <v>15</v>
      </c>
      <c r="BB19" s="10">
        <v>22</v>
      </c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</row>
    <row r="20" ht="15">
      <c r="A20" s="6" t="s">
        <v>448</v>
      </c>
      <c r="B20" s="6">
        <f t="shared" si="76"/>
        <v>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10">
        <v>1</v>
      </c>
      <c r="AI20" s="6"/>
      <c r="AJ20" s="6"/>
      <c r="AK20" s="6"/>
      <c r="AL20" s="6"/>
      <c r="AM20" s="6"/>
      <c r="AN20" s="6"/>
      <c r="AO20" s="6"/>
      <c r="AP20" s="6"/>
      <c r="AQ20" s="6"/>
      <c r="AR20" s="10">
        <v>1</v>
      </c>
      <c r="AS20" s="6"/>
      <c r="AT20" s="10">
        <v>1</v>
      </c>
      <c r="AU20" s="6"/>
      <c r="AV20" s="10">
        <v>5</v>
      </c>
      <c r="AW20" s="6"/>
      <c r="AX20" s="6"/>
      <c r="AY20" s="6"/>
      <c r="AZ20" s="10">
        <v>2</v>
      </c>
      <c r="BA20" s="6"/>
      <c r="BB20" s="10">
        <v>3</v>
      </c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</row>
    <row r="21" ht="15">
      <c r="A21" s="6" t="s">
        <v>452</v>
      </c>
      <c r="B21" s="6">
        <f t="shared" si="76"/>
        <v>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10">
        <v>1</v>
      </c>
      <c r="AR21" s="10">
        <v>2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</row>
    <row r="22" ht="15">
      <c r="A22" s="6" t="s">
        <v>456</v>
      </c>
      <c r="B22" s="6">
        <f t="shared" si="76"/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0">
        <v>1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</row>
    <row r="23" ht="15">
      <c r="A23" s="6" t="s">
        <v>468</v>
      </c>
      <c r="B23" s="6">
        <f t="shared" si="76"/>
        <v>21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10">
        <v>2</v>
      </c>
      <c r="AT23" s="10">
        <v>3</v>
      </c>
      <c r="AU23" s="6"/>
      <c r="AV23" s="6"/>
      <c r="AW23" s="10">
        <v>1</v>
      </c>
      <c r="AX23" s="10">
        <v>2</v>
      </c>
      <c r="AY23" s="6"/>
      <c r="AZ23" s="10">
        <v>3</v>
      </c>
      <c r="BA23" s="10">
        <v>8</v>
      </c>
      <c r="BB23" s="10">
        <v>2</v>
      </c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</row>
    <row r="24" ht="15">
      <c r="A24" s="6" t="s">
        <v>484</v>
      </c>
      <c r="B24" s="6">
        <f t="shared" si="76"/>
        <v>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0">
        <v>1</v>
      </c>
      <c r="AI24" s="6"/>
      <c r="AJ24" s="6"/>
      <c r="AK24" s="6"/>
      <c r="AL24" s="10">
        <v>1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</row>
    <row r="25" ht="15">
      <c r="A25" s="6" t="s">
        <v>496</v>
      </c>
      <c r="B25" s="6">
        <f t="shared" si="76"/>
        <v>29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0">
        <v>2</v>
      </c>
      <c r="AH25" s="6"/>
      <c r="AI25" s="6"/>
      <c r="AJ25" s="6"/>
      <c r="AK25" s="10">
        <v>1</v>
      </c>
      <c r="AL25" s="10">
        <v>1</v>
      </c>
      <c r="AM25" s="6"/>
      <c r="AN25" s="10">
        <v>4</v>
      </c>
      <c r="AO25" s="10">
        <v>1</v>
      </c>
      <c r="AP25" s="6"/>
      <c r="AQ25" s="10">
        <v>3</v>
      </c>
      <c r="AR25" s="10">
        <v>3</v>
      </c>
      <c r="AS25" s="10">
        <v>2</v>
      </c>
      <c r="AT25" s="10">
        <v>2</v>
      </c>
      <c r="AU25" s="6"/>
      <c r="AV25" s="6"/>
      <c r="AW25" s="6"/>
      <c r="AX25" s="10">
        <v>5</v>
      </c>
      <c r="AY25" s="10">
        <v>2</v>
      </c>
      <c r="AZ25" s="10">
        <v>3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</row>
    <row r="26" ht="15">
      <c r="A26" s="6" t="s">
        <v>504</v>
      </c>
      <c r="B26" s="6">
        <f t="shared" si="76"/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0">
        <v>1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</row>
    <row r="27" ht="15">
      <c r="A27" s="6" t="s">
        <v>512</v>
      </c>
      <c r="B27" s="6">
        <f t="shared" si="76"/>
        <v>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10">
        <v>1</v>
      </c>
      <c r="AP27" s="6"/>
      <c r="AQ27" s="6"/>
      <c r="AR27" s="6"/>
      <c r="AS27" s="6"/>
      <c r="AT27" s="6"/>
      <c r="AU27" s="6"/>
      <c r="AV27" s="10">
        <v>2</v>
      </c>
      <c r="AW27" s="6"/>
      <c r="AX27" s="6"/>
      <c r="AY27" s="6"/>
      <c r="AZ27" s="10">
        <v>1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</row>
    <row r="28" ht="15">
      <c r="A28" s="6" t="s">
        <v>520</v>
      </c>
      <c r="B28" s="6">
        <f t="shared" si="76"/>
        <v>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0">
        <v>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0">
        <v>1</v>
      </c>
      <c r="AU28" s="6"/>
      <c r="AV28" s="6"/>
      <c r="AW28" s="10">
        <v>2</v>
      </c>
      <c r="AX28" s="6"/>
      <c r="AY28" s="6"/>
      <c r="AZ28" s="6"/>
      <c r="BA28" s="6"/>
      <c r="BB28" s="10">
        <v>1</v>
      </c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</row>
    <row r="29" ht="15">
      <c r="A29" s="6" t="s">
        <v>528</v>
      </c>
      <c r="B29" s="6">
        <f t="shared" si="76"/>
        <v>41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10">
        <v>8</v>
      </c>
      <c r="AW29" s="10">
        <v>7</v>
      </c>
      <c r="AX29" s="10">
        <v>13</v>
      </c>
      <c r="AY29" s="10">
        <v>3</v>
      </c>
      <c r="AZ29" s="10">
        <v>2</v>
      </c>
      <c r="BA29" s="10">
        <v>1</v>
      </c>
      <c r="BB29" s="10">
        <v>7</v>
      </c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</row>
    <row r="30" ht="15">
      <c r="A30" s="6" t="s">
        <v>532</v>
      </c>
      <c r="B30" s="6">
        <f t="shared" si="76"/>
        <v>24</v>
      </c>
      <c r="C30" s="10">
        <v>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10">
        <v>2</v>
      </c>
      <c r="AV30" s="10">
        <v>6</v>
      </c>
      <c r="AW30" s="10">
        <v>7</v>
      </c>
      <c r="AX30" s="10">
        <v>3</v>
      </c>
      <c r="AY30" s="10">
        <v>1</v>
      </c>
      <c r="AZ30" s="10">
        <v>1</v>
      </c>
      <c r="BA30" s="10">
        <v>1</v>
      </c>
      <c r="BB30" s="10">
        <v>2</v>
      </c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</row>
    <row r="31" ht="15">
      <c r="A31" s="6" t="s">
        <v>540</v>
      </c>
      <c r="B31" s="6">
        <f t="shared" si="76"/>
        <v>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10">
        <v>1</v>
      </c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</row>
    <row r="32" ht="15">
      <c r="A32" s="6" t="s">
        <v>548</v>
      </c>
      <c r="B32" s="6">
        <f t="shared" si="76"/>
        <v>23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0">
        <v>1</v>
      </c>
      <c r="AT32" s="10">
        <v>1</v>
      </c>
      <c r="AU32" s="6"/>
      <c r="AV32" s="10">
        <v>1</v>
      </c>
      <c r="AW32" s="6"/>
      <c r="AX32" s="10">
        <v>3</v>
      </c>
      <c r="AY32" s="6"/>
      <c r="AZ32" s="10">
        <v>3</v>
      </c>
      <c r="BA32" s="10">
        <v>8</v>
      </c>
      <c r="BB32" s="10">
        <v>6</v>
      </c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</row>
    <row r="33" ht="15">
      <c r="A33" s="6" t="s">
        <v>552</v>
      </c>
      <c r="B33" s="6">
        <f t="shared" si="76"/>
        <v>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0">
        <v>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</row>
    <row r="34" ht="15">
      <c r="A34" s="6" t="s">
        <v>556</v>
      </c>
      <c r="B34" s="6">
        <f t="shared" si="76"/>
        <v>34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10">
        <v>1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0">
        <v>3</v>
      </c>
      <c r="AV34" s="10">
        <v>6</v>
      </c>
      <c r="AW34" s="10">
        <v>9</v>
      </c>
      <c r="AX34" s="10">
        <v>6</v>
      </c>
      <c r="AY34" s="6"/>
      <c r="AZ34" s="6"/>
      <c r="BA34" s="10">
        <v>4</v>
      </c>
      <c r="BB34" s="10">
        <v>5</v>
      </c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</row>
    <row r="35" ht="15">
      <c r="A35" s="6" t="s">
        <v>563</v>
      </c>
      <c r="B35" s="6">
        <f t="shared" si="76"/>
        <v>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0">
        <v>2</v>
      </c>
      <c r="AU35" s="6"/>
      <c r="AV35" s="6"/>
      <c r="AW35" s="6"/>
      <c r="AX35" s="6"/>
      <c r="AY35" s="10">
        <v>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</row>
    <row r="36" ht="15">
      <c r="A36" s="6" t="s">
        <v>567</v>
      </c>
      <c r="B36" s="6">
        <f t="shared" si="76"/>
        <v>20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10">
        <v>1</v>
      </c>
      <c r="AS36" s="6"/>
      <c r="AT36" s="10">
        <v>1</v>
      </c>
      <c r="AU36" s="6"/>
      <c r="AV36" s="10">
        <v>2</v>
      </c>
      <c r="AW36" s="10">
        <v>3</v>
      </c>
      <c r="AX36" s="10">
        <v>1</v>
      </c>
      <c r="AY36" s="10">
        <v>1</v>
      </c>
      <c r="AZ36" s="10">
        <v>6</v>
      </c>
      <c r="BA36" s="10">
        <v>2</v>
      </c>
      <c r="BB36" s="10">
        <v>3</v>
      </c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</row>
    <row r="37" ht="15">
      <c r="A37" s="6" t="s">
        <v>571</v>
      </c>
      <c r="B37" s="6">
        <f t="shared" si="76"/>
        <v>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10">
        <v>1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</row>
    <row r="38" ht="15">
      <c r="A38" s="6" t="s">
        <v>575</v>
      </c>
      <c r="B38" s="6">
        <f t="shared" si="76"/>
        <v>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10">
        <v>1</v>
      </c>
      <c r="AS38" s="6"/>
      <c r="AT38" s="6"/>
      <c r="AU38" s="6"/>
      <c r="AV38" s="6"/>
      <c r="AW38" s="10">
        <v>2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</row>
    <row r="39" ht="15">
      <c r="A39" s="6" t="s">
        <v>583</v>
      </c>
      <c r="B39" s="6">
        <f t="shared" si="76"/>
        <v>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10">
        <v>1</v>
      </c>
      <c r="AS39" s="6"/>
      <c r="AT39" s="6"/>
      <c r="AU39" s="6"/>
      <c r="AV39" s="10">
        <v>1</v>
      </c>
      <c r="AW39" s="10">
        <v>1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</row>
    <row r="40" ht="15">
      <c r="A40" s="6" t="s">
        <v>591</v>
      </c>
      <c r="B40" s="6">
        <f t="shared" si="76"/>
        <v>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10">
        <v>1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</row>
    <row r="41" ht="15">
      <c r="A41" s="6" t="s">
        <v>599</v>
      </c>
      <c r="B41" s="6">
        <f t="shared" si="76"/>
        <v>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0">
        <v>1</v>
      </c>
      <c r="AT41" s="6"/>
      <c r="AU41" s="6"/>
      <c r="AV41" s="6"/>
      <c r="AW41" s="10">
        <v>1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</row>
    <row r="42" ht="15">
      <c r="A42" s="6" t="s">
        <v>603</v>
      </c>
      <c r="B42" s="6">
        <f t="shared" si="76"/>
        <v>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10">
        <v>1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</row>
    <row r="43" ht="15">
      <c r="A43" s="6" t="s">
        <v>607</v>
      </c>
      <c r="B43" s="6">
        <f t="shared" si="76"/>
        <v>13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10">
        <v>3</v>
      </c>
      <c r="AY43" s="10">
        <v>5</v>
      </c>
      <c r="AZ43" s="10">
        <v>2</v>
      </c>
      <c r="BA43" s="10">
        <v>3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</row>
    <row r="44" ht="15">
      <c r="A44" s="6" t="s">
        <v>615</v>
      </c>
      <c r="B44" s="6">
        <f t="shared" si="76"/>
        <v>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10">
        <v>1</v>
      </c>
      <c r="AW44" s="10">
        <v>1</v>
      </c>
      <c r="AX44" s="6"/>
      <c r="AY44" s="6"/>
      <c r="AZ44" s="10">
        <v>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</row>
    <row r="45" ht="15">
      <c r="A45" s="6" t="s">
        <v>663</v>
      </c>
      <c r="B45" s="6">
        <f t="shared" si="76"/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10">
        <v>1</v>
      </c>
      <c r="AW45" s="6"/>
      <c r="AX45" s="6"/>
      <c r="AY45" s="10">
        <v>1</v>
      </c>
      <c r="AZ45" s="6"/>
      <c r="BA45" s="6"/>
      <c r="BB45" s="10">
        <v>1</v>
      </c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</row>
    <row r="46" ht="15">
      <c r="A46" s="6" t="s">
        <v>667</v>
      </c>
      <c r="B46" s="6">
        <f t="shared" si="76"/>
        <v>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0">
        <v>1</v>
      </c>
      <c r="U46" s="6"/>
      <c r="V46" s="10">
        <v>1</v>
      </c>
      <c r="W46" s="6"/>
      <c r="X46" s="6"/>
      <c r="Y46" s="6"/>
      <c r="Z46" s="6"/>
      <c r="AA46" s="6"/>
      <c r="AB46" s="6"/>
      <c r="AC46" s="10">
        <v>1</v>
      </c>
      <c r="AD46" s="6"/>
      <c r="AE46" s="10">
        <v>3</v>
      </c>
      <c r="AF46" s="6"/>
      <c r="AG46" s="6"/>
      <c r="AH46" s="6"/>
      <c r="AI46" s="6"/>
      <c r="AJ46" s="6"/>
      <c r="AK46" s="10">
        <v>1</v>
      </c>
      <c r="AL46" s="10">
        <v>1</v>
      </c>
      <c r="AM46" s="6"/>
      <c r="AN46" s="6"/>
      <c r="AO46" s="10">
        <v>1</v>
      </c>
      <c r="AP46" s="6"/>
      <c r="AQ46" s="6"/>
      <c r="AR46" s="6"/>
      <c r="AS46" s="10">
        <v>1</v>
      </c>
      <c r="AT46" s="10">
        <v>1</v>
      </c>
      <c r="AU46" s="10">
        <v>2</v>
      </c>
      <c r="AV46" s="10">
        <v>1</v>
      </c>
      <c r="AW46" s="6"/>
      <c r="AX46" s="10">
        <v>1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</row>
    <row r="47" ht="15">
      <c r="A47" s="6" t="s">
        <v>671</v>
      </c>
      <c r="B47" s="6">
        <f t="shared" si="76"/>
        <v>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10">
        <v>1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</row>
    <row r="48" ht="15">
      <c r="A48" s="6" t="s">
        <v>747</v>
      </c>
      <c r="B48" s="6">
        <f t="shared" si="76"/>
        <v>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0">
        <v>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10">
        <v>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</row>
    <row r="49" ht="15">
      <c r="A49" s="6" t="s">
        <v>755</v>
      </c>
      <c r="B49" s="6">
        <f t="shared" si="76"/>
        <v>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10">
        <v>3</v>
      </c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</row>
    <row r="50" ht="15">
      <c r="A50" s="6" t="s">
        <v>827</v>
      </c>
      <c r="B50" s="6">
        <f t="shared" si="76"/>
        <v>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10">
        <v>1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</row>
    <row r="51" ht="15">
      <c r="A51" s="6" t="s">
        <v>831</v>
      </c>
      <c r="B51" s="6">
        <f t="shared" si="76"/>
        <v>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10">
        <v>2</v>
      </c>
      <c r="AU51" s="6"/>
      <c r="AV51" s="6"/>
      <c r="AW51" s="6"/>
      <c r="AX51" s="6"/>
      <c r="AY51" s="6"/>
      <c r="AZ51" s="10">
        <v>2</v>
      </c>
      <c r="BA51" s="10">
        <v>1</v>
      </c>
      <c r="BB51" s="10">
        <v>1</v>
      </c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</row>
    <row r="52" ht="15">
      <c r="A52" s="6" t="s">
        <v>983</v>
      </c>
      <c r="B52" s="6">
        <f t="shared" si="76"/>
        <v>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10">
        <v>8</v>
      </c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</row>
    <row r="53" ht="15">
      <c r="A53" s="6" t="s">
        <v>1043</v>
      </c>
      <c r="B53" s="6">
        <f t="shared" si="76"/>
        <v>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10">
        <v>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10">
        <v>1</v>
      </c>
      <c r="AW53" s="6"/>
      <c r="AX53" s="10">
        <v>1</v>
      </c>
      <c r="AY53" s="6"/>
      <c r="AZ53" s="6"/>
      <c r="BA53" s="6"/>
      <c r="BB53" s="10">
        <v>4</v>
      </c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</row>
    <row r="54" ht="15">
      <c r="A54" s="6" t="s">
        <v>1055</v>
      </c>
      <c r="B54" s="6">
        <f t="shared" si="76"/>
        <v>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0">
        <v>1</v>
      </c>
      <c r="AV54" s="10">
        <v>1</v>
      </c>
      <c r="AW54" s="10">
        <v>2</v>
      </c>
      <c r="AX54" s="10">
        <v>1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</row>
    <row r="55" ht="15">
      <c r="A55" s="6" t="s">
        <v>1059</v>
      </c>
      <c r="B55" s="6">
        <f t="shared" si="76"/>
        <v>6</v>
      </c>
      <c r="C55" s="6"/>
      <c r="D55" s="10">
        <v>1</v>
      </c>
      <c r="E55" s="10"/>
      <c r="F55" s="10">
        <v>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10">
        <v>1</v>
      </c>
      <c r="AW55" s="10">
        <v>1</v>
      </c>
      <c r="AX55" s="6"/>
      <c r="AY55" s="6"/>
      <c r="AZ55" s="6"/>
      <c r="BA55" s="6"/>
      <c r="BB55" s="10">
        <v>1</v>
      </c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</row>
    <row r="56" ht="15">
      <c r="A56" s="6" t="s">
        <v>1067</v>
      </c>
      <c r="B56" s="6">
        <f t="shared" si="76"/>
        <v>15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10">
        <v>1</v>
      </c>
      <c r="AT56" s="10">
        <v>1</v>
      </c>
      <c r="AU56" s="10">
        <v>1</v>
      </c>
      <c r="AV56" s="10">
        <v>3</v>
      </c>
      <c r="AW56" s="10">
        <v>2</v>
      </c>
      <c r="AX56" s="6"/>
      <c r="AY56" s="6"/>
      <c r="AZ56" s="10">
        <v>2</v>
      </c>
      <c r="BA56" s="10">
        <v>2</v>
      </c>
      <c r="BB56" s="10">
        <v>3</v>
      </c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</row>
    <row r="57" ht="15">
      <c r="A57" s="6" t="s">
        <v>1079</v>
      </c>
      <c r="B57" s="6">
        <f t="shared" si="76"/>
        <v>20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10">
        <v>7</v>
      </c>
      <c r="AP57" s="10">
        <v>1</v>
      </c>
      <c r="AQ57" s="6"/>
      <c r="AR57" s="10">
        <v>1</v>
      </c>
      <c r="AS57" s="10">
        <v>1</v>
      </c>
      <c r="AT57" s="10">
        <v>1</v>
      </c>
      <c r="AU57" s="10">
        <v>1</v>
      </c>
      <c r="AV57" s="10">
        <v>3</v>
      </c>
      <c r="AW57" s="6"/>
      <c r="AX57" s="6"/>
      <c r="AY57" s="10">
        <v>1</v>
      </c>
      <c r="AZ57" s="6"/>
      <c r="BA57" s="10">
        <v>1</v>
      </c>
      <c r="BB57" s="10">
        <v>3</v>
      </c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</row>
    <row r="58" ht="15">
      <c r="A58" s="6" t="s">
        <v>1083</v>
      </c>
      <c r="B58" s="6">
        <f t="shared" si="76"/>
        <v>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10">
        <v>1</v>
      </c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</row>
    <row r="59" ht="15">
      <c r="A59" s="6" t="s">
        <v>1091</v>
      </c>
      <c r="B59" s="6">
        <f t="shared" si="76"/>
        <v>12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10">
        <v>3</v>
      </c>
      <c r="AW59" s="10">
        <v>1</v>
      </c>
      <c r="AX59" s="10">
        <v>1</v>
      </c>
      <c r="AY59" s="6"/>
      <c r="AZ59" s="10">
        <v>2</v>
      </c>
      <c r="BA59" s="10">
        <v>3</v>
      </c>
      <c r="BB59" s="10">
        <v>2</v>
      </c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</row>
    <row r="60" ht="15">
      <c r="A60" s="6" t="s">
        <v>1127</v>
      </c>
      <c r="B60" s="6">
        <f t="shared" si="76"/>
        <v>42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10">
        <v>1</v>
      </c>
      <c r="N60" s="6"/>
      <c r="O60" s="6"/>
      <c r="P60" s="6"/>
      <c r="Q60" s="10">
        <v>3</v>
      </c>
      <c r="R60" s="10">
        <v>2</v>
      </c>
      <c r="S60" s="10">
        <v>2</v>
      </c>
      <c r="T60" s="10">
        <v>1</v>
      </c>
      <c r="U60" s="10">
        <v>1</v>
      </c>
      <c r="V60" s="10">
        <v>4</v>
      </c>
      <c r="W60" s="10">
        <v>2</v>
      </c>
      <c r="X60" s="10">
        <v>5</v>
      </c>
      <c r="Y60" s="10">
        <v>2</v>
      </c>
      <c r="Z60" s="10">
        <v>1</v>
      </c>
      <c r="AA60" s="6"/>
      <c r="AB60" s="10">
        <v>1</v>
      </c>
      <c r="AC60" s="6"/>
      <c r="AD60" s="10">
        <v>2</v>
      </c>
      <c r="AE60" s="6"/>
      <c r="AF60" s="10">
        <v>6</v>
      </c>
      <c r="AG60" s="6"/>
      <c r="AH60" s="6"/>
      <c r="AI60" s="6"/>
      <c r="AJ60" s="10">
        <v>5</v>
      </c>
      <c r="AK60" s="6"/>
      <c r="AL60" s="6"/>
      <c r="AM60" s="10">
        <v>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10">
        <v>1</v>
      </c>
      <c r="AY60" s="6"/>
      <c r="AZ60" s="6"/>
      <c r="BA60" s="10">
        <v>1</v>
      </c>
      <c r="BB60" s="10">
        <v>1</v>
      </c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</row>
    <row r="61" ht="15">
      <c r="A61" s="6" t="s">
        <v>1131</v>
      </c>
      <c r="B61" s="6">
        <f t="shared" si="76"/>
        <v>38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10">
        <v>1</v>
      </c>
      <c r="N61" s="6"/>
      <c r="O61" s="10">
        <v>1</v>
      </c>
      <c r="P61" s="10">
        <v>1</v>
      </c>
      <c r="Q61" s="10">
        <v>2</v>
      </c>
      <c r="R61" s="10">
        <v>1</v>
      </c>
      <c r="S61" s="10">
        <v>2</v>
      </c>
      <c r="T61" s="10">
        <v>5</v>
      </c>
      <c r="U61" s="6"/>
      <c r="V61" s="10">
        <v>1</v>
      </c>
      <c r="W61" s="10">
        <v>1</v>
      </c>
      <c r="X61" s="10">
        <v>1</v>
      </c>
      <c r="Y61" s="10">
        <v>2</v>
      </c>
      <c r="Z61" s="6"/>
      <c r="AA61" s="6"/>
      <c r="AB61" s="6"/>
      <c r="AC61" s="6"/>
      <c r="AD61" s="6"/>
      <c r="AE61" s="6"/>
      <c r="AF61" s="6"/>
      <c r="AG61" s="6"/>
      <c r="AH61" s="10">
        <v>1</v>
      </c>
      <c r="AI61" s="10">
        <v>4</v>
      </c>
      <c r="AJ61" s="6"/>
      <c r="AK61" s="10">
        <v>1</v>
      </c>
      <c r="AL61" s="10">
        <v>2</v>
      </c>
      <c r="AM61" s="10">
        <v>4</v>
      </c>
      <c r="AN61" s="6"/>
      <c r="AO61" s="10">
        <v>1</v>
      </c>
      <c r="AP61" s="10">
        <v>1</v>
      </c>
      <c r="AQ61" s="6"/>
      <c r="AR61" s="6"/>
      <c r="AS61" s="6"/>
      <c r="AT61" s="6"/>
      <c r="AU61" s="6"/>
      <c r="AV61" s="6"/>
      <c r="AW61" s="10">
        <v>5</v>
      </c>
      <c r="AX61" s="6"/>
      <c r="AY61" s="6"/>
      <c r="AZ61" s="6"/>
      <c r="BA61" s="6"/>
      <c r="BB61" s="10">
        <v>1</v>
      </c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</row>
    <row r="62" ht="15">
      <c r="A62" s="6" t="s">
        <v>1135</v>
      </c>
      <c r="B62" s="6">
        <f t="shared" si="76"/>
        <v>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10">
        <v>3</v>
      </c>
      <c r="AJ62" s="6"/>
      <c r="AK62" s="6"/>
      <c r="AL62" s="6"/>
      <c r="AM62" s="6"/>
      <c r="AN62" s="6"/>
      <c r="AO62" s="6"/>
      <c r="AP62" s="6"/>
      <c r="AQ62" s="10">
        <v>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10">
        <v>4</v>
      </c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</row>
    <row r="63" ht="15">
      <c r="A63" s="6" t="s">
        <v>1143</v>
      </c>
      <c r="B63" s="6">
        <f t="shared" si="76"/>
        <v>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10">
        <v>2</v>
      </c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</row>
    <row r="64" ht="15">
      <c r="A64" s="6" t="s">
        <v>1151</v>
      </c>
      <c r="B64" s="6">
        <f t="shared" si="76"/>
        <v>13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10">
        <v>1</v>
      </c>
      <c r="AW64" s="6"/>
      <c r="AX64" s="10">
        <v>1</v>
      </c>
      <c r="AY64" s="10">
        <v>3</v>
      </c>
      <c r="AZ64" s="10">
        <v>1</v>
      </c>
      <c r="BA64" s="10">
        <v>5</v>
      </c>
      <c r="BB64" s="10">
        <v>2</v>
      </c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</row>
    <row r="65" ht="15">
      <c r="A65" s="6" t="s">
        <v>1155</v>
      </c>
      <c r="B65" s="6">
        <f t="shared" si="76"/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10">
        <v>3</v>
      </c>
      <c r="AX65" s="10">
        <v>3</v>
      </c>
      <c r="AY65" s="6"/>
      <c r="AZ65" s="10">
        <v>2</v>
      </c>
      <c r="BA65" s="10">
        <v>2</v>
      </c>
      <c r="BB65" s="10">
        <v>3</v>
      </c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</row>
    <row r="66" ht="15">
      <c r="A66" s="6" t="s">
        <v>1159</v>
      </c>
      <c r="B66" s="6">
        <f t="shared" si="76"/>
        <v>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10">
        <v>3</v>
      </c>
      <c r="AY66" s="10">
        <v>1</v>
      </c>
      <c r="AZ66" s="10">
        <v>2</v>
      </c>
      <c r="BA66" s="10">
        <v>2</v>
      </c>
      <c r="BB66" s="10">
        <v>1</v>
      </c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</row>
    <row r="67" ht="15">
      <c r="A67" s="6" t="s">
        <v>1163</v>
      </c>
      <c r="B67" s="6">
        <f t="shared" si="76"/>
        <v>32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10">
        <v>2</v>
      </c>
      <c r="AR67" s="6"/>
      <c r="AS67" s="10">
        <v>2</v>
      </c>
      <c r="AT67" s="6"/>
      <c r="AU67" s="6"/>
      <c r="AV67" s="10">
        <v>3</v>
      </c>
      <c r="AW67" s="10">
        <v>7</v>
      </c>
      <c r="AX67" s="10">
        <v>4</v>
      </c>
      <c r="AY67" s="10">
        <v>1</v>
      </c>
      <c r="AZ67" s="10">
        <v>5</v>
      </c>
      <c r="BA67" s="10">
        <v>2</v>
      </c>
      <c r="BB67" s="10">
        <v>6</v>
      </c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</row>
    <row r="68" ht="15">
      <c r="A68" s="6" t="s">
        <v>1175</v>
      </c>
      <c r="B68" s="6">
        <f t="shared" si="76"/>
        <v>41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10">
        <v>2</v>
      </c>
      <c r="AM68" s="10">
        <v>3</v>
      </c>
      <c r="AN68" s="10">
        <v>2</v>
      </c>
      <c r="AO68" s="6"/>
      <c r="AP68" s="10">
        <v>1</v>
      </c>
      <c r="AQ68" s="6"/>
      <c r="AR68" s="10">
        <v>1</v>
      </c>
      <c r="AS68" s="10">
        <v>3</v>
      </c>
      <c r="AT68" s="10">
        <v>1</v>
      </c>
      <c r="AU68" s="10">
        <v>1</v>
      </c>
      <c r="AV68" s="6"/>
      <c r="AW68" s="10">
        <v>3</v>
      </c>
      <c r="AX68" s="10">
        <v>2</v>
      </c>
      <c r="AY68" s="10">
        <v>2</v>
      </c>
      <c r="AZ68" s="10">
        <v>2</v>
      </c>
      <c r="BA68" s="10">
        <v>5</v>
      </c>
      <c r="BB68" s="10">
        <v>13</v>
      </c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</row>
    <row r="69" ht="15">
      <c r="A69" s="6" t="s">
        <v>1183</v>
      </c>
      <c r="B69" s="6">
        <f t="shared" si="76"/>
        <v>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0">
        <v>2</v>
      </c>
      <c r="AT69" s="6"/>
      <c r="AU69" s="6"/>
      <c r="AV69" s="10">
        <v>1</v>
      </c>
      <c r="AW69" s="10">
        <v>2</v>
      </c>
      <c r="AX69" s="6"/>
      <c r="AY69" s="10">
        <v>1</v>
      </c>
      <c r="AZ69" s="6"/>
      <c r="BA69" s="6"/>
      <c r="BB69" s="10">
        <v>1</v>
      </c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</row>
    <row r="70" ht="15">
      <c r="A70" s="6" t="s">
        <v>1187</v>
      </c>
      <c r="B70" s="6">
        <f t="shared" si="76"/>
        <v>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10">
        <v>2</v>
      </c>
      <c r="AU70" s="6"/>
      <c r="AV70" s="10">
        <v>1</v>
      </c>
      <c r="AW70" s="6"/>
      <c r="AX70" s="6"/>
      <c r="AY70" s="6"/>
      <c r="AZ70" s="6"/>
      <c r="BA70" s="6"/>
      <c r="BB70" s="10">
        <v>2</v>
      </c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</row>
    <row r="71" ht="15">
      <c r="A71" s="6" t="s">
        <v>1191</v>
      </c>
      <c r="B71" s="6">
        <f t="shared" si="76"/>
        <v>25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10">
        <v>8</v>
      </c>
      <c r="AX71" s="10">
        <v>3</v>
      </c>
      <c r="AY71" s="10">
        <v>1</v>
      </c>
      <c r="AZ71" s="10">
        <v>10</v>
      </c>
      <c r="BA71" s="10">
        <v>3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</row>
    <row r="72" ht="15">
      <c r="A72" s="6" t="s">
        <v>1279</v>
      </c>
      <c r="B72" s="6">
        <f t="shared" si="76"/>
        <v>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10">
        <v>1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</row>
    <row r="73" ht="15">
      <c r="A73" s="6" t="s">
        <v>1287</v>
      </c>
      <c r="B73" s="6">
        <f t="shared" si="76"/>
        <v>21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10">
        <v>1</v>
      </c>
      <c r="AJ73" s="6"/>
      <c r="AK73" s="6"/>
      <c r="AL73" s="6"/>
      <c r="AM73" s="6"/>
      <c r="AN73" s="6"/>
      <c r="AO73" s="6"/>
      <c r="AP73" s="6"/>
      <c r="AQ73" s="10">
        <v>1</v>
      </c>
      <c r="AR73" s="10">
        <v>5</v>
      </c>
      <c r="AS73" s="10">
        <v>1</v>
      </c>
      <c r="AT73" s="6"/>
      <c r="AU73" s="10">
        <v>1</v>
      </c>
      <c r="AV73" s="10">
        <v>5</v>
      </c>
      <c r="AW73" s="10">
        <v>4</v>
      </c>
      <c r="AX73" s="6"/>
      <c r="AY73" s="6"/>
      <c r="AZ73" s="10">
        <v>2</v>
      </c>
      <c r="BA73" s="10">
        <v>1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</row>
    <row r="74" ht="15">
      <c r="A74" s="6" t="s">
        <v>1291</v>
      </c>
      <c r="B74" s="6">
        <f t="shared" ref="B74:B99" si="77">SUM(C74:BB74)</f>
        <v>53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0">
        <v>1</v>
      </c>
      <c r="AN74" s="6"/>
      <c r="AO74" s="6"/>
      <c r="AP74" s="6"/>
      <c r="AQ74" s="10">
        <v>1</v>
      </c>
      <c r="AR74" s="6"/>
      <c r="AS74" s="6"/>
      <c r="AT74" s="6"/>
      <c r="AU74" s="10">
        <v>2</v>
      </c>
      <c r="AV74" s="10">
        <v>5</v>
      </c>
      <c r="AW74" s="10">
        <v>8</v>
      </c>
      <c r="AX74" s="10">
        <v>6</v>
      </c>
      <c r="AY74" s="10">
        <v>8</v>
      </c>
      <c r="AZ74" s="10">
        <v>8</v>
      </c>
      <c r="BA74" s="10">
        <v>8</v>
      </c>
      <c r="BB74" s="10">
        <v>6</v>
      </c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</row>
    <row r="75" ht="15">
      <c r="A75" s="6" t="s">
        <v>1295</v>
      </c>
      <c r="B75" s="6">
        <f t="shared" si="77"/>
        <v>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10">
        <v>1</v>
      </c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</row>
    <row r="76" ht="15">
      <c r="A76" s="6" t="s">
        <v>1315</v>
      </c>
      <c r="B76" s="6">
        <f t="shared" si="77"/>
        <v>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10">
        <v>1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</row>
    <row r="77" ht="15">
      <c r="A77" s="6" t="s">
        <v>1319</v>
      </c>
      <c r="B77" s="6">
        <f t="shared" si="77"/>
        <v>95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10">
        <v>9</v>
      </c>
      <c r="AS77" s="6"/>
      <c r="AT77" s="6"/>
      <c r="AU77" s="6"/>
      <c r="AV77" s="6"/>
      <c r="AW77" s="10">
        <v>2</v>
      </c>
      <c r="AX77" s="10">
        <v>12</v>
      </c>
      <c r="AY77" s="10">
        <v>10</v>
      </c>
      <c r="AZ77" s="10">
        <v>8</v>
      </c>
      <c r="BA77" s="10">
        <v>11</v>
      </c>
      <c r="BB77" s="10">
        <v>43</v>
      </c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</row>
    <row r="78" ht="15">
      <c r="A78" s="6" t="s">
        <v>1323</v>
      </c>
      <c r="B78" s="6">
        <f t="shared" si="77"/>
        <v>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10">
        <v>1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0">
        <v>1</v>
      </c>
      <c r="AV78" s="10">
        <v>2</v>
      </c>
      <c r="AW78" s="6"/>
      <c r="AX78" s="6"/>
      <c r="AY78" s="6"/>
      <c r="AZ78" s="6"/>
      <c r="BA78" s="6"/>
      <c r="BB78" s="10">
        <v>3</v>
      </c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</row>
    <row r="79" ht="15">
      <c r="A79" s="6" t="s">
        <v>1327</v>
      </c>
      <c r="B79" s="6">
        <f t="shared" si="77"/>
        <v>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10">
        <v>1</v>
      </c>
      <c r="AW79" s="6"/>
      <c r="AX79" s="6"/>
      <c r="AY79" s="6"/>
      <c r="AZ79" s="6"/>
      <c r="BA79" s="10">
        <v>1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</row>
    <row r="80" ht="15">
      <c r="A80" s="6" t="s">
        <v>1335</v>
      </c>
      <c r="B80" s="6">
        <f t="shared" si="77"/>
        <v>28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10">
        <v>2</v>
      </c>
      <c r="AQ80" s="10">
        <v>1</v>
      </c>
      <c r="AR80" s="10">
        <v>7</v>
      </c>
      <c r="AS80" s="10">
        <v>2</v>
      </c>
      <c r="AT80" s="10">
        <v>1</v>
      </c>
      <c r="AU80" s="10">
        <v>1</v>
      </c>
      <c r="AV80" s="10">
        <v>1</v>
      </c>
      <c r="AW80" s="10">
        <v>4</v>
      </c>
      <c r="AX80" s="10">
        <v>2</v>
      </c>
      <c r="AY80" s="10">
        <v>3</v>
      </c>
      <c r="AZ80" s="6"/>
      <c r="BA80" s="10">
        <v>1</v>
      </c>
      <c r="BB80" s="10">
        <v>3</v>
      </c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</row>
    <row r="81" ht="15">
      <c r="A81" s="6" t="s">
        <v>1339</v>
      </c>
      <c r="B81" s="6">
        <f t="shared" si="77"/>
        <v>83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10">
        <v>2</v>
      </c>
      <c r="AL81" s="6"/>
      <c r="AM81" s="6"/>
      <c r="AN81" s="6"/>
      <c r="AO81" s="10">
        <v>2</v>
      </c>
      <c r="AP81" s="10">
        <v>1</v>
      </c>
      <c r="AQ81" s="10">
        <v>3</v>
      </c>
      <c r="AR81" s="10">
        <v>5</v>
      </c>
      <c r="AS81" s="6"/>
      <c r="AT81" s="6"/>
      <c r="AU81" s="10">
        <v>2</v>
      </c>
      <c r="AV81" s="10">
        <v>5</v>
      </c>
      <c r="AW81" s="10">
        <v>6</v>
      </c>
      <c r="AX81" s="10">
        <v>7</v>
      </c>
      <c r="AY81" s="10">
        <v>3</v>
      </c>
      <c r="AZ81" s="10">
        <v>9</v>
      </c>
      <c r="BA81" s="10">
        <v>10</v>
      </c>
      <c r="BB81" s="10">
        <v>28</v>
      </c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</row>
    <row r="82" ht="15">
      <c r="A82" s="6" t="s">
        <v>1343</v>
      </c>
      <c r="B82" s="6">
        <f t="shared" si="77"/>
        <v>65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10">
        <v>1</v>
      </c>
      <c r="AE82" s="6"/>
      <c r="AF82" s="6"/>
      <c r="AG82" s="6"/>
      <c r="AH82" s="10">
        <v>1</v>
      </c>
      <c r="AI82" s="6"/>
      <c r="AJ82" s="6"/>
      <c r="AK82" s="6"/>
      <c r="AL82" s="6"/>
      <c r="AM82" s="6"/>
      <c r="AN82" s="6"/>
      <c r="AO82" s="6"/>
      <c r="AP82" s="6"/>
      <c r="AQ82" s="6"/>
      <c r="AR82" s="10">
        <v>5</v>
      </c>
      <c r="AS82" s="10">
        <v>3</v>
      </c>
      <c r="AT82" s="10">
        <v>1</v>
      </c>
      <c r="AU82" s="10">
        <v>1</v>
      </c>
      <c r="AV82" s="6"/>
      <c r="AW82" s="10">
        <v>2</v>
      </c>
      <c r="AX82" s="10">
        <v>10</v>
      </c>
      <c r="AY82" s="10">
        <v>7</v>
      </c>
      <c r="AZ82" s="10">
        <v>4</v>
      </c>
      <c r="BA82" s="10">
        <v>7</v>
      </c>
      <c r="BB82" s="10">
        <v>23</v>
      </c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</row>
    <row r="83" ht="15">
      <c r="A83" s="6" t="s">
        <v>1347</v>
      </c>
      <c r="B83" s="6">
        <f t="shared" si="77"/>
        <v>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10">
        <v>1</v>
      </c>
      <c r="AY83" s="6"/>
      <c r="AZ83" s="10">
        <v>1</v>
      </c>
      <c r="BA83" s="10">
        <v>2</v>
      </c>
      <c r="BB83" s="10">
        <v>1</v>
      </c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</row>
    <row r="84" ht="15">
      <c r="A84" s="6" t="s">
        <v>1351</v>
      </c>
      <c r="B84" s="6">
        <f t="shared" si="77"/>
        <v>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10">
        <v>2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10">
        <v>1</v>
      </c>
      <c r="AS84" s="6"/>
      <c r="AT84" s="6"/>
      <c r="AU84" s="6"/>
      <c r="AV84" s="6"/>
      <c r="AW84" s="6"/>
      <c r="AX84" s="6"/>
      <c r="AY84" s="6"/>
      <c r="AZ84" s="10">
        <v>1</v>
      </c>
      <c r="BA84" s="6"/>
      <c r="BB84" s="10">
        <v>1</v>
      </c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</row>
    <row r="85" ht="15">
      <c r="A85" s="6" t="s">
        <v>1355</v>
      </c>
      <c r="B85" s="6">
        <f t="shared" si="77"/>
        <v>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10">
        <v>1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</row>
    <row r="86" ht="15">
      <c r="A86" s="6" t="s">
        <v>1359</v>
      </c>
      <c r="B86" s="6">
        <f t="shared" si="77"/>
        <v>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10">
        <v>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</row>
    <row r="87" ht="15">
      <c r="A87" s="6" t="s">
        <v>1363</v>
      </c>
      <c r="B87" s="6">
        <f t="shared" si="77"/>
        <v>11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10">
        <v>3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10">
        <v>1</v>
      </c>
      <c r="AW87" s="10">
        <v>3</v>
      </c>
      <c r="AX87" s="10">
        <v>1</v>
      </c>
      <c r="AY87" s="6"/>
      <c r="AZ87" s="10">
        <v>2</v>
      </c>
      <c r="BA87" s="6"/>
      <c r="BB87" s="10">
        <v>1</v>
      </c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</row>
    <row r="88" ht="15">
      <c r="A88" s="6" t="s">
        <v>1367</v>
      </c>
      <c r="B88" s="6">
        <f t="shared" si="77"/>
        <v>19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10">
        <v>4</v>
      </c>
      <c r="AU88" s="10">
        <v>3</v>
      </c>
      <c r="AV88" s="10">
        <v>2</v>
      </c>
      <c r="AW88" s="10">
        <v>2</v>
      </c>
      <c r="AX88" s="10">
        <v>2</v>
      </c>
      <c r="AY88" s="10">
        <v>2</v>
      </c>
      <c r="AZ88" s="10">
        <v>1</v>
      </c>
      <c r="BA88" s="6"/>
      <c r="BB88" s="10">
        <v>3</v>
      </c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</row>
    <row r="89" ht="15">
      <c r="A89" s="6" t="s">
        <v>1371</v>
      </c>
      <c r="B89" s="6">
        <f t="shared" si="77"/>
        <v>12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10">
        <v>1</v>
      </c>
      <c r="AQ89" s="6"/>
      <c r="AR89" s="10">
        <v>1</v>
      </c>
      <c r="AS89" s="10">
        <v>1</v>
      </c>
      <c r="AT89" s="6"/>
      <c r="AU89" s="10">
        <v>1</v>
      </c>
      <c r="AV89" s="10">
        <v>2</v>
      </c>
      <c r="AW89" s="6"/>
      <c r="AX89" s="6"/>
      <c r="AY89" s="10">
        <v>1</v>
      </c>
      <c r="AZ89" s="10">
        <v>1</v>
      </c>
      <c r="BA89" s="10">
        <v>1</v>
      </c>
      <c r="BB89" s="10">
        <v>3</v>
      </c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</row>
    <row r="90" ht="15">
      <c r="A90" s="6" t="s">
        <v>1375</v>
      </c>
      <c r="B90" s="6">
        <f t="shared" si="77"/>
        <v>7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10">
        <v>1</v>
      </c>
      <c r="AD90" s="6"/>
      <c r="AE90" s="6"/>
      <c r="AF90" s="6"/>
      <c r="AG90" s="6"/>
      <c r="AH90" s="6"/>
      <c r="AI90" s="6"/>
      <c r="AJ90" s="6"/>
      <c r="AK90" s="6"/>
      <c r="AL90" s="10">
        <v>1</v>
      </c>
      <c r="AM90" s="6"/>
      <c r="AN90" s="6"/>
      <c r="AO90" s="6"/>
      <c r="AP90" s="6"/>
      <c r="AQ90" s="6"/>
      <c r="AR90" s="6"/>
      <c r="AS90" s="6"/>
      <c r="AT90" s="6"/>
      <c r="AU90" s="6"/>
      <c r="AV90" s="10">
        <v>2</v>
      </c>
      <c r="AW90" s="10">
        <v>1</v>
      </c>
      <c r="AX90" s="10">
        <v>1</v>
      </c>
      <c r="AY90" s="6"/>
      <c r="AZ90" s="6"/>
      <c r="BA90" s="6"/>
      <c r="BB90" s="10">
        <v>1</v>
      </c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</row>
    <row r="91" ht="15">
      <c r="A91" s="6" t="s">
        <v>1379</v>
      </c>
      <c r="B91" s="6">
        <f t="shared" si="77"/>
        <v>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10">
        <v>1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10">
        <v>2</v>
      </c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</row>
    <row r="92" ht="15">
      <c r="A92" s="6" t="s">
        <v>1391</v>
      </c>
      <c r="B92" s="6">
        <f t="shared" si="77"/>
        <v>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10">
        <v>1</v>
      </c>
      <c r="AQ92" s="6"/>
      <c r="AR92" s="6"/>
      <c r="AS92" s="6"/>
      <c r="AT92" s="6"/>
      <c r="AU92" s="6"/>
      <c r="AV92" s="6"/>
      <c r="AW92" s="6"/>
      <c r="AX92" s="6"/>
      <c r="AY92" s="6"/>
      <c r="AZ92" s="10">
        <v>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</row>
    <row r="93" ht="15">
      <c r="A93" s="6" t="s">
        <v>1403</v>
      </c>
      <c r="B93" s="6">
        <f t="shared" si="77"/>
        <v>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10">
        <v>2</v>
      </c>
      <c r="AO93" s="6"/>
      <c r="AP93" s="6"/>
      <c r="AQ93" s="6"/>
      <c r="AR93" s="10">
        <v>1</v>
      </c>
      <c r="AS93" s="6"/>
      <c r="AT93" s="6"/>
      <c r="AU93" s="6"/>
      <c r="AV93" s="6"/>
      <c r="AW93" s="6"/>
      <c r="AX93" s="6"/>
      <c r="AY93" s="6"/>
      <c r="AZ93" s="10">
        <v>1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</row>
    <row r="94" ht="15">
      <c r="A94" s="6" t="s">
        <v>1415</v>
      </c>
      <c r="B94" s="6">
        <f t="shared" si="77"/>
        <v>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10">
        <v>1</v>
      </c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</row>
    <row r="95" ht="15">
      <c r="A95" s="6" t="s">
        <v>1443</v>
      </c>
      <c r="B95" s="6">
        <f t="shared" si="77"/>
        <v>106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10">
        <v>1</v>
      </c>
      <c r="AE95" s="6"/>
      <c r="AF95" s="6"/>
      <c r="AG95" s="6"/>
      <c r="AH95" s="6"/>
      <c r="AI95" s="10">
        <v>1</v>
      </c>
      <c r="AJ95" s="10">
        <v>1</v>
      </c>
      <c r="AK95" s="10">
        <v>1</v>
      </c>
      <c r="AL95" s="10">
        <v>3</v>
      </c>
      <c r="AM95" s="10">
        <v>3</v>
      </c>
      <c r="AN95" s="10">
        <v>1</v>
      </c>
      <c r="AO95" s="10">
        <v>4</v>
      </c>
      <c r="AP95" s="10">
        <v>1</v>
      </c>
      <c r="AQ95" s="10">
        <v>1</v>
      </c>
      <c r="AR95" s="10">
        <v>6</v>
      </c>
      <c r="AS95" s="10">
        <v>4</v>
      </c>
      <c r="AT95" s="10">
        <v>5</v>
      </c>
      <c r="AU95" s="10">
        <v>7</v>
      </c>
      <c r="AV95" s="10">
        <v>7</v>
      </c>
      <c r="AW95" s="10">
        <v>7</v>
      </c>
      <c r="AX95" s="10">
        <v>8</v>
      </c>
      <c r="AY95" s="10">
        <v>15</v>
      </c>
      <c r="AZ95" s="10">
        <v>13</v>
      </c>
      <c r="BA95" s="10">
        <v>7</v>
      </c>
      <c r="BB95" s="10">
        <v>10</v>
      </c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</row>
    <row r="96" ht="15">
      <c r="A96" s="6" t="s">
        <v>1451</v>
      </c>
      <c r="B96" s="6">
        <f t="shared" si="77"/>
        <v>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10">
        <v>1</v>
      </c>
      <c r="BA96" s="10">
        <v>1</v>
      </c>
      <c r="BB96" s="10">
        <v>1</v>
      </c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</row>
    <row r="97" ht="15">
      <c r="A97" s="6" t="s">
        <v>1455</v>
      </c>
      <c r="B97" s="6">
        <f t="shared" si="77"/>
        <v>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10">
        <v>1</v>
      </c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</row>
    <row r="98" ht="15">
      <c r="A98" s="6" t="s">
        <v>1471</v>
      </c>
      <c r="B98" s="6">
        <f t="shared" si="77"/>
        <v>48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10">
        <v>1</v>
      </c>
      <c r="AM98" s="10">
        <v>1</v>
      </c>
      <c r="AN98" s="10">
        <v>5</v>
      </c>
      <c r="AO98" s="10">
        <v>3</v>
      </c>
      <c r="AP98" s="10">
        <v>6</v>
      </c>
      <c r="AQ98" s="10">
        <v>5</v>
      </c>
      <c r="AR98" s="10">
        <v>1</v>
      </c>
      <c r="AS98" s="10">
        <v>1</v>
      </c>
      <c r="AT98" s="10">
        <v>2</v>
      </c>
      <c r="AU98" s="10">
        <v>1</v>
      </c>
      <c r="AV98" s="10">
        <v>4</v>
      </c>
      <c r="AW98" s="10">
        <v>4</v>
      </c>
      <c r="AX98" s="10">
        <v>1</v>
      </c>
      <c r="AY98" s="10">
        <v>7</v>
      </c>
      <c r="AZ98" s="10">
        <v>3</v>
      </c>
      <c r="BA98" s="10">
        <v>1</v>
      </c>
      <c r="BB98" s="10">
        <v>2</v>
      </c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</row>
    <row r="99" ht="15">
      <c r="A99" s="6" t="s">
        <v>1483</v>
      </c>
      <c r="B99" s="6">
        <f t="shared" si="77"/>
        <v>69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10">
        <v>1</v>
      </c>
      <c r="AH99" s="6"/>
      <c r="AI99" s="6"/>
      <c r="AJ99" s="10">
        <v>1</v>
      </c>
      <c r="AK99" s="6"/>
      <c r="AL99" s="6"/>
      <c r="AM99" s="10">
        <v>1</v>
      </c>
      <c r="AN99" s="10">
        <v>1</v>
      </c>
      <c r="AO99" s="10">
        <v>1</v>
      </c>
      <c r="AP99" s="10">
        <v>12</v>
      </c>
      <c r="AQ99" s="10">
        <v>11</v>
      </c>
      <c r="AR99" s="10">
        <v>3</v>
      </c>
      <c r="AS99" s="10">
        <v>3</v>
      </c>
      <c r="AT99" s="10">
        <v>2</v>
      </c>
      <c r="AU99" s="10">
        <v>2</v>
      </c>
      <c r="AV99" s="10">
        <v>1</v>
      </c>
      <c r="AW99" s="10">
        <v>6</v>
      </c>
      <c r="AX99" s="10">
        <v>5</v>
      </c>
      <c r="AY99" s="10">
        <v>6</v>
      </c>
      <c r="AZ99" s="10">
        <v>6</v>
      </c>
      <c r="BA99" s="10">
        <v>5</v>
      </c>
      <c r="BB99" s="10">
        <v>2</v>
      </c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</row>
    <row r="100" ht="15">
      <c r="A100" s="6" t="s">
        <v>1487</v>
      </c>
      <c r="B100" s="6">
        <f t="shared" ref="B100:B147" si="78">SUM(C100:BB100)</f>
        <v>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10">
        <v>1</v>
      </c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</row>
    <row r="101" ht="15">
      <c r="A101" s="6" t="s">
        <v>1491</v>
      </c>
      <c r="B101" s="6">
        <f t="shared" si="78"/>
        <v>26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10">
        <v>3</v>
      </c>
      <c r="AP101" s="10">
        <v>2</v>
      </c>
      <c r="AQ101" s="6"/>
      <c r="AR101" s="10">
        <v>4</v>
      </c>
      <c r="AS101" s="10">
        <v>4</v>
      </c>
      <c r="AT101" s="10">
        <v>2</v>
      </c>
      <c r="AU101" s="10">
        <v>4</v>
      </c>
      <c r="AV101" s="10">
        <v>1</v>
      </c>
      <c r="AW101" s="10">
        <v>1</v>
      </c>
      <c r="AX101" s="10">
        <v>1</v>
      </c>
      <c r="AY101" s="6"/>
      <c r="AZ101" s="10">
        <v>2</v>
      </c>
      <c r="BA101" s="6"/>
      <c r="BB101" s="10">
        <v>2</v>
      </c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</row>
    <row r="102" ht="15">
      <c r="A102" s="6" t="s">
        <v>1503</v>
      </c>
      <c r="B102" s="6">
        <f t="shared" si="78"/>
        <v>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10">
        <v>1</v>
      </c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</row>
    <row r="103" ht="15">
      <c r="A103" s="6" t="s">
        <v>1507</v>
      </c>
      <c r="B103" s="6">
        <f t="shared" si="78"/>
        <v>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10">
        <v>1</v>
      </c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</row>
    <row r="104" ht="15">
      <c r="A104" s="6" t="s">
        <v>1511</v>
      </c>
      <c r="B104" s="6">
        <f t="shared" si="78"/>
        <v>556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10">
        <v>1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10">
        <v>1</v>
      </c>
      <c r="AI104" s="10">
        <v>1</v>
      </c>
      <c r="AJ104" s="10">
        <v>1</v>
      </c>
      <c r="AK104" s="10">
        <v>1</v>
      </c>
      <c r="AL104" s="10">
        <v>4</v>
      </c>
      <c r="AM104" s="10">
        <v>2</v>
      </c>
      <c r="AN104" s="10">
        <v>2</v>
      </c>
      <c r="AO104" s="10">
        <v>6</v>
      </c>
      <c r="AP104" s="10">
        <v>25</v>
      </c>
      <c r="AQ104" s="10">
        <v>37</v>
      </c>
      <c r="AR104" s="10">
        <v>45</v>
      </c>
      <c r="AS104" s="10">
        <v>25</v>
      </c>
      <c r="AT104" s="10">
        <v>17</v>
      </c>
      <c r="AU104" s="10">
        <v>31</v>
      </c>
      <c r="AV104" s="10">
        <v>69</v>
      </c>
      <c r="AW104" s="10">
        <v>74</v>
      </c>
      <c r="AX104" s="10">
        <v>27</v>
      </c>
      <c r="AY104" s="10">
        <v>24</v>
      </c>
      <c r="AZ104" s="10">
        <v>43</v>
      </c>
      <c r="BA104" s="10">
        <v>59</v>
      </c>
      <c r="BB104" s="10">
        <v>61</v>
      </c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</row>
    <row r="105" ht="15">
      <c r="A105" s="6" t="s">
        <v>1515</v>
      </c>
      <c r="B105" s="6">
        <f t="shared" si="78"/>
        <v>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10">
        <v>1</v>
      </c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</row>
    <row r="106" ht="15">
      <c r="A106" s="6" t="s">
        <v>1543</v>
      </c>
      <c r="B106" s="6">
        <f t="shared" si="78"/>
        <v>25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10">
        <v>10</v>
      </c>
      <c r="AP106" s="10">
        <v>1</v>
      </c>
      <c r="AQ106" s="10">
        <v>5</v>
      </c>
      <c r="AR106" s="6"/>
      <c r="AS106" s="10">
        <v>1</v>
      </c>
      <c r="AT106" s="6"/>
      <c r="AU106" s="10">
        <v>1</v>
      </c>
      <c r="AV106" s="6"/>
      <c r="AW106" s="10">
        <v>3</v>
      </c>
      <c r="AX106" s="10">
        <v>1</v>
      </c>
      <c r="AY106" s="6"/>
      <c r="AZ106" s="10">
        <v>1</v>
      </c>
      <c r="BA106" s="10">
        <v>1</v>
      </c>
      <c r="BB106" s="10">
        <v>1</v>
      </c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</row>
    <row r="107" ht="15">
      <c r="A107" s="6" t="s">
        <v>1547</v>
      </c>
      <c r="B107" s="6">
        <f t="shared" si="78"/>
        <v>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</row>
    <row r="108" ht="15">
      <c r="A108" s="6" t="s">
        <v>1551</v>
      </c>
      <c r="B108" s="6">
        <f t="shared" si="78"/>
        <v>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10">
        <v>1</v>
      </c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</row>
    <row r="109" ht="15">
      <c r="A109" s="6" t="s">
        <v>1555</v>
      </c>
      <c r="B109" s="6">
        <f t="shared" si="78"/>
        <v>1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10">
        <v>1</v>
      </c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</row>
    <row r="110" ht="15">
      <c r="A110" s="6" t="s">
        <v>1559</v>
      </c>
      <c r="B110" s="6">
        <f t="shared" si="78"/>
        <v>272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10">
        <v>3</v>
      </c>
      <c r="AF110" s="10">
        <v>3</v>
      </c>
      <c r="AG110" s="6"/>
      <c r="AH110" s="10">
        <v>12</v>
      </c>
      <c r="AI110" s="10">
        <v>8</v>
      </c>
      <c r="AJ110" s="10">
        <v>3</v>
      </c>
      <c r="AK110" s="10">
        <v>11</v>
      </c>
      <c r="AL110" s="10">
        <v>4</v>
      </c>
      <c r="AM110" s="10">
        <v>3</v>
      </c>
      <c r="AN110" s="10">
        <v>14</v>
      </c>
      <c r="AO110" s="10">
        <v>48</v>
      </c>
      <c r="AP110" s="10">
        <v>25</v>
      </c>
      <c r="AQ110" s="10">
        <v>9</v>
      </c>
      <c r="AR110" s="10">
        <v>10</v>
      </c>
      <c r="AS110" s="10">
        <v>7</v>
      </c>
      <c r="AT110" s="10">
        <v>7</v>
      </c>
      <c r="AU110" s="10">
        <v>5</v>
      </c>
      <c r="AV110" s="10">
        <v>5</v>
      </c>
      <c r="AW110" s="10">
        <v>10</v>
      </c>
      <c r="AX110" s="10">
        <v>5</v>
      </c>
      <c r="AY110" s="10">
        <v>11</v>
      </c>
      <c r="AZ110" s="10">
        <v>22</v>
      </c>
      <c r="BA110" s="10">
        <v>23</v>
      </c>
      <c r="BB110" s="10">
        <v>24</v>
      </c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</row>
    <row r="111" ht="15">
      <c r="A111" s="6" t="s">
        <v>1567</v>
      </c>
      <c r="B111" s="6">
        <f t="shared" si="78"/>
        <v>16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10">
        <v>1</v>
      </c>
      <c r="AR111" s="6"/>
      <c r="AS111" s="10">
        <v>2</v>
      </c>
      <c r="AT111" s="10">
        <v>2</v>
      </c>
      <c r="AU111" s="6"/>
      <c r="AV111" s="6"/>
      <c r="AW111" s="6"/>
      <c r="AX111" s="10">
        <v>1</v>
      </c>
      <c r="AY111" s="10">
        <v>2</v>
      </c>
      <c r="AZ111" s="10">
        <v>1</v>
      </c>
      <c r="BA111" s="10">
        <v>2</v>
      </c>
      <c r="BB111" s="10">
        <v>5</v>
      </c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</row>
    <row r="112" ht="15">
      <c r="A112" s="6" t="s">
        <v>1587</v>
      </c>
      <c r="B112" s="6">
        <f t="shared" si="78"/>
        <v>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0">
        <v>1</v>
      </c>
      <c r="AV112" s="6"/>
      <c r="AW112" s="6"/>
      <c r="AX112" s="6"/>
      <c r="AY112" s="6"/>
      <c r="AZ112" s="6"/>
      <c r="BA112" s="6"/>
      <c r="BB112" s="10">
        <v>1</v>
      </c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</row>
    <row r="113" ht="15">
      <c r="A113" s="6" t="s">
        <v>1599</v>
      </c>
      <c r="B113" s="6">
        <f t="shared" si="78"/>
        <v>2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10">
        <v>1</v>
      </c>
      <c r="BA113" s="10">
        <v>1</v>
      </c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</row>
    <row r="114" ht="15">
      <c r="A114" s="6" t="s">
        <v>1611</v>
      </c>
      <c r="B114" s="6">
        <f t="shared" si="78"/>
        <v>161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10">
        <v>4</v>
      </c>
      <c r="AJ114" s="10">
        <v>2</v>
      </c>
      <c r="AK114" s="10">
        <v>1</v>
      </c>
      <c r="AL114" s="10">
        <v>3</v>
      </c>
      <c r="AM114" s="10">
        <v>3</v>
      </c>
      <c r="AN114" s="10">
        <v>3</v>
      </c>
      <c r="AO114" s="10">
        <v>6</v>
      </c>
      <c r="AP114" s="10">
        <v>8</v>
      </c>
      <c r="AQ114" s="10">
        <v>13</v>
      </c>
      <c r="AR114" s="10">
        <v>3</v>
      </c>
      <c r="AS114" s="10">
        <v>4</v>
      </c>
      <c r="AT114" s="10">
        <v>12</v>
      </c>
      <c r="AU114" s="10">
        <v>12</v>
      </c>
      <c r="AV114" s="10">
        <v>12</v>
      </c>
      <c r="AW114" s="10">
        <v>11</v>
      </c>
      <c r="AX114" s="10">
        <v>12</v>
      </c>
      <c r="AY114" s="10">
        <v>13</v>
      </c>
      <c r="AZ114" s="10">
        <v>11</v>
      </c>
      <c r="BA114" s="10">
        <v>20</v>
      </c>
      <c r="BB114" s="10">
        <v>8</v>
      </c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</row>
    <row r="115" ht="15">
      <c r="A115" s="6" t="s">
        <v>1623</v>
      </c>
      <c r="B115" s="6">
        <f t="shared" si="78"/>
        <v>1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10">
        <v>1</v>
      </c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</row>
    <row r="116" ht="15">
      <c r="A116" s="6" t="s">
        <v>1627</v>
      </c>
      <c r="B116" s="6">
        <f t="shared" si="78"/>
        <v>1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10">
        <v>1</v>
      </c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</row>
    <row r="117" ht="15">
      <c r="A117" s="6" t="s">
        <v>1631</v>
      </c>
      <c r="B117" s="6">
        <f t="shared" si="78"/>
        <v>24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10">
        <v>3</v>
      </c>
      <c r="AN117" s="10">
        <v>2</v>
      </c>
      <c r="AO117" s="10">
        <v>1</v>
      </c>
      <c r="AP117" s="10">
        <v>1</v>
      </c>
      <c r="AQ117" s="10">
        <v>2</v>
      </c>
      <c r="AR117" s="6"/>
      <c r="AS117" s="10">
        <v>1</v>
      </c>
      <c r="AT117" s="6"/>
      <c r="AU117" s="10">
        <v>1</v>
      </c>
      <c r="AV117" s="10">
        <v>3</v>
      </c>
      <c r="AW117" s="10">
        <v>2</v>
      </c>
      <c r="AX117" s="10">
        <v>1</v>
      </c>
      <c r="AY117" s="10">
        <v>2</v>
      </c>
      <c r="AZ117" s="10">
        <v>4</v>
      </c>
      <c r="BA117" s="6"/>
      <c r="BB117" s="10">
        <v>1</v>
      </c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</row>
    <row r="118" ht="15">
      <c r="A118" s="6" t="s">
        <v>1635</v>
      </c>
      <c r="B118" s="6">
        <f t="shared" si="78"/>
        <v>42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10">
        <v>3</v>
      </c>
      <c r="AK118" s="6"/>
      <c r="AL118" s="10">
        <v>2</v>
      </c>
      <c r="AM118" s="6"/>
      <c r="AN118" s="6"/>
      <c r="AO118" s="10">
        <v>2</v>
      </c>
      <c r="AP118" s="10">
        <v>3</v>
      </c>
      <c r="AQ118" s="10">
        <v>1</v>
      </c>
      <c r="AR118" s="10">
        <v>5</v>
      </c>
      <c r="AS118" s="6"/>
      <c r="AT118" s="10">
        <v>1</v>
      </c>
      <c r="AU118" s="10">
        <v>2</v>
      </c>
      <c r="AV118" s="10">
        <v>4</v>
      </c>
      <c r="AW118" s="10">
        <v>2</v>
      </c>
      <c r="AX118" s="6"/>
      <c r="AY118" s="10">
        <v>4</v>
      </c>
      <c r="AZ118" s="10">
        <v>2</v>
      </c>
      <c r="BA118" s="10">
        <v>3</v>
      </c>
      <c r="BB118" s="10">
        <v>8</v>
      </c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</row>
    <row r="119" ht="15">
      <c r="A119" s="6" t="s">
        <v>1679</v>
      </c>
      <c r="B119" s="6">
        <f t="shared" si="78"/>
        <v>1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10">
        <v>1</v>
      </c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</row>
    <row r="120" ht="15">
      <c r="A120" s="6" t="s">
        <v>1683</v>
      </c>
      <c r="B120" s="6">
        <f t="shared" si="78"/>
        <v>85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10">
        <v>1</v>
      </c>
      <c r="AK120" s="6"/>
      <c r="AL120" s="6"/>
      <c r="AM120" s="6"/>
      <c r="AN120" s="6"/>
      <c r="AO120" s="6"/>
      <c r="AP120" s="6"/>
      <c r="AQ120" s="6"/>
      <c r="AR120" s="10">
        <v>1</v>
      </c>
      <c r="AS120" s="6"/>
      <c r="AT120" s="6"/>
      <c r="AU120" s="6"/>
      <c r="AV120" s="6"/>
      <c r="AW120" s="6"/>
      <c r="AX120" s="10">
        <v>2</v>
      </c>
      <c r="AY120" s="10">
        <v>3</v>
      </c>
      <c r="AZ120" s="10">
        <v>12</v>
      </c>
      <c r="BA120" s="10">
        <v>38</v>
      </c>
      <c r="BB120" s="10">
        <v>28</v>
      </c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</row>
    <row r="121" ht="15">
      <c r="A121" s="6" t="s">
        <v>1687</v>
      </c>
      <c r="B121" s="6">
        <f t="shared" si="78"/>
        <v>3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10">
        <v>1</v>
      </c>
      <c r="AW121" s="10">
        <v>1</v>
      </c>
      <c r="AX121" s="6"/>
      <c r="AY121" s="6"/>
      <c r="AZ121" s="10">
        <v>1</v>
      </c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</row>
    <row r="122" ht="15">
      <c r="A122" s="6" t="s">
        <v>1695</v>
      </c>
      <c r="B122" s="6">
        <f t="shared" si="78"/>
        <v>2181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0">
        <v>1</v>
      </c>
      <c r="W122" s="6"/>
      <c r="X122" s="10">
        <v>2</v>
      </c>
      <c r="Y122" s="6"/>
      <c r="Z122" s="6"/>
      <c r="AA122" s="6"/>
      <c r="AB122" s="10">
        <v>1</v>
      </c>
      <c r="AC122" s="10">
        <v>1</v>
      </c>
      <c r="AD122" s="10">
        <v>2</v>
      </c>
      <c r="AE122" s="10">
        <v>6</v>
      </c>
      <c r="AF122" s="10">
        <v>4</v>
      </c>
      <c r="AG122" s="10">
        <v>31</v>
      </c>
      <c r="AH122" s="10">
        <v>30</v>
      </c>
      <c r="AI122" s="10">
        <v>48</v>
      </c>
      <c r="AJ122" s="10">
        <v>32</v>
      </c>
      <c r="AK122" s="10">
        <v>35</v>
      </c>
      <c r="AL122" s="10">
        <v>71</v>
      </c>
      <c r="AM122" s="10">
        <v>73</v>
      </c>
      <c r="AN122" s="10">
        <v>89</v>
      </c>
      <c r="AO122" s="10">
        <v>145</v>
      </c>
      <c r="AP122" s="10">
        <v>183</v>
      </c>
      <c r="AQ122" s="10">
        <v>210</v>
      </c>
      <c r="AR122" s="10">
        <v>177</v>
      </c>
      <c r="AS122" s="10">
        <v>78</v>
      </c>
      <c r="AT122" s="10">
        <v>118</v>
      </c>
      <c r="AU122" s="10">
        <v>99</v>
      </c>
      <c r="AV122" s="10">
        <v>76</v>
      </c>
      <c r="AW122" s="10">
        <v>98</v>
      </c>
      <c r="AX122" s="10">
        <v>59</v>
      </c>
      <c r="AY122" s="10">
        <v>71</v>
      </c>
      <c r="AZ122" s="10">
        <v>118</v>
      </c>
      <c r="BA122" s="10">
        <v>135</v>
      </c>
      <c r="BB122" s="10">
        <v>188</v>
      </c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</row>
    <row r="123" ht="15">
      <c r="A123" s="6" t="s">
        <v>1699</v>
      </c>
      <c r="B123" s="6">
        <f t="shared" si="78"/>
        <v>543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10">
        <v>1</v>
      </c>
      <c r="AC123" s="6"/>
      <c r="AD123" s="10">
        <v>1</v>
      </c>
      <c r="AE123" s="6"/>
      <c r="AF123" s="6"/>
      <c r="AG123" s="6"/>
      <c r="AH123" s="10">
        <v>5</v>
      </c>
      <c r="AI123" s="10">
        <v>7</v>
      </c>
      <c r="AJ123" s="10">
        <v>6</v>
      </c>
      <c r="AK123" s="10">
        <v>4</v>
      </c>
      <c r="AL123" s="10">
        <v>11</v>
      </c>
      <c r="AM123" s="10">
        <v>8</v>
      </c>
      <c r="AN123" s="10">
        <v>14</v>
      </c>
      <c r="AO123" s="10">
        <v>37</v>
      </c>
      <c r="AP123" s="10">
        <v>63</v>
      </c>
      <c r="AQ123" s="10">
        <v>41</v>
      </c>
      <c r="AR123" s="10">
        <v>43</v>
      </c>
      <c r="AS123" s="10">
        <v>36</v>
      </c>
      <c r="AT123" s="10">
        <v>40</v>
      </c>
      <c r="AU123" s="10">
        <v>40</v>
      </c>
      <c r="AV123" s="10">
        <v>33</v>
      </c>
      <c r="AW123" s="10">
        <v>38</v>
      </c>
      <c r="AX123" s="10">
        <v>33</v>
      </c>
      <c r="AY123" s="10">
        <v>19</v>
      </c>
      <c r="AZ123" s="10">
        <v>15</v>
      </c>
      <c r="BA123" s="10">
        <v>21</v>
      </c>
      <c r="BB123" s="10">
        <v>27</v>
      </c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</row>
    <row r="124" ht="15">
      <c r="A124" s="6" t="s">
        <v>1707</v>
      </c>
      <c r="B124" s="6">
        <f t="shared" si="78"/>
        <v>59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10">
        <v>1</v>
      </c>
      <c r="AD124" s="6"/>
      <c r="AE124" s="6"/>
      <c r="AF124" s="6"/>
      <c r="AG124" s="6"/>
      <c r="AH124" s="10">
        <v>1</v>
      </c>
      <c r="AI124" s="6"/>
      <c r="AJ124" s="6"/>
      <c r="AK124" s="6"/>
      <c r="AL124" s="6"/>
      <c r="AM124" s="10">
        <v>1</v>
      </c>
      <c r="AN124" s="6"/>
      <c r="AO124" s="6"/>
      <c r="AP124" s="10">
        <v>2</v>
      </c>
      <c r="AQ124" s="6"/>
      <c r="AR124" s="10">
        <v>4</v>
      </c>
      <c r="AS124" s="10">
        <v>4</v>
      </c>
      <c r="AT124" s="10">
        <v>2</v>
      </c>
      <c r="AU124" s="10">
        <v>6</v>
      </c>
      <c r="AV124" s="10">
        <v>6</v>
      </c>
      <c r="AW124" s="10">
        <v>6</v>
      </c>
      <c r="AX124" s="10">
        <v>2</v>
      </c>
      <c r="AY124" s="10">
        <v>12</v>
      </c>
      <c r="AZ124" s="10">
        <v>9</v>
      </c>
      <c r="BA124" s="10">
        <v>1</v>
      </c>
      <c r="BB124" s="10">
        <v>2</v>
      </c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</row>
    <row r="125" ht="15">
      <c r="A125" s="6" t="s">
        <v>1711</v>
      </c>
      <c r="B125" s="6">
        <f t="shared" si="78"/>
        <v>22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0">
        <v>2</v>
      </c>
      <c r="AV125" s="10">
        <v>6</v>
      </c>
      <c r="AW125" s="10">
        <v>5</v>
      </c>
      <c r="AX125" s="10">
        <v>4</v>
      </c>
      <c r="AY125" s="6"/>
      <c r="AZ125" s="10">
        <v>3</v>
      </c>
      <c r="BA125" s="6"/>
      <c r="BB125" s="10">
        <v>2</v>
      </c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</row>
    <row r="126" ht="15">
      <c r="A126" s="6" t="s">
        <v>1715</v>
      </c>
      <c r="B126" s="6">
        <f t="shared" si="78"/>
        <v>1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10">
        <v>1</v>
      </c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</row>
    <row r="127" ht="15">
      <c r="A127" s="6" t="s">
        <v>1735</v>
      </c>
      <c r="B127" s="6">
        <f t="shared" si="78"/>
        <v>1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10">
        <v>1</v>
      </c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</row>
    <row r="128" ht="15">
      <c r="A128" s="6" t="s">
        <v>1743</v>
      </c>
      <c r="B128" s="6">
        <f t="shared" si="78"/>
        <v>3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10">
        <v>1</v>
      </c>
      <c r="BA128" s="6"/>
      <c r="BB128" s="10">
        <v>2</v>
      </c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</row>
    <row r="129" ht="15">
      <c r="A129" s="6" t="s">
        <v>1747</v>
      </c>
      <c r="B129" s="6">
        <f t="shared" si="78"/>
        <v>496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0">
        <v>1</v>
      </c>
      <c r="AL129" s="10">
        <v>2</v>
      </c>
      <c r="AM129" s="10">
        <v>1</v>
      </c>
      <c r="AN129" s="10">
        <v>5</v>
      </c>
      <c r="AO129" s="10">
        <v>8</v>
      </c>
      <c r="AP129" s="10">
        <v>49</v>
      </c>
      <c r="AQ129" s="10">
        <v>44</v>
      </c>
      <c r="AR129" s="10">
        <v>49</v>
      </c>
      <c r="AS129" s="10">
        <v>40</v>
      </c>
      <c r="AT129" s="10">
        <v>36</v>
      </c>
      <c r="AU129" s="10">
        <v>36</v>
      </c>
      <c r="AV129" s="10">
        <v>26</v>
      </c>
      <c r="AW129" s="10">
        <v>34</v>
      </c>
      <c r="AX129" s="10">
        <v>40</v>
      </c>
      <c r="AY129" s="10">
        <v>27</v>
      </c>
      <c r="AZ129" s="10">
        <v>49</v>
      </c>
      <c r="BA129" s="10">
        <v>30</v>
      </c>
      <c r="BB129" s="10">
        <v>19</v>
      </c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</row>
    <row r="130" ht="15">
      <c r="A130" s="6" t="s">
        <v>1771</v>
      </c>
      <c r="B130" s="6">
        <f t="shared" si="78"/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0">
        <v>1</v>
      </c>
      <c r="AT130" s="6"/>
      <c r="AU130" s="6"/>
      <c r="AV130" s="6"/>
      <c r="AW130" s="10">
        <v>2</v>
      </c>
      <c r="AX130" s="10">
        <v>2</v>
      </c>
      <c r="AY130" s="10">
        <v>1</v>
      </c>
      <c r="AZ130" s="10">
        <v>1</v>
      </c>
      <c r="BA130" s="10">
        <v>1</v>
      </c>
      <c r="BB130" s="10">
        <v>5</v>
      </c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</row>
    <row r="131" ht="15">
      <c r="A131" s="6" t="s">
        <v>1783</v>
      </c>
      <c r="B131" s="6">
        <f t="shared" si="78"/>
        <v>12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10">
        <v>1</v>
      </c>
      <c r="AK131" s="6"/>
      <c r="AL131" s="6"/>
      <c r="AM131" s="6"/>
      <c r="AN131" s="6"/>
      <c r="AO131" s="10">
        <v>1</v>
      </c>
      <c r="AP131" s="6"/>
      <c r="AQ131" s="6"/>
      <c r="AR131" s="6"/>
      <c r="AS131" s="6"/>
      <c r="AT131" s="6"/>
      <c r="AU131" s="6"/>
      <c r="AV131" s="6"/>
      <c r="AW131" s="6"/>
      <c r="AX131" s="10">
        <v>2</v>
      </c>
      <c r="AY131" s="6"/>
      <c r="AZ131" s="10">
        <v>1</v>
      </c>
      <c r="BA131" s="10">
        <v>4</v>
      </c>
      <c r="BB131" s="10">
        <v>3</v>
      </c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</row>
    <row r="132" ht="15">
      <c r="A132" s="6" t="s">
        <v>1795</v>
      </c>
      <c r="B132" s="6">
        <f t="shared" si="78"/>
        <v>1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10">
        <v>1</v>
      </c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</row>
    <row r="133" ht="15">
      <c r="A133" s="6" t="s">
        <v>1799</v>
      </c>
      <c r="B133" s="6">
        <f t="shared" si="78"/>
        <v>1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10">
        <v>1</v>
      </c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</row>
    <row r="134" ht="15">
      <c r="A134" s="6" t="s">
        <v>1819</v>
      </c>
      <c r="B134" s="6">
        <f t="shared" si="78"/>
        <v>1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10">
        <v>1</v>
      </c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</row>
    <row r="135" ht="15">
      <c r="A135" s="6" t="s">
        <v>1835</v>
      </c>
      <c r="B135" s="6">
        <f t="shared" si="78"/>
        <v>21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10">
        <v>1</v>
      </c>
      <c r="AX135" s="10">
        <v>1</v>
      </c>
      <c r="AY135" s="6"/>
      <c r="AZ135" s="10">
        <v>8</v>
      </c>
      <c r="BA135" s="10">
        <v>4</v>
      </c>
      <c r="BB135" s="10">
        <v>7</v>
      </c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</row>
    <row r="136" ht="15">
      <c r="A136" s="6" t="s">
        <v>1851</v>
      </c>
      <c r="B136" s="6">
        <f t="shared" si="78"/>
        <v>127</v>
      </c>
      <c r="C136" s="6"/>
      <c r="D136" s="6"/>
      <c r="E136" s="6"/>
      <c r="F136" s="6"/>
      <c r="G136" s="10"/>
      <c r="H136" s="10"/>
      <c r="I136" s="10">
        <v>1</v>
      </c>
      <c r="J136" s="10">
        <v>1</v>
      </c>
      <c r="K136" s="10">
        <v>3</v>
      </c>
      <c r="L136" s="10">
        <v>7</v>
      </c>
      <c r="M136" s="6"/>
      <c r="N136" s="10">
        <v>1</v>
      </c>
      <c r="O136" s="10">
        <v>3</v>
      </c>
      <c r="P136" s="6"/>
      <c r="Q136" s="10">
        <v>2</v>
      </c>
      <c r="R136" s="6"/>
      <c r="S136" s="6"/>
      <c r="T136" s="6"/>
      <c r="U136" s="6"/>
      <c r="V136" s="6"/>
      <c r="W136" s="10">
        <v>1</v>
      </c>
      <c r="X136" s="6"/>
      <c r="Y136" s="6"/>
      <c r="Z136" s="6"/>
      <c r="AA136" s="6"/>
      <c r="AB136" s="10">
        <v>1</v>
      </c>
      <c r="AC136" s="6"/>
      <c r="AD136" s="6"/>
      <c r="AE136" s="6"/>
      <c r="AF136" s="6"/>
      <c r="AG136" s="6"/>
      <c r="AH136" s="10">
        <v>2</v>
      </c>
      <c r="AI136" s="6"/>
      <c r="AJ136" s="6"/>
      <c r="AK136" s="6"/>
      <c r="AL136" s="10">
        <v>1</v>
      </c>
      <c r="AM136" s="10">
        <v>4</v>
      </c>
      <c r="AN136" s="6"/>
      <c r="AO136" s="10">
        <v>1</v>
      </c>
      <c r="AP136" s="6"/>
      <c r="AQ136" s="10">
        <v>4</v>
      </c>
      <c r="AR136" s="6"/>
      <c r="AS136" s="10">
        <v>2</v>
      </c>
      <c r="AT136" s="10">
        <v>4</v>
      </c>
      <c r="AU136" s="10">
        <v>5</v>
      </c>
      <c r="AV136" s="10">
        <v>2</v>
      </c>
      <c r="AW136" s="10">
        <v>4</v>
      </c>
      <c r="AX136" s="10">
        <v>8</v>
      </c>
      <c r="AY136" s="10">
        <v>11</v>
      </c>
      <c r="AZ136" s="10">
        <v>17</v>
      </c>
      <c r="BA136" s="10">
        <v>9</v>
      </c>
      <c r="BB136" s="10">
        <v>33</v>
      </c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</row>
    <row r="137" ht="15">
      <c r="A137" s="6" t="s">
        <v>1863</v>
      </c>
      <c r="B137" s="6">
        <f t="shared" si="78"/>
        <v>1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10">
        <v>1</v>
      </c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</row>
    <row r="138" ht="15">
      <c r="A138" s="6" t="s">
        <v>1867</v>
      </c>
      <c r="B138" s="6">
        <f t="shared" si="78"/>
        <v>2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10">
        <v>1</v>
      </c>
      <c r="AS138" s="6"/>
      <c r="AT138" s="6"/>
      <c r="AU138" s="6"/>
      <c r="AV138" s="6"/>
      <c r="AW138" s="6"/>
      <c r="AX138" s="6"/>
      <c r="AY138" s="6"/>
      <c r="AZ138" s="6"/>
      <c r="BA138" s="6"/>
      <c r="BB138" s="10">
        <v>1</v>
      </c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</row>
    <row r="139" ht="15">
      <c r="A139" s="6" t="s">
        <v>1919</v>
      </c>
      <c r="B139" s="6">
        <f t="shared" si="78"/>
        <v>123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0">
        <v>1</v>
      </c>
      <c r="Q139" s="6"/>
      <c r="R139" s="6"/>
      <c r="S139" s="6"/>
      <c r="T139" s="6"/>
      <c r="U139" s="6"/>
      <c r="V139" s="6"/>
      <c r="W139" s="6"/>
      <c r="X139" s="10">
        <v>1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10">
        <v>1</v>
      </c>
      <c r="AJ139" s="10">
        <v>2</v>
      </c>
      <c r="AK139" s="10">
        <v>1</v>
      </c>
      <c r="AL139" s="10">
        <v>1</v>
      </c>
      <c r="AM139" s="10">
        <v>3</v>
      </c>
      <c r="AN139" s="6"/>
      <c r="AO139" s="10">
        <v>1</v>
      </c>
      <c r="AP139" s="10">
        <v>2</v>
      </c>
      <c r="AQ139" s="10">
        <v>9</v>
      </c>
      <c r="AR139" s="10">
        <v>17</v>
      </c>
      <c r="AS139" s="10">
        <v>5</v>
      </c>
      <c r="AT139" s="10">
        <v>6</v>
      </c>
      <c r="AU139" s="10">
        <v>6</v>
      </c>
      <c r="AV139" s="10">
        <v>7</v>
      </c>
      <c r="AW139" s="10">
        <v>5</v>
      </c>
      <c r="AX139" s="10">
        <v>6</v>
      </c>
      <c r="AY139" s="10">
        <v>4</v>
      </c>
      <c r="AZ139" s="10">
        <v>9</v>
      </c>
      <c r="BA139" s="10">
        <v>9</v>
      </c>
      <c r="BB139" s="10">
        <v>27</v>
      </c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</row>
    <row r="140" ht="15">
      <c r="A140" s="6" t="s">
        <v>1927</v>
      </c>
      <c r="B140" s="6">
        <f t="shared" si="78"/>
        <v>142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10">
        <v>1</v>
      </c>
      <c r="Z140" s="10">
        <v>1</v>
      </c>
      <c r="AA140" s="10">
        <v>1</v>
      </c>
      <c r="AB140" s="10">
        <v>3</v>
      </c>
      <c r="AC140" s="6"/>
      <c r="AD140" s="10">
        <v>4</v>
      </c>
      <c r="AE140" s="10">
        <v>8</v>
      </c>
      <c r="AF140" s="10">
        <v>4</v>
      </c>
      <c r="AG140" s="10">
        <v>3</v>
      </c>
      <c r="AH140" s="10">
        <v>1</v>
      </c>
      <c r="AI140" s="10">
        <v>5</v>
      </c>
      <c r="AJ140" s="10">
        <v>4</v>
      </c>
      <c r="AK140" s="10">
        <v>7</v>
      </c>
      <c r="AL140" s="10">
        <v>2</v>
      </c>
      <c r="AM140" s="10">
        <v>2</v>
      </c>
      <c r="AN140" s="10">
        <v>3</v>
      </c>
      <c r="AO140" s="10">
        <v>9</v>
      </c>
      <c r="AP140" s="10">
        <v>3</v>
      </c>
      <c r="AQ140" s="10">
        <v>6</v>
      </c>
      <c r="AR140" s="10">
        <v>5</v>
      </c>
      <c r="AS140" s="10">
        <v>7</v>
      </c>
      <c r="AT140" s="10">
        <v>3</v>
      </c>
      <c r="AU140" s="10">
        <v>5</v>
      </c>
      <c r="AV140" s="10">
        <v>7</v>
      </c>
      <c r="AW140" s="10">
        <v>7</v>
      </c>
      <c r="AX140" s="10">
        <v>2</v>
      </c>
      <c r="AY140" s="10">
        <v>7</v>
      </c>
      <c r="AZ140" s="10">
        <v>13</v>
      </c>
      <c r="BA140" s="10">
        <v>9</v>
      </c>
      <c r="BB140" s="10">
        <v>10</v>
      </c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</row>
    <row r="141" ht="15">
      <c r="A141" s="6" t="s">
        <v>1931</v>
      </c>
      <c r="B141" s="6">
        <f t="shared" si="78"/>
        <v>1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10">
        <v>1</v>
      </c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</row>
    <row r="142" ht="15">
      <c r="A142" s="6" t="s">
        <v>1947</v>
      </c>
      <c r="B142" s="6">
        <f t="shared" si="78"/>
        <v>55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10">
        <v>1</v>
      </c>
      <c r="AY142" s="10">
        <v>4</v>
      </c>
      <c r="AZ142" s="10">
        <v>11</v>
      </c>
      <c r="BA142" s="10">
        <v>8</v>
      </c>
      <c r="BB142" s="10">
        <v>31</v>
      </c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</row>
    <row r="143" ht="15">
      <c r="A143" s="6" t="s">
        <v>1951</v>
      </c>
      <c r="B143" s="6">
        <f t="shared" si="78"/>
        <v>2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10">
        <v>1</v>
      </c>
      <c r="AI143" s="6"/>
      <c r="AJ143" s="6"/>
      <c r="AK143" s="6"/>
      <c r="AL143" s="6"/>
      <c r="AM143" s="6"/>
      <c r="AN143" s="6"/>
      <c r="AO143" s="6"/>
      <c r="AP143" s="6"/>
      <c r="AQ143" s="10">
        <v>1</v>
      </c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</row>
    <row r="144" ht="15">
      <c r="A144" s="6" t="s">
        <v>1959</v>
      </c>
      <c r="B144" s="6">
        <f t="shared" si="78"/>
        <v>8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10">
        <v>1</v>
      </c>
      <c r="AK144" s="6"/>
      <c r="AL144" s="6"/>
      <c r="AM144" s="6"/>
      <c r="AN144" s="6"/>
      <c r="AO144" s="6"/>
      <c r="AP144" s="6"/>
      <c r="AQ144" s="6"/>
      <c r="AR144" s="10">
        <v>1</v>
      </c>
      <c r="AS144" s="6"/>
      <c r="AT144" s="10">
        <v>1</v>
      </c>
      <c r="AU144" s="10">
        <v>1</v>
      </c>
      <c r="AV144" s="6"/>
      <c r="AW144" s="10">
        <v>1</v>
      </c>
      <c r="AX144" s="10">
        <v>1</v>
      </c>
      <c r="AY144" s="10">
        <v>1</v>
      </c>
      <c r="AZ144" s="6"/>
      <c r="BA144" s="10">
        <v>1</v>
      </c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</row>
    <row r="145" ht="15">
      <c r="A145" s="6" t="s">
        <v>1963</v>
      </c>
      <c r="B145" s="6">
        <f t="shared" si="78"/>
        <v>13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0">
        <v>1</v>
      </c>
      <c r="AV145" s="10">
        <v>2</v>
      </c>
      <c r="AW145" s="10">
        <v>1</v>
      </c>
      <c r="AX145" s="10">
        <v>1</v>
      </c>
      <c r="AY145" s="10">
        <v>3</v>
      </c>
      <c r="AZ145" s="10">
        <v>1</v>
      </c>
      <c r="BA145" s="10">
        <v>2</v>
      </c>
      <c r="BB145" s="10">
        <v>2</v>
      </c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</row>
    <row r="146" ht="15">
      <c r="A146" s="6" t="s">
        <v>1975</v>
      </c>
      <c r="B146" s="6">
        <f t="shared" si="78"/>
        <v>1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10">
        <v>1</v>
      </c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</row>
    <row r="147" ht="15">
      <c r="A147" s="7" t="s">
        <v>2896</v>
      </c>
      <c r="B147" s="6">
        <f t="shared" si="78"/>
        <v>6497</v>
      </c>
      <c r="C147" s="10">
        <v>1</v>
      </c>
      <c r="D147" s="10">
        <v>1</v>
      </c>
      <c r="E147" s="10"/>
      <c r="F147" s="10">
        <v>2</v>
      </c>
      <c r="G147" s="10"/>
      <c r="H147" s="10"/>
      <c r="I147" s="10">
        <v>1</v>
      </c>
      <c r="J147" s="10">
        <v>1</v>
      </c>
      <c r="K147" s="10">
        <v>3</v>
      </c>
      <c r="L147" s="10">
        <v>7</v>
      </c>
      <c r="M147" s="10">
        <v>3</v>
      </c>
      <c r="N147" s="10">
        <v>1</v>
      </c>
      <c r="O147" s="10">
        <v>4</v>
      </c>
      <c r="P147" s="10">
        <v>2</v>
      </c>
      <c r="Q147" s="10">
        <v>7</v>
      </c>
      <c r="R147" s="10">
        <v>4</v>
      </c>
      <c r="S147" s="10">
        <v>4</v>
      </c>
      <c r="T147" s="10">
        <v>8</v>
      </c>
      <c r="U147" s="10">
        <v>1</v>
      </c>
      <c r="V147" s="10">
        <v>7</v>
      </c>
      <c r="W147" s="10">
        <v>5</v>
      </c>
      <c r="X147" s="10">
        <v>9</v>
      </c>
      <c r="Y147" s="10">
        <v>6</v>
      </c>
      <c r="Z147" s="10">
        <v>4</v>
      </c>
      <c r="AA147" s="10">
        <v>1</v>
      </c>
      <c r="AB147" s="10">
        <v>7</v>
      </c>
      <c r="AC147" s="10">
        <v>4</v>
      </c>
      <c r="AD147" s="10">
        <v>11</v>
      </c>
      <c r="AE147" s="10">
        <v>20</v>
      </c>
      <c r="AF147" s="10">
        <v>17</v>
      </c>
      <c r="AG147" s="10">
        <v>39</v>
      </c>
      <c r="AH147" s="10">
        <v>59</v>
      </c>
      <c r="AI147" s="10">
        <v>88</v>
      </c>
      <c r="AJ147" s="10">
        <v>63</v>
      </c>
      <c r="AK147" s="10">
        <v>67</v>
      </c>
      <c r="AL147" s="10">
        <v>113</v>
      </c>
      <c r="AM147" s="10">
        <v>120</v>
      </c>
      <c r="AN147" s="10">
        <v>147</v>
      </c>
      <c r="AO147" s="10">
        <v>299</v>
      </c>
      <c r="AP147" s="10">
        <v>396</v>
      </c>
      <c r="AQ147" s="10">
        <v>415</v>
      </c>
      <c r="AR147" s="10">
        <v>425</v>
      </c>
      <c r="AS147" s="10">
        <v>251</v>
      </c>
      <c r="AT147" s="10">
        <v>289</v>
      </c>
      <c r="AU147" s="10">
        <v>293</v>
      </c>
      <c r="AV147" s="10">
        <v>374</v>
      </c>
      <c r="AW147" s="10">
        <v>439</v>
      </c>
      <c r="AX147" s="10">
        <v>336</v>
      </c>
      <c r="AY147" s="10">
        <v>329</v>
      </c>
      <c r="AZ147" s="10">
        <v>491</v>
      </c>
      <c r="BA147" s="10">
        <v>543</v>
      </c>
      <c r="BB147" s="10">
        <v>780</v>
      </c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</row>
    <row r="148" ht="15">
      <c r="A148" s="1" t="s">
        <v>2890</v>
      </c>
      <c r="B148" s="1">
        <f>COUNT(B2:B146)</f>
        <v>145</v>
      </c>
      <c r="C148" s="1">
        <f>COUNT(C2:C146)</f>
        <v>1</v>
      </c>
      <c r="D148" s="1">
        <f>COUNT(D2:D146)</f>
        <v>1</v>
      </c>
      <c r="F148" s="1">
        <f>COUNT(F2:F146)</f>
        <v>1</v>
      </c>
      <c r="I148" s="1">
        <f>COUNT(I2:I146)</f>
        <v>1</v>
      </c>
      <c r="J148" s="1">
        <f>COUNT(J2:J146)</f>
        <v>1</v>
      </c>
      <c r="K148" s="1">
        <f>COUNT(K2:K146)</f>
        <v>1</v>
      </c>
      <c r="L148" s="1">
        <f>COUNT(L2:L146)</f>
        <v>1</v>
      </c>
      <c r="M148" s="1">
        <f>COUNT(M2:M146)</f>
        <v>3</v>
      </c>
      <c r="N148" s="1">
        <f>COUNT(N2:N146)</f>
        <v>1</v>
      </c>
      <c r="O148" s="1">
        <f>COUNT(O2:O146)</f>
        <v>2</v>
      </c>
      <c r="P148" s="1">
        <f>COUNT(P2:P146)</f>
        <v>2</v>
      </c>
      <c r="Q148" s="1">
        <f>COUNT(Q2:Q146)</f>
        <v>3</v>
      </c>
      <c r="R148" s="1">
        <f>COUNT(R2:R146)</f>
        <v>3</v>
      </c>
      <c r="S148" s="1">
        <f>COUNT(S2:S146)</f>
        <v>2</v>
      </c>
      <c r="T148" s="1">
        <f>COUNT(T2:T146)</f>
        <v>4</v>
      </c>
      <c r="U148" s="1">
        <f>COUNT(U2:U146)</f>
        <v>1</v>
      </c>
      <c r="V148" s="1">
        <f>COUNT(V2:V146)</f>
        <v>4</v>
      </c>
      <c r="W148" s="1">
        <f>COUNT(W2:W146)</f>
        <v>4</v>
      </c>
      <c r="X148" s="1">
        <f>COUNT(X2:X146)</f>
        <v>4</v>
      </c>
      <c r="Y148" s="1">
        <f>COUNT(Y2:Y146)</f>
        <v>4</v>
      </c>
      <c r="Z148" s="1">
        <f>COUNT(Z2:Z146)</f>
        <v>3</v>
      </c>
      <c r="AA148" s="1">
        <f>COUNT(AA2:AA146)</f>
        <v>1</v>
      </c>
      <c r="AB148" s="1">
        <f>COUNT(AB2:AB146)</f>
        <v>5</v>
      </c>
      <c r="AC148" s="1">
        <f>COUNT(AC2:AC146)</f>
        <v>4</v>
      </c>
      <c r="AD148" s="1">
        <f>COUNT(AD2:AD146)</f>
        <v>6</v>
      </c>
      <c r="AE148" s="1">
        <f>COUNT(AE2:AE146)</f>
        <v>4</v>
      </c>
      <c r="AF148" s="1">
        <f>COUNT(AF2:AF146)</f>
        <v>4</v>
      </c>
      <c r="AG148" s="1">
        <f>COUNT(AG2:AG146)</f>
        <v>5</v>
      </c>
      <c r="AH148" s="1">
        <f>COUNT(AH2:AH146)</f>
        <v>14</v>
      </c>
      <c r="AI148" s="1">
        <f>COUNT(AI2:AI146)</f>
        <v>14</v>
      </c>
      <c r="AJ148" s="1">
        <f>COUNT(AJ2:AJ146)</f>
        <v>14</v>
      </c>
      <c r="AK148" s="1">
        <f>COUNT(AK2:AK146)</f>
        <v>13</v>
      </c>
      <c r="AL148" s="1">
        <f>COUNT(AL2:AL146)</f>
        <v>18</v>
      </c>
      <c r="AM148" s="1">
        <f>COUNT(AM2:AM146)</f>
        <v>19</v>
      </c>
      <c r="AN148" s="1">
        <f>COUNT(AN2:AN146)</f>
        <v>14</v>
      </c>
      <c r="AO148" s="1">
        <f>COUNT(AO2:AO146)</f>
        <v>23</v>
      </c>
      <c r="AP148" s="1">
        <f>COUNT(AP2:AP146)</f>
        <v>25</v>
      </c>
      <c r="AQ148" s="1">
        <f>COUNT(AQ2:AQ146)</f>
        <v>27</v>
      </c>
      <c r="AR148" s="1">
        <f>COUNT(AR2:AR146)</f>
        <v>38</v>
      </c>
      <c r="AS148" s="1">
        <f>COUNT(AS2:AS146)</f>
        <v>35</v>
      </c>
      <c r="AT148" s="1">
        <f>COUNT(AT2:AT146)</f>
        <v>36</v>
      </c>
      <c r="AU148" s="1">
        <f>COUNT(AU2:AU146)</f>
        <v>38</v>
      </c>
      <c r="AV148" s="1">
        <f>COUNT(AV2:AV146)</f>
        <v>61</v>
      </c>
      <c r="AW148" s="1">
        <f>COUNT(AW2:AW146)</f>
        <v>58</v>
      </c>
      <c r="AX148" s="1">
        <f>COUNT(AX2:AX146)</f>
        <v>56</v>
      </c>
      <c r="AY148" s="1">
        <f>COUNT(AY2:AY146)</f>
        <v>48</v>
      </c>
      <c r="AZ148" s="1">
        <f>COUNT(AZ2:AZ146)</f>
        <v>69</v>
      </c>
      <c r="BA148" s="1">
        <f>COUNT(BA2:BA146)</f>
        <v>67</v>
      </c>
      <c r="BB148" s="1">
        <f>COUNT(BB2:BB146)</f>
        <v>88</v>
      </c>
    </row>
    <row r="149" ht="15">
      <c r="A149" s="34" t="s">
        <v>2897</v>
      </c>
      <c r="B149" s="34">
        <f>B147/B148</f>
        <v>44.806896551724101</v>
      </c>
      <c r="C149" s="34">
        <f>C147/C148</f>
        <v>1</v>
      </c>
      <c r="D149" s="34">
        <f>D147/D148</f>
        <v>1</v>
      </c>
      <c r="E149" s="34"/>
      <c r="F149" s="34">
        <f>F147/F148</f>
        <v>2</v>
      </c>
      <c r="G149" s="34"/>
      <c r="H149" s="34"/>
      <c r="I149" s="34">
        <f>I147/I148</f>
        <v>1</v>
      </c>
      <c r="J149" s="34">
        <f>J147/J148</f>
        <v>1</v>
      </c>
      <c r="K149" s="34">
        <f>K147/K148</f>
        <v>3</v>
      </c>
      <c r="L149" s="34">
        <f>L147/L148</f>
        <v>7</v>
      </c>
      <c r="M149" s="34">
        <f>M147/M148</f>
        <v>1</v>
      </c>
      <c r="N149" s="34">
        <f>N147/N148</f>
        <v>1</v>
      </c>
      <c r="O149" s="34">
        <f>O147/O148</f>
        <v>2</v>
      </c>
      <c r="P149" s="34">
        <f>P147/P148</f>
        <v>1</v>
      </c>
      <c r="Q149" s="34">
        <f>Q147/Q148</f>
        <v>2.3333333333333299</v>
      </c>
      <c r="R149" s="34">
        <f>R147/R148</f>
        <v>1.3333333333333299</v>
      </c>
      <c r="S149" s="34">
        <f>S147/S148</f>
        <v>2</v>
      </c>
      <c r="T149" s="34">
        <f>T147/T148</f>
        <v>2</v>
      </c>
      <c r="U149" s="34">
        <f>U147/U148</f>
        <v>1</v>
      </c>
      <c r="V149" s="34">
        <f>V147/V148</f>
        <v>1.75</v>
      </c>
      <c r="W149" s="34">
        <f>W147/W148</f>
        <v>1.25</v>
      </c>
      <c r="X149" s="34">
        <f>X147/X148</f>
        <v>2.25</v>
      </c>
      <c r="Y149" s="34">
        <f>Y147/Y148</f>
        <v>1.5</v>
      </c>
      <c r="Z149" s="34">
        <f>Z147/Z148</f>
        <v>1.3333333333333299</v>
      </c>
      <c r="AA149" s="34">
        <f>AA147/AA148</f>
        <v>1</v>
      </c>
      <c r="AB149" s="34">
        <f>AB147/AB148</f>
        <v>1.3999999999999999</v>
      </c>
      <c r="AC149" s="34">
        <f>AC147/AC148</f>
        <v>1</v>
      </c>
      <c r="AD149" s="34">
        <f>AD147/AD148</f>
        <v>1.8333333333333299</v>
      </c>
      <c r="AE149" s="34">
        <f>AE147/AE148</f>
        <v>5</v>
      </c>
      <c r="AF149" s="34">
        <f>AF147/AF148</f>
        <v>4.25</v>
      </c>
      <c r="AG149" s="34">
        <f>AG147/AG148</f>
        <v>7.7999999999999998</v>
      </c>
      <c r="AH149" s="34">
        <f>AH147/AH148</f>
        <v>4.21428571428571</v>
      </c>
      <c r="AI149" s="34">
        <f>AI147/AI148</f>
        <v>6.28571428571429</v>
      </c>
      <c r="AJ149" s="34">
        <f>AJ147/AJ148</f>
        <v>4.5</v>
      </c>
      <c r="AK149" s="34">
        <f>AK147/AK148</f>
        <v>5.1538461538461497</v>
      </c>
      <c r="AL149" s="34">
        <f>AL147/AL148</f>
        <v>6.2777777777777803</v>
      </c>
      <c r="AM149" s="34">
        <f>AM147/AM148</f>
        <v>6.3157894736842097</v>
      </c>
      <c r="AN149" s="34">
        <f>AN147/AN148</f>
        <v>10.5</v>
      </c>
      <c r="AO149" s="34">
        <f>AO147/AO148</f>
        <v>13</v>
      </c>
      <c r="AP149" s="34">
        <f>AP147/AP148</f>
        <v>15.84</v>
      </c>
      <c r="AQ149" s="34">
        <f>AQ147/AQ148</f>
        <v>15.3703703703704</v>
      </c>
      <c r="AR149" s="34">
        <f>AR147/AR148</f>
        <v>11.1842105263158</v>
      </c>
      <c r="AS149" s="34">
        <f>AS147/AS148</f>
        <v>7.1714285714285699</v>
      </c>
      <c r="AT149" s="34">
        <f>AT147/AT148</f>
        <v>8.0277777777777803</v>
      </c>
      <c r="AU149" s="34">
        <f>AU147/AU148</f>
        <v>7.7105263157894699</v>
      </c>
      <c r="AV149" s="34">
        <f>AV147/AV148</f>
        <v>6.1311475409836103</v>
      </c>
      <c r="AW149" s="34">
        <f>AW147/AW148</f>
        <v>7.5689655172413799</v>
      </c>
      <c r="AX149" s="34">
        <f>AX147/AX148</f>
        <v>6</v>
      </c>
      <c r="AY149" s="34">
        <f>AY147/AY148</f>
        <v>6.8541666666666696</v>
      </c>
      <c r="AZ149" s="34">
        <f>AZ147/AZ148</f>
        <v>7.1159420289855104</v>
      </c>
      <c r="BA149" s="34">
        <f>BA147/BA148</f>
        <v>8.1044776119403004</v>
      </c>
      <c r="BB149" s="34">
        <f>BB147/BB148</f>
        <v>8.8636363636363598</v>
      </c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</row>
    <row r="150" ht="15">
      <c r="A150" s="1" t="s">
        <v>2898</v>
      </c>
      <c r="B150" s="6">
        <f>SUM(C150:BB150)</f>
        <v>10600</v>
      </c>
      <c r="C150" s="10">
        <v>1</v>
      </c>
      <c r="D150" s="10">
        <v>1</v>
      </c>
      <c r="E150" s="10">
        <v>1</v>
      </c>
      <c r="F150" s="10">
        <v>2</v>
      </c>
      <c r="G150" s="10">
        <v>1</v>
      </c>
      <c r="H150" s="10">
        <v>1</v>
      </c>
      <c r="I150" s="10">
        <v>1</v>
      </c>
      <c r="J150" s="10">
        <v>2</v>
      </c>
      <c r="K150" s="10">
        <v>7</v>
      </c>
      <c r="L150" s="10">
        <v>18</v>
      </c>
      <c r="M150" s="10">
        <v>4</v>
      </c>
      <c r="N150" s="10">
        <v>4</v>
      </c>
      <c r="O150" s="10">
        <v>4</v>
      </c>
      <c r="P150" s="10">
        <v>4</v>
      </c>
      <c r="Q150" s="10">
        <v>9</v>
      </c>
      <c r="R150" s="10">
        <v>12</v>
      </c>
      <c r="S150" s="10">
        <v>5</v>
      </c>
      <c r="T150" s="10">
        <v>10</v>
      </c>
      <c r="U150" s="10">
        <v>1</v>
      </c>
      <c r="V150" s="10">
        <v>13</v>
      </c>
      <c r="W150" s="10">
        <v>19</v>
      </c>
      <c r="X150" s="10">
        <v>15</v>
      </c>
      <c r="Y150" s="10">
        <v>9</v>
      </c>
      <c r="Z150" s="10">
        <v>6</v>
      </c>
      <c r="AA150" s="10">
        <v>4</v>
      </c>
      <c r="AB150" s="10">
        <v>11</v>
      </c>
      <c r="AC150" s="10">
        <v>14</v>
      </c>
      <c r="AD150" s="10">
        <v>22</v>
      </c>
      <c r="AE150" s="10">
        <v>45</v>
      </c>
      <c r="AF150" s="10">
        <v>40</v>
      </c>
      <c r="AG150" s="10">
        <v>55</v>
      </c>
      <c r="AH150" s="10">
        <v>101</v>
      </c>
      <c r="AI150" s="10">
        <v>145</v>
      </c>
      <c r="AJ150" s="10">
        <v>134</v>
      </c>
      <c r="AK150" s="10">
        <v>171</v>
      </c>
      <c r="AL150" s="10">
        <v>237</v>
      </c>
      <c r="AM150" s="10">
        <v>205</v>
      </c>
      <c r="AN150" s="10">
        <v>246</v>
      </c>
      <c r="AO150" s="10">
        <v>432</v>
      </c>
      <c r="AP150" s="10">
        <v>608</v>
      </c>
      <c r="AQ150" s="10">
        <v>597</v>
      </c>
      <c r="AR150" s="10">
        <v>643</v>
      </c>
      <c r="AS150" s="10">
        <v>466</v>
      </c>
      <c r="AT150" s="10">
        <v>432</v>
      </c>
      <c r="AU150" s="10">
        <v>474</v>
      </c>
      <c r="AV150" s="10">
        <v>591</v>
      </c>
      <c r="AW150" s="10">
        <v>657</v>
      </c>
      <c r="AX150" s="10">
        <v>540</v>
      </c>
      <c r="AY150" s="10">
        <v>537</v>
      </c>
      <c r="AZ150" s="10">
        <v>764</v>
      </c>
      <c r="BA150" s="10">
        <v>880</v>
      </c>
      <c r="BB150" s="10">
        <v>1399</v>
      </c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Laroche, Johannes (johannes.laroche@uni-graz.at)</dc:creator>
  <dc:description/>
  <dc:language>en-US</dc:language>
  <cp:revision>7</cp:revision>
  <dcterms:created xsi:type="dcterms:W3CDTF">2026-02-04T10:22:35Z</dcterms:created>
  <dcterms:modified xsi:type="dcterms:W3CDTF">2026-03-04T16:48:51Z</dcterms:modified>
</cp:coreProperties>
</file>